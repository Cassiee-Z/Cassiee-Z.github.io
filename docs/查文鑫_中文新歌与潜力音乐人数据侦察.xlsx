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4957c4a29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使用说明" sheetId="1" r:id="R8ab2eac8f6b446e6"/>
    <x:sheet xmlns:r="http://schemas.openxmlformats.org/officeDocument/2006/relationships" name="02_跨平台原始数据" sheetId="2" r:id="R8186d0ce90ca4eae"/>
    <x:sheet xmlns:r="http://schemas.openxmlformats.org/officeDocument/2006/relationships" name="03_TME原始数据" sheetId="3" r:id="R1251ecb4e7924103"/>
    <x:sheet xmlns:r="http://schemas.openxmlformats.org/officeDocument/2006/relationships" name="04_候选复核" sheetId="4" r:id="Ra9db2deb9cbc4416"/>
    <x:sheet xmlns:r="http://schemas.openxmlformats.org/officeDocument/2006/relationships" name="05_数据透视表" sheetId="5" r:id="Rfea895fdf3034f67"/>
    <x:sheet xmlns:r="http://schemas.openxmlformats.org/officeDocument/2006/relationships" name="06_侦察看板" sheetId="6" r:id="R5cf0e6f6527e4a8e"/>
    <x:sheet xmlns:r="http://schemas.openxmlformats.org/officeDocument/2006/relationships" name="07_字典与参数" sheetId="7" r:id="Recd9337224e4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1EBDD"/>
      <x:name val="Carlito"/>
    </x:font>
    <x:font>
      <x:i/>
      <x:sz val="9"/>
      <x:color rgb="FF8B867D"/>
      <x:name val="Carlito"/>
    </x:font>
    <x:font>
      <x:b/>
      <x:sz val="11"/>
      <x:color rgb="FFF1EBDD"/>
      <x:name val="Carlito"/>
    </x:font>
    <x:font>
      <x:b/>
      <x:sz val="10"/>
      <x:color rgb="FF0A0A09"/>
      <x:name val="Carlito"/>
    </x:font>
    <x:font>
      <x:i/>
      <x:sz val="11"/>
      <x:color rgb="FF4C4942"/>
      <x:name val="Carlito"/>
    </x:font>
    <x:font>
      <x:b/>
      <x:sz val="30"/>
      <x:color rgb="FFB69152"/>
      <x:name val="Carlito"/>
    </x:font>
    <x:font>
      <x:sz val="10"/>
      <x:color rgb="FFF1EBDD"/>
      <x:name val="Carlito"/>
    </x:font>
    <x:font>
      <x:sz val="11"/>
      <x:color rgb="FF4C494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0A09"/>
      </x:patternFill>
    </x:fill>
    <x:fill>
      <x:patternFill patternType="solid">
        <x:fgColor rgb="FF181714"/>
      </x:patternFill>
    </x:fill>
    <x:fill>
      <x:patternFill patternType="solid">
        <x:fgColor rgb="FFB69152"/>
      </x:patternFill>
    </x:fill>
    <x:fill>
      <x:patternFill patternType="solid">
        <x:fgColor rgb="FFE8E6E0"/>
      </x:patternFill>
    </x:fill>
    <x:fill>
      <x:patternFill patternType="solid">
        <x:fgColor rgb="FFFFF3C4"/>
      </x:patternFill>
    </x:fill>
  </x:fills>
  <x:borders count="10">
    <x:border/>
    <x:border>
      <x:right style="thin">
        <x:color rgb="FFD8D0C0"/>
      </x:right>
      <x:bottom style="thin">
        <x:color rgb="FFD8D0C0"/>
      </x:bottom>
    </x:border>
    <x:border>
      <x:left style="thin">
        <x:color rgb="FFD8D0C0"/>
      </x:left>
      <x:right style="thin">
        <x:color rgb="FFD8D0C0"/>
      </x:right>
      <x:bottom style="thin">
        <x:color rgb="FFD8D0C0"/>
      </x:bottom>
    </x:border>
    <x:border>
      <x:left style="thin">
        <x:color rgb="FFD8D0C0"/>
      </x:left>
      <x:bottom style="thin">
        <x:color rgb="FFD8D0C0"/>
      </x:bottom>
    </x:border>
    <x:border>
      <x:right style="thin">
        <x:color rgb="FFD8D0C0"/>
      </x:right>
      <x:top style="thin">
        <x:color rgb="FFD8D0C0"/>
      </x:top>
      <x:bottom style="thin">
        <x:color rgb="FFD8D0C0"/>
      </x:bottom>
    </x:border>
    <x:border>
      <x:left style="thin">
        <x:color rgb="FFD8D0C0"/>
      </x:left>
      <x:right style="thin">
        <x:color rgb="FFD8D0C0"/>
      </x:right>
      <x:top style="thin">
        <x:color rgb="FFD8D0C0"/>
      </x:top>
      <x:bottom style="thin">
        <x:color rgb="FFD8D0C0"/>
      </x:bottom>
    </x:border>
    <x:border>
      <x:left style="thin">
        <x:color rgb="FFD8D0C0"/>
      </x:left>
      <x:top style="thin">
        <x:color rgb="FFD8D0C0"/>
      </x:top>
      <x:bottom style="thin">
        <x:color rgb="FFD8D0C0"/>
      </x:bottom>
    </x:border>
    <x:border>
      <x:right style="thin">
        <x:color rgb="FFD8D0C0"/>
      </x:right>
      <x:top style="thin">
        <x:color rgb="FFD8D0C0"/>
      </x:top>
    </x:border>
    <x:border>
      <x:left style="thin">
        <x:color rgb="FFD8D0C0"/>
      </x:left>
      <x:right style="thin">
        <x:color rgb="FFD8D0C0"/>
      </x:right>
      <x:top style="thin">
        <x:color rgb="FFD8D0C0"/>
      </x:top>
    </x:border>
    <x:border>
      <x:left style="thin">
        <x:color rgb="FFD8D0C0"/>
      </x:left>
      <x:top style="thin">
        <x:color rgb="FFD8D0C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4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0A0A09"/>
      </x:font>
      <x:fill>
        <x:patternFill patternType="solid">
          <x:bgColor rgb="FFB69152"/>
        </x:patternFill>
      </x:fill>
    </x:dxf>
    <x:dxf>
      <x:font>
        <x:color rgb="FF7A1712"/>
      </x:font>
      <x:fill>
        <x:patternFill patternType="solid">
          <x:bgColor rgb="FFF4D4D0"/>
        </x:patternFill>
      </x:fill>
    </x:dxf>
    <x:dxf>
      <x:font>
        <x:color rgb="FF7A1712"/>
      </x:font>
      <x:fill>
        <x:patternFill patternType="solid">
          <x:bgColor rgb="FFF4D4D0"/>
        </x:patternFill>
      </x:fill>
    </x:dxf>
    <x:dxf>
      <x:font>
        <x:b/>
        <x:color rgb="FF0A0A09"/>
      </x:font>
      <x:fill>
        <x:patternFill patternType="solid">
          <x:bgColor rgb="FFB69152"/>
        </x:patternFill>
      </x:fill>
    </x:dxf>
    <x:dxf>
      <x:font>
        <x:b/>
        <x:color rgb="FF1E5B2D"/>
      </x:font>
      <x:fill>
        <x:patternFill patternType="solid">
          <x:bgColor rgb="FFDDEAD8"/>
        </x:patternFill>
      </x:fill>
    </x:dxf>
    <x:dxf>
      <x:font>
        <x:b/>
        <x:color rgb="FF7A1712"/>
      </x:font>
      <x:fill>
        <x:patternFill patternType="solid">
          <x:bgColor rgb="FFF4D4D0"/>
        </x:patternFill>
      </x:fill>
    </x:dxf>
    <x:dxf>
      <x:font>
        <x:color rgb="FF7A1712"/>
      </x:font>
      <x:fill>
        <x:patternFill patternType="solid">
          <x:bgColor rgb="FFF4D4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28001277d4b29" /><Relationship Type="http://schemas.openxmlformats.org/officeDocument/2006/relationships/theme" Target="/xl/theme/theme1.xml" Id="Rf407958852b44bc7" /><Relationship Type="http://schemas.openxmlformats.org/officeDocument/2006/relationships/sharedStrings" Target="/xl/sharedStrings.xml" Id="R5e76f593e6ad4c37" /><Relationship Type="http://schemas.openxmlformats.org/officeDocument/2006/relationships/worksheet" Target="/xl/worksheets/sheet1.xml" Id="R8ab2eac8f6b446e6" /><Relationship Type="http://schemas.openxmlformats.org/officeDocument/2006/relationships/worksheet" Target="/xl/worksheets/sheet2.xml" Id="R8186d0ce90ca4eae" /><Relationship Type="http://schemas.openxmlformats.org/officeDocument/2006/relationships/worksheet" Target="/xl/worksheets/sheet3.xml" Id="R1251ecb4e7924103" /><Relationship Type="http://schemas.openxmlformats.org/officeDocument/2006/relationships/worksheet" Target="/xl/worksheets/sheet4.xml" Id="Ra9db2deb9cbc4416" /><Relationship Type="http://schemas.openxmlformats.org/officeDocument/2006/relationships/worksheet" Target="/xl/worksheets/sheet5.xml" Id="Rfea895fdf3034f67" /><Relationship Type="http://schemas.openxmlformats.org/officeDocument/2006/relationships/worksheet" Target="/xl/worksheets/sheet6.xml" Id="R5cf0e6f6527e4a8e" /><Relationship Type="http://schemas.openxmlformats.org/officeDocument/2006/relationships/worksheet" Target="/xl/worksheets/sheet7.xml" Id="Recd9337224e44e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83547365d642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候选作品综合分（分）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综合分</c:v>
          </c:tx>
          <c:cat>
            <c:strRef>
              <c:f>'06_侦察看板'!$A$12:$A$16</c:f>
              <c:strCache>
                <c:ptCount val="0"/>
              </c:strCache>
            </c:strRef>
          </c:cat>
          <c:val>
            <c:numRef>
              <c:f>'06_侦察看板'!$B$12:$B$16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83547365d642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ssPlatformRaw" displayName="CrossPlatformRaw" ref="A4:AE424" headerRowCount="1" totalsRowCount="0" totalsRowShown="0">
  <x:tableColumns count="31">
    <x:tableColumn id="1" name="snapshot_id"/>
    <x:tableColumn id="2" name="collected_at"/>
    <x:tableColumn id="3" name="chart_date"/>
    <x:tableColumn id="4" name="platform"/>
    <x:tableColumn id="5" name="market"/>
    <x:tableColumn id="6" name="chart_key"/>
    <x:tableColumn id="7" name="chart_name"/>
    <x:tableColumn id="8" name="chart_id"/>
    <x:tableColumn id="9" name="chart_size"/>
    <x:tableColumn id="10" name="rank"/>
    <x:tableColumn id="11" name="rank_percentile"/>
    <x:tableColumn id="12" name="track_id"/>
    <x:tableColumn id="13" name="track_name"/>
    <x:tableColumn id="14" name="artist_id"/>
    <x:tableColumn id="15" name="artist_name"/>
    <x:tableColumn id="16" name="album_id"/>
    <x:tableColumn id="17" name="album_name"/>
    <x:tableColumn id="18" name="release_date"/>
    <x:tableColumn id="19" name="genres"/>
    <x:tableColumn id="20" name="previous_rank"/>
    <x:tableColumn id="21" name="movement"/>
    <x:tableColumn id="22" name="track_url"/>
    <x:tableColumn id="23" name="artwork_url"/>
    <x:tableColumn id="24" name="source_page_url"/>
    <x:tableColumn id="25" name="source_data_url"/>
    <x:tableColumn id="26" name="平台中文名_VLOOKUP"/>
    <x:tableColumn id="27" name="榜单中文名_VLOOKUP"/>
    <x:tableColumn id="28" name="更新频率_VLOOKUP"/>
    <x:tableColumn id="29" name="作品唯一键"/>
    <x:tableColumn id="30" name="是否Top10"/>
    <x:tableColumn id="31" name="发行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MERaw" displayName="TMERaw" ref="A4:W804" headerRowCount="1" totalsRowCount="0" totalsRowShown="0">
  <x:tableColumns count="23">
    <x:tableColumn id="1" name="issue"/>
    <x:tableColumn id="2" name="issue_title"/>
    <x:tableColumn id="3" name="start_date"/>
    <x:tableColumn id="4" name="end_date"/>
    <x:tableColumn id="5" name="rank"/>
    <x:tableColumn id="6" name="track_id"/>
    <x:tableColumn id="7" name="song_name"/>
    <x:tableColumn id="8" name="artist_name"/>
    <x:tableColumn id="9" name="qq_track_mid"/>
    <x:tableColumn id="10" name="new_flag"/>
    <x:tableColumn id="11" name="last_week_rank"/>
    <x:tableColumn id="12" name="on_chart_weeks"/>
    <x:tableColumn id="13" name="history_highest_rank"/>
    <x:tableColumn id="14" name="uni_index"/>
    <x:tableColumn id="15" name="play_heat"/>
    <x:tableColumn id="16" name="spread"/>
    <x:tableColumn id="17" name="preference"/>
    <x:tableColumn id="18" name="sales"/>
    <x:tableColumn id="19" name="recommendation"/>
    <x:tableColumn id="20" name="cover_url"/>
    <x:tableColumn id="21" name="候选综合分_VLOOKUP"/>
    <x:tableColumn id="22" name="候选歌名_VLOOKUP"/>
    <x:tableColumn id="23" name="入选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Review" displayName="CandidateReview" ref="A4:N9" headerRowCount="1" totalsRowCount="0" totalsRowShown="0">
  <x:tableColumns count="14">
    <x:tableColumn id="1" name="qq_track_mid"/>
    <x:tableColumn id="2" name="歌名"/>
    <x:tableColumn id="3" name="艺人"/>
    <x:tableColumn id="4" name="综合分"/>
    <x:tableColumn id="5" name="上榜次数"/>
    <x:tableColumn id="6" name="最新排名"/>
    <x:tableColumn id="7" name="名次改善"/>
    <x:tableColumn id="8" name="平均播放热度"/>
    <x:tableColumn id="9" name="平均推荐度"/>
    <x:tableColumn id="10" name="跟进状态"/>
    <x:tableColumn id="11" name="内容场景"/>
    <x:tableColumn id="12" name="版权状态"/>
    <x:tableColumn id="13" name="人工评分"/>
    <x:tableColumn id="14" name="复核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79f10fda83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83e92f9417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1559ce52224a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6082e9d35d6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中文新歌与潜力音乐人数据侦察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Cassie Zha｜Excel 可复核分析工作台｜数据截止 2026-08-12</x:v>
      </x:c>
      <x:c r="B2" s="5"/>
      <x:c r="C2" s="5"/>
      <x:c r="D2" s="5"/>
      <x:c r="E2" s="5"/>
      <x:c r="F2" s="5"/>
      <x:c r="G2" s="5"/>
      <x:c r="H2" s="5"/>
    </x:row>
    <x:row r="3" ht="24" customHeight="1"/>
    <x:row r="4" ht="24" customHeight="1">
      <x:c r="A4" s="8" t="str">
        <x:v>这不是静态截图：可查看公式、切换下拉选项、筛选数据并刷新分析逻辑。</x:v>
      </x:c>
      <x:c r="B4" s="8"/>
      <x:c r="C4" s="8"/>
      <x:c r="D4" s="8"/>
      <x:c r="E4" s="8"/>
      <x:c r="F4" s="8"/>
      <x:c r="G4" s="8"/>
      <x:c r="H4" s="8"/>
    </x:row>
    <x:row r="5" ht="24" customHeight="1"/>
    <x:row r="6" ht="24" customHeight="1">
      <x:c r="A6" s="12" t="str">
        <x:v>工作表</x:v>
      </x:c>
      <x:c r="B6" s="12" t="str">
        <x:v>用途</x:v>
      </x:c>
      <x:c r="D6" s="12" t="str">
        <x:v>四项 Excel 能力如何落地</x:v>
      </x:c>
      <x:c r="E6" s="12"/>
      <x:c r="F6" s="12"/>
      <x:c r="G6" s="12"/>
      <x:c r="H6" s="12"/>
    </x:row>
    <x:row r="7" ht="24" customHeight="1">
      <x:c r="A7" t="str">
        <x:v>02_跨平台原始数据</x:v>
      </x:c>
      <x:c r="B7" t="str">
        <x:v>Apple Music / 网易云 420 条标准化快照；VLOOKUP 回填榜单口径</x:v>
      </x:c>
      <x:c r="D7" t="str">
        <x:v>数据透视表</x:v>
      </x:c>
      <x:c r="E7" t="str">
        <x:v>05 页按平台/榜单/艺人/期数聚合记录数、平均排名和 Top10 数</x:v>
      </x:c>
      <x:c r="F7"/>
      <x:c r="G7"/>
      <x:c r="H7"/>
    </x:row>
    <x:row r="8" ht="24" customHeight="1">
      <x:c r="A8" t="str">
        <x:v>03_TME原始数据</x:v>
      </x:c>
      <x:c r="B8" t="str">
        <x:v>腾讯音乐由你榜第 28—31 期 800 条；VLOOKUP 标记入选候选</x:v>
      </x:c>
      <x:c r="D8" t="str">
        <x:v>VLOOKUP</x:v>
      </x:c>
      <x:c r="E8" t="str">
        <x:v>02 页回填平台与频率；03 页按 qq_track_mid 回填候选综合分</x:v>
      </x:c>
      <x:c r="F8"/>
      <x:c r="G8"/>
      <x:c r="H8"/>
    </x:row>
    <x:row r="9" ht="24" customHeight="1">
      <x:c r="A9" t="str">
        <x:v>04_候选复核</x:v>
      </x:c>
      <x:c r="B9" t="str">
        <x:v>人工复核区；使用数据校验下拉与条件格式</x:v>
      </x:c>
      <x:c r="D9" t="str">
        <x:v>条件格式</x:v>
      </x:c>
      <x:c r="E9" t="str">
        <x:v>高分候选、Top10、排名涨跌、缺失映射与重复记录自动显色</x:v>
      </x:c>
      <x:c r="F9"/>
      <x:c r="G9"/>
      <x:c r="H9"/>
    </x:row>
    <x:row r="10" ht="24" customHeight="1">
      <x:c r="A10" t="str">
        <x:v>05_数据透视表</x:v>
      </x:c>
      <x:c r="B10" t="str">
        <x:v>按平台、榜单、艺人和期数汇总；使用 Excel 数据透视公式</x:v>
      </x:c>
      <x:c r="D10" t="str">
        <x:v>数据校验</x:v>
      </x:c>
      <x:c r="E10" t="str">
        <x:v>跟进状态、内容场景、版权状态、人工评分均限制为标准选项</x:v>
      </x:c>
      <x:c r="F10"/>
      <x:c r="G10"/>
      <x:c r="H10"/>
    </x:row>
    <x:row r="11" ht="24" customHeight="1">
      <x:c r="A11" t="str">
        <x:v>06_侦察看板</x:v>
      </x:c>
      <x:c r="B11" t="str">
        <x:v>核心 KPI 与候选评分图</x:v>
      </x:c>
      <x:c r="D11" t="str">
        <x:v>颜色说明</x:v>
      </x:c>
      <x:c r="E11" t="str">
        <x:v>淡黄＝人工输入；灰色＝公式；金色＝重点；红色＝风险/待核验</x:v>
      </x:c>
      <x:c r="F11"/>
      <x:c r="G11"/>
      <x:c r="H11"/>
    </x:row>
    <x:row r="12" ht="24" customHeight="1">
      <x:c r="A12" t="str">
        <x:v>07_字典与参数</x:v>
      </x:c>
      <x:c r="B12" t="str">
        <x:v>VLOOKUP、下拉选项和阈值的唯一来源</x:v>
      </x:c>
    </x:row>
    <x:row r="13" ht="24" customHeight="1"/>
    <x:row r="14" ht="24" customHeight="1">
      <x:c r="A14" s="8" t="str">
        <x:v>口径与边界</x:v>
      </x:c>
      <x:c r="B14" s="8"/>
      <x:c r="C14" s="8"/>
      <x:c r="D14" s="8"/>
      <x:c r="E14" s="8"/>
      <x:c r="F14" s="8"/>
      <x:c r="G14" s="8"/>
      <x:c r="H14" s="8"/>
    </x:row>
    <x:row r="15" ht="24" customHeight="1">
      <x:c r="A15" t="str">
        <x:v>1</x:v>
      </x:c>
      <x:c r="B15" s="13" t="str">
        <x:v>跨平台榜位只比较榜内相对位置，不把 Apple 第1名与网易第1名解释为相同播放量。</x:v>
      </x:c>
      <x:c r="C15" s="13"/>
      <x:c r="D15" s="13"/>
      <x:c r="E15" s="13"/>
      <x:c r="F15" s="13"/>
      <x:c r="G15" s="13"/>
      <x:c r="H15" s="13"/>
    </x:row>
    <x:row r="16" ht="24" customHeight="1">
      <x:c r="A16" t="str">
        <x:v>2</x:v>
      </x:c>
      <x:c r="B16" s="13" t="str">
        <x:v>腾讯音乐第32期截图只作最新页面证据；本工作簿结构化趋势范围仍为第28—31期。</x:v>
      </x:c>
      <x:c r="C16" s="13"/>
      <x:c r="D16" s="13"/>
      <x:c r="E16" s="13"/>
      <x:c r="F16" s="13"/>
      <x:c r="G16" s="13"/>
      <x:c r="H16" s="13"/>
    </x:row>
    <x:row r="17" ht="24" customHeight="1">
      <x:c r="A17" t="str">
        <x:v>3</x:v>
      </x:c>
      <x:c r="B17" s="13" t="str">
        <x:v>Spotify 需登录、抖音需开放平台权限；缺失记为“未采集”，不填0。</x:v>
      </x:c>
      <x:c r="C17" s="13"/>
      <x:c r="D17" s="13"/>
      <x:c r="E17" s="13"/>
      <x:c r="F17" s="13"/>
      <x:c r="G17" s="13"/>
      <x:c r="H17" s="13"/>
    </x:row>
    <x:row r="18" ht="24" customHeight="1">
      <x:c r="A18" t="str">
        <x:v>4</x:v>
      </x:c>
      <x:c r="B18" s="13" t="str">
        <x:v>网易实时分享榜页面称100首，但公开响应仅返回10条；分析以实际返回量标记。</x:v>
      </x:c>
      <x:c r="C18" s="13"/>
      <x:c r="D18" s="13"/>
      <x:c r="E18" s="13"/>
      <x:c r="F18" s="13"/>
      <x:c r="G18" s="13"/>
      <x:c r="H18" s="13"/>
    </x:row>
  </x:sheetData>
  <x:mergeCells>
    <x:mergeCell ref="A1:H1"/>
    <x:mergeCell ref="A2:H2"/>
    <x:mergeCell ref="A4:H4"/>
    <x:mergeCell ref="D6:H6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2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5" hidden="0" customWidth="1"/>
    <x:col min="23" max="23" width="35" hidden="0" customWidth="1"/>
    <x:col min="24" max="24" width="35" hidden="0" customWidth="1"/>
    <x:col min="25" max="25" width="3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>
      <x:c r="A1" s="3" t="str">
        <x:v>跨平台原始数据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>
      <x:c r="A2" s="5" t="str">
        <x:v>420 条 Apple Music / 网易云标准化快照｜灰色列由 VLOOKUP 与公式生成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4">
      <x:c r="A4" s="12" t="str">
        <x:v>snapshot_id</x:v>
      </x:c>
      <x:c r="B4" s="12" t="str">
        <x:v>collected_at</x:v>
      </x:c>
      <x:c r="C4" s="12" t="str">
        <x:v>chart_date</x:v>
      </x:c>
      <x:c r="D4" s="12" t="str">
        <x:v>platform</x:v>
      </x:c>
      <x:c r="E4" s="12" t="str">
        <x:v>market</x:v>
      </x:c>
      <x:c r="F4" s="12" t="str">
        <x:v>chart_key</x:v>
      </x:c>
      <x:c r="G4" s="12" t="str">
        <x:v>chart_name</x:v>
      </x:c>
      <x:c r="H4" s="12" t="str">
        <x:v>chart_id</x:v>
      </x:c>
      <x:c r="I4" s="12" t="str">
        <x:v>chart_size</x:v>
      </x:c>
      <x:c r="J4" s="12" t="str">
        <x:v>rank</x:v>
      </x:c>
      <x:c r="K4" s="12" t="str">
        <x:v>rank_percentile</x:v>
      </x:c>
      <x:c r="L4" s="12" t="str">
        <x:v>track_id</x:v>
      </x:c>
      <x:c r="M4" s="12" t="str">
        <x:v>track_name</x:v>
      </x:c>
      <x:c r="N4" s="12" t="str">
        <x:v>artist_id</x:v>
      </x:c>
      <x:c r="O4" s="12" t="str">
        <x:v>artist_name</x:v>
      </x:c>
      <x:c r="P4" s="12" t="str">
        <x:v>album_id</x:v>
      </x:c>
      <x:c r="Q4" s="12" t="str">
        <x:v>album_name</x:v>
      </x:c>
      <x:c r="R4" s="12" t="str">
        <x:v>release_date</x:v>
      </x:c>
      <x:c r="S4" s="12" t="str">
        <x:v>genres</x:v>
      </x:c>
      <x:c r="T4" s="12" t="str">
        <x:v>previous_rank</x:v>
      </x:c>
      <x:c r="U4" s="12" t="str">
        <x:v>movement</x:v>
      </x:c>
      <x:c r="V4" s="12" t="str">
        <x:v>track_url</x:v>
      </x:c>
      <x:c r="W4" s="12" t="str">
        <x:v>artwork_url</x:v>
      </x:c>
      <x:c r="X4" s="12" t="str">
        <x:v>source_page_url</x:v>
      </x:c>
      <x:c r="Y4" s="12" t="str">
        <x:v>source_data_url</x:v>
      </x:c>
      <x:c r="Z4" s="12" t="str">
        <x:v>平台中文名_VLOOKUP</x:v>
      </x:c>
      <x:c r="AA4" s="12" t="str">
        <x:v>榜单中文名_VLOOKUP</x:v>
      </x:c>
      <x:c r="AB4" s="12" t="str">
        <x:v>更新频率_VLOOKUP</x:v>
      </x:c>
      <x:c r="AC4" s="12" t="str">
        <x:v>作品唯一键</x:v>
      </x:c>
      <x:c r="AD4" s="12" t="str">
        <x:v>是否Top10</x:v>
      </x:c>
      <x:c r="AE4" s="12" t="str">
        <x:v>发行年份</x:v>
      </x:c>
    </x:row>
    <x:row r="5">
      <x:c r="A5" t="str">
        <x:v>20260812T132133+0800</x:v>
      </x:c>
      <x:c r="B5" t="n">
        <x:v>46246.22329861111</x:v>
      </x:c>
      <x:c r="C5" t="str">
        <x:v>2026-08-12</x:v>
      </x:c>
      <x:c r="D5" t="str">
        <x:v>apple_music</x:v>
      </x:c>
      <x:c r="E5" t="str">
        <x:v>CN</x:v>
      </x:c>
      <x:c r="F5" t="str">
        <x:v>cn_top_100</x:v>
      </x:c>
      <x:c r="G5" t="str">
        <x:v>热门歌曲排行</x:v>
      </x:c>
      <x:c r="H5" t="str">
        <x:v>apple_music_cn_most_played_100</x:v>
      </x:c>
      <x:c r="I5" t="n">
        <x:v>100</x:v>
      </x:c>
      <x:c r="J5" t="n">
        <x:v>1</x:v>
      </x:c>
      <x:c r="K5" t="n">
        <x:v>100</x:v>
      </x:c>
      <x:c r="L5" t="str">
        <x:v>535824738</x:v>
      </x:c>
      <x:c r="M5" t="str">
        <x:v>晴天</x:v>
      </x:c>
      <x:c r="N5" t="str">
        <x:v>300117743</x:v>
      </x:c>
      <x:c r="O5" t="str">
        <x:v>周杰伦</x:v>
      </x:c>
      <x:c r="P5" t="str"/>
      <x:c r="Q5" t="str"/>
      <x:c r="R5" t="str">
        <x:v>2003-07-31</x:v>
      </x:c>
      <x:c r="S5" t="str">
        <x:v>音乐 | 国际流行</x:v>
      </x:c>
      <x:c r="T5"/>
      <x:c r="U5"/>
      <x:c r="V5" t="str">
        <x:v>https://music.apple.com/cn/album/%E6%99%B4%E5%A4%A9/535824731?i=535824738</x:v>
      </x:c>
      <x:c r="W5" t="str">
        <x:v>https://is1-ssl.mzstatic.com/image/thumb/Music115/v4/45/8a/e4/458ae484-dc8b-5683-ce04-8d2948346462/JAY.jpg/100x109bb.jpg</x:v>
      </x:c>
      <x:c r="X5" t="str">
        <x:v>https://music.apple.com/cn/new/top-charts</x:v>
      </x:c>
      <x:c r="Y5" t="str">
        <x:v>https://rss.marketingtools.apple.com/api/v2/cn/music/most-played/100/songs.json</x:v>
      </x:c>
      <x:c r="Z5" s="24" t="str">
        <x:f>IFERROR(VLOOKUP(F5,'07_字典与参数'!$A$5:$E$10,3,FALSE),"待映射")</x:f>
        <x:v>Apple Music</x:v>
      </x:c>
      <x:c r="AA5" s="24" t="str">
        <x:f>IFERROR(VLOOKUP(F5,'07_字典与参数'!$A$5:$E$10,2,FALSE),"待映射")</x:f>
        <x:v>热门歌曲排行</x:v>
      </x:c>
      <x:c r="AB5" s="24" t="str">
        <x:f>IFERROR(VLOOKUP(F5,'07_字典与参数'!$A$5:$E$10,4,FALSE),"待映射")</x:f>
        <x:v>每日公开快照</x:v>
      </x:c>
      <x:c r="AC5" s="24" t="str">
        <x:f>D5&amp;"|"&amp;F5&amp;"|"&amp;L5</x:f>
        <x:v>apple_music|cn_top_100|535824738</x:v>
      </x:c>
      <x:c r="AD5" s="24" t="str">
        <x:f>IF(J5&lt;=10,"是","否")</x:f>
        <x:v>是</x:v>
      </x:c>
      <x:c r="AE5" s="24" t="n">
        <x:f>IFERROR(YEAR(R5),"缺失")</x:f>
        <x:v>2003</x:v>
      </x:c>
    </x:row>
    <x:row r="6">
      <x:c r="A6" t="str">
        <x:v>20260812T132133+0800</x:v>
      </x:c>
      <x:c r="B6" t="n">
        <x:v>46246.22329861111</x:v>
      </x:c>
      <x:c r="C6" t="str">
        <x:v>2026-08-12</x:v>
      </x:c>
      <x:c r="D6" t="str">
        <x:v>apple_music</x:v>
      </x:c>
      <x:c r="E6" t="str">
        <x:v>CN</x:v>
      </x:c>
      <x:c r="F6" t="str">
        <x:v>cn_top_100</x:v>
      </x:c>
      <x:c r="G6" t="str">
        <x:v>热门歌曲排行</x:v>
      </x:c>
      <x:c r="H6" t="str">
        <x:v>apple_music_cn_most_played_100</x:v>
      </x:c>
      <x:c r="I6" t="n">
        <x:v>100</x:v>
      </x:c>
      <x:c r="J6" t="n">
        <x:v>2</x:v>
      </x:c>
      <x:c r="K6" t="n">
        <x:v>99</x:v>
      </x:c>
      <x:c r="L6" t="str">
        <x:v>536115199</x:v>
      </x:c>
      <x:c r="M6" t="str">
        <x:v>搁浅</x:v>
      </x:c>
      <x:c r="N6" t="str">
        <x:v>300117743</x:v>
      </x:c>
      <x:c r="O6" t="str">
        <x:v>周杰伦</x:v>
      </x:c>
      <x:c r="P6" t="str"/>
      <x:c r="Q6" t="str"/>
      <x:c r="R6" t="str">
        <x:v>2004-08-03</x:v>
      </x:c>
      <x:c r="S6" t="str">
        <x:v>音乐 | 国际流行</x:v>
      </x:c>
      <x:c r="T6"/>
      <x:c r="U6"/>
      <x:c r="V6" t="str">
        <x:v>https://music.apple.com/cn/album/%E6%90%81%E6%B5%85/536114662?i=536115199</x:v>
      </x:c>
      <x:c r="W6" t="str">
        <x:v>https://is1-ssl.mzstatic.com/image/thumb/Music115/v4/29/c1/2d/29c12de6-54b4-f549-9d9f-07d8a04221ea/JAY.jpg/100x111bb.jpg</x:v>
      </x:c>
      <x:c r="X6" t="str">
        <x:v>https://music.apple.com/cn/new/top-charts</x:v>
      </x:c>
      <x:c r="Y6" t="str">
        <x:v>https://rss.marketingtools.apple.com/api/v2/cn/music/most-played/100/songs.json</x:v>
      </x:c>
      <x:c r="Z6" s="24" t="str">
        <x:f>IFERROR(VLOOKUP(F6,'07_字典与参数'!$A$5:$E$10,3,FALSE),"待映射")</x:f>
        <x:v>Apple Music</x:v>
      </x:c>
      <x:c r="AA6" s="24" t="str">
        <x:f>IFERROR(VLOOKUP(F6,'07_字典与参数'!$A$5:$E$10,2,FALSE),"待映射")</x:f>
        <x:v>热门歌曲排行</x:v>
      </x:c>
      <x:c r="AB6" s="24" t="str">
        <x:f>IFERROR(VLOOKUP(F6,'07_字典与参数'!$A$5:$E$10,4,FALSE),"待映射")</x:f>
        <x:v>每日公开快照</x:v>
      </x:c>
      <x:c r="AC6" s="24" t="str">
        <x:f>D6&amp;"|"&amp;F6&amp;"|"&amp;L6</x:f>
        <x:v>apple_music|cn_top_100|536115199</x:v>
      </x:c>
      <x:c r="AD6" s="24" t="str">
        <x:f>IF(J6&lt;=10,"是","否")</x:f>
        <x:v>是</x:v>
      </x:c>
      <x:c r="AE6" s="24" t="n">
        <x:f>IFERROR(YEAR(R6),"缺失")</x:f>
        <x:v>2004</x:v>
      </x:c>
    </x:row>
    <x:row r="7">
      <x:c r="A7" t="str">
        <x:v>20260812T132133+0800</x:v>
      </x:c>
      <x:c r="B7" t="n">
        <x:v>46246.22329861111</x:v>
      </x:c>
      <x:c r="C7" t="str">
        <x:v>2026-08-12</x:v>
      </x:c>
      <x:c r="D7" t="str">
        <x:v>apple_music</x:v>
      </x:c>
      <x:c r="E7" t="str">
        <x:v>CN</x:v>
      </x:c>
      <x:c r="F7" t="str">
        <x:v>cn_top_100</x:v>
      </x:c>
      <x:c r="G7" t="str">
        <x:v>热门歌曲排行</x:v>
      </x:c>
      <x:c r="H7" t="str">
        <x:v>apple_music_cn_most_played_100</x:v>
      </x:c>
      <x:c r="I7" t="n">
        <x:v>100</x:v>
      </x:c>
      <x:c r="J7" t="n">
        <x:v>3</x:v>
      </x:c>
      <x:c r="K7" t="n">
        <x:v>98</x:v>
      </x:c>
      <x:c r="L7" t="str">
        <x:v>536115195</x:v>
      </x:c>
      <x:c r="M7" t="str">
        <x:v>七里香</x:v>
      </x:c>
      <x:c r="N7" t="str">
        <x:v>300117743</x:v>
      </x:c>
      <x:c r="O7" t="str">
        <x:v>周杰伦</x:v>
      </x:c>
      <x:c r="P7" t="str"/>
      <x:c r="Q7" t="str"/>
      <x:c r="R7" t="str">
        <x:v>2004-08-03</x:v>
      </x:c>
      <x:c r="S7" t="str">
        <x:v>音乐 | 国际流行</x:v>
      </x:c>
      <x:c r="T7"/>
      <x:c r="U7"/>
      <x:c r="V7" t="str">
        <x:v>https://music.apple.com/cn/album/%E4%B8%83%E9%87%8C%E9%A6%99/536114662?i=536115195</x:v>
      </x:c>
      <x:c r="W7" t="str">
        <x:v>https://is1-ssl.mzstatic.com/image/thumb/Music115/v4/29/c1/2d/29c12de6-54b4-f549-9d9f-07d8a04221ea/JAY.jpg/100x111bb.jpg</x:v>
      </x:c>
      <x:c r="X7" t="str">
        <x:v>https://music.apple.com/cn/new/top-charts</x:v>
      </x:c>
      <x:c r="Y7" t="str">
        <x:v>https://rss.marketingtools.apple.com/api/v2/cn/music/most-played/100/songs.json</x:v>
      </x:c>
      <x:c r="Z7" s="24" t="str">
        <x:f>IFERROR(VLOOKUP(F7,'07_字典与参数'!$A$5:$E$10,3,FALSE),"待映射")</x:f>
        <x:v>Apple Music</x:v>
      </x:c>
      <x:c r="AA7" s="24" t="str">
        <x:f>IFERROR(VLOOKUP(F7,'07_字典与参数'!$A$5:$E$10,2,FALSE),"待映射")</x:f>
        <x:v>热门歌曲排行</x:v>
      </x:c>
      <x:c r="AB7" s="24" t="str">
        <x:f>IFERROR(VLOOKUP(F7,'07_字典与参数'!$A$5:$E$10,4,FALSE),"待映射")</x:f>
        <x:v>每日公开快照</x:v>
      </x:c>
      <x:c r="AC7" s="24" t="str">
        <x:f>D7&amp;"|"&amp;F7&amp;"|"&amp;L7</x:f>
        <x:v>apple_music|cn_top_100|536115195</x:v>
      </x:c>
      <x:c r="AD7" s="24" t="str">
        <x:f>IF(J7&lt;=10,"是","否")</x:f>
        <x:v>是</x:v>
      </x:c>
      <x:c r="AE7" s="24" t="n">
        <x:f>IFERROR(YEAR(R7),"缺失")</x:f>
        <x:v>2004</x:v>
      </x:c>
    </x:row>
    <x:row r="8">
      <x:c r="A8" t="str">
        <x:v>20260812T132133+0800</x:v>
      </x:c>
      <x:c r="B8" t="n">
        <x:v>46246.22329861111</x:v>
      </x:c>
      <x:c r="C8" t="str">
        <x:v>2026-08-12</x:v>
      </x:c>
      <x:c r="D8" t="str">
        <x:v>apple_music</x:v>
      </x:c>
      <x:c r="E8" t="str">
        <x:v>CN</x:v>
      </x:c>
      <x:c r="F8" t="str">
        <x:v>cn_top_100</x:v>
      </x:c>
      <x:c r="G8" t="str">
        <x:v>热门歌曲排行</x:v>
      </x:c>
      <x:c r="H8" t="str">
        <x:v>apple_music_cn_most_played_100</x:v>
      </x:c>
      <x:c r="I8" t="n">
        <x:v>100</x:v>
      </x:c>
      <x:c r="J8" t="n">
        <x:v>4</x:v>
      </x:c>
      <x:c r="K8" t="n">
        <x:v>97</x:v>
      </x:c>
      <x:c r="L8" t="str">
        <x:v>905226305</x:v>
      </x:c>
      <x:c r="M8" t="str">
        <x:v>我怀念的</x:v>
      </x:c>
      <x:c r="N8" t="str">
        <x:v>83405200</x:v>
      </x:c>
      <x:c r="O8" t="str">
        <x:v>孙燕姿</x:v>
      </x:c>
      <x:c r="P8" t="str"/>
      <x:c r="Q8" t="str"/>
      <x:c r="R8" t="str">
        <x:v>2007-03-22</x:v>
      </x:c>
      <x:c r="S8" t="str">
        <x:v>音乐 | 国际流行</x:v>
      </x:c>
      <x:c r="T8"/>
      <x:c r="U8"/>
      <x:c r="V8" t="str">
        <x:v>https://music.apple.com/cn/album/%E6%88%91%E6%80%80%E5%BF%B5%E7%9A%84/905226289?i=905226305</x:v>
      </x:c>
      <x:c r="W8" t="str">
        <x:v>https://is1-ssl.mzstatic.com/image/thumb/Music123/v4/39/8e/7d/398e7d64-1877-03ab-17cb-460943429bc0/825646246939.jpg/100x100bb.jpg</x:v>
      </x:c>
      <x:c r="X8" t="str">
        <x:v>https://music.apple.com/cn/new/top-charts</x:v>
      </x:c>
      <x:c r="Y8" t="str">
        <x:v>https://rss.marketingtools.apple.com/api/v2/cn/music/most-played/100/songs.json</x:v>
      </x:c>
      <x:c r="Z8" s="24" t="str">
        <x:f>IFERROR(VLOOKUP(F8,'07_字典与参数'!$A$5:$E$10,3,FALSE),"待映射")</x:f>
        <x:v>Apple Music</x:v>
      </x:c>
      <x:c r="AA8" s="24" t="str">
        <x:f>IFERROR(VLOOKUP(F8,'07_字典与参数'!$A$5:$E$10,2,FALSE),"待映射")</x:f>
        <x:v>热门歌曲排行</x:v>
      </x:c>
      <x:c r="AB8" s="24" t="str">
        <x:f>IFERROR(VLOOKUP(F8,'07_字典与参数'!$A$5:$E$10,4,FALSE),"待映射")</x:f>
        <x:v>每日公开快照</x:v>
      </x:c>
      <x:c r="AC8" s="24" t="str">
        <x:f>D8&amp;"|"&amp;F8&amp;"|"&amp;L8</x:f>
        <x:v>apple_music|cn_top_100|905226305</x:v>
      </x:c>
      <x:c r="AD8" s="24" t="str">
        <x:f>IF(J8&lt;=10,"是","否")</x:f>
        <x:v>是</x:v>
      </x:c>
      <x:c r="AE8" s="24" t="n">
        <x:f>IFERROR(YEAR(R8),"缺失")</x:f>
        <x:v>2007</x:v>
      </x:c>
    </x:row>
    <x:row r="9">
      <x:c r="A9" t="str">
        <x:v>20260812T132133+0800</x:v>
      </x:c>
      <x:c r="B9" t="n">
        <x:v>46246.22329861111</x:v>
      </x:c>
      <x:c r="C9" t="str">
        <x:v>2026-08-12</x:v>
      </x:c>
      <x:c r="D9" t="str">
        <x:v>apple_music</x:v>
      </x:c>
      <x:c r="E9" t="str">
        <x:v>CN</x:v>
      </x:c>
      <x:c r="F9" t="str">
        <x:v>cn_top_100</x:v>
      </x:c>
      <x:c r="G9" t="str">
        <x:v>热门歌曲排行</x:v>
      </x:c>
      <x:c r="H9" t="str">
        <x:v>apple_music_cn_most_played_100</x:v>
      </x:c>
      <x:c r="I9" t="n">
        <x:v>100</x:v>
      </x:c>
      <x:c r="J9" t="n">
        <x:v>5</x:v>
      </x:c>
      <x:c r="K9" t="n">
        <x:v>96</x:v>
      </x:c>
      <x:c r="L9" t="str">
        <x:v>6763656876</x:v>
      </x:c>
      <x:c r="M9" t="str">
        <x:v>hate that i made you love me</x:v>
      </x:c>
      <x:c r="N9" t="str">
        <x:v>412778295</x:v>
      </x:c>
      <x:c r="O9" t="str">
        <x:v>Ariana Grande</x:v>
      </x:c>
      <x:c r="P9" t="str"/>
      <x:c r="Q9" t="str"/>
      <x:c r="R9" t="str">
        <x:v>2026-05-28</x:v>
      </x:c>
      <x:c r="S9" t="str">
        <x:v>国际流行 | 音乐</x:v>
      </x:c>
      <x:c r="T9"/>
      <x:c r="U9"/>
      <x:c r="V9" t="str">
        <x:v>https://music.apple.com/cn/album/hate-that-i-made-you-love-me/1895420989?i=6763656876</x:v>
      </x:c>
      <x:c r="W9" t="str">
        <x:v>https://is1-ssl.mzstatic.com/image/thumb/Music211/v4/7e/e6/82/7ee682bd-1b17-6adc-be63-b5af1bdff369/26UMGIM51126.rgb.jpg/100x100bb.jpg</x:v>
      </x:c>
      <x:c r="X9" t="str">
        <x:v>https://music.apple.com/cn/new/top-charts</x:v>
      </x:c>
      <x:c r="Y9" t="str">
        <x:v>https://rss.marketingtools.apple.com/api/v2/cn/music/most-played/100/songs.json</x:v>
      </x:c>
      <x:c r="Z9" s="24" t="str">
        <x:f>IFERROR(VLOOKUP(F9,'07_字典与参数'!$A$5:$E$10,3,FALSE),"待映射")</x:f>
        <x:v>Apple Music</x:v>
      </x:c>
      <x:c r="AA9" s="24" t="str">
        <x:f>IFERROR(VLOOKUP(F9,'07_字典与参数'!$A$5:$E$10,2,FALSE),"待映射")</x:f>
        <x:v>热门歌曲排行</x:v>
      </x:c>
      <x:c r="AB9" s="24" t="str">
        <x:f>IFERROR(VLOOKUP(F9,'07_字典与参数'!$A$5:$E$10,4,FALSE),"待映射")</x:f>
        <x:v>每日公开快照</x:v>
      </x:c>
      <x:c r="AC9" s="24" t="str">
        <x:f>D9&amp;"|"&amp;F9&amp;"|"&amp;L9</x:f>
        <x:v>apple_music|cn_top_100|6763656876</x:v>
      </x:c>
      <x:c r="AD9" s="24" t="str">
        <x:f>IF(J9&lt;=10,"是","否")</x:f>
        <x:v>是</x:v>
      </x:c>
      <x:c r="AE9" s="24" t="n">
        <x:f>IFERROR(YEAR(R9),"缺失")</x:f>
        <x:v>2026</x:v>
      </x:c>
    </x:row>
    <x:row r="10">
      <x:c r="A10" t="str">
        <x:v>20260812T132133+0800</x:v>
      </x:c>
      <x:c r="B10" t="n">
        <x:v>46246.22329861111</x:v>
      </x:c>
      <x:c r="C10" t="str">
        <x:v>2026-08-12</x:v>
      </x:c>
      <x:c r="D10" t="str">
        <x:v>apple_music</x:v>
      </x:c>
      <x:c r="E10" t="str">
        <x:v>CN</x:v>
      </x:c>
      <x:c r="F10" t="str">
        <x:v>cn_top_100</x:v>
      </x:c>
      <x:c r="G10" t="str">
        <x:v>热门歌曲排行</x:v>
      </x:c>
      <x:c r="H10" t="str">
        <x:v>apple_music_cn_most_played_100</x:v>
      </x:c>
      <x:c r="I10" t="n">
        <x:v>100</x:v>
      </x:c>
      <x:c r="J10" t="n">
        <x:v>6</x:v>
      </x:c>
      <x:c r="K10" t="n">
        <x:v>95</x:v>
      </x:c>
      <x:c r="L10" t="str">
        <x:v>1134344911</x:v>
      </x:c>
      <x:c r="M10" t="str">
        <x:v>爱错</x:v>
      </x:c>
      <x:c r="N10" t="str">
        <x:v>117741179</x:v>
      </x:c>
      <x:c r="O10" t="str">
        <x:v>王力宏</x:v>
      </x:c>
      <x:c r="P10" t="str"/>
      <x:c r="Q10" t="str"/>
      <x:c r="R10" t="str">
        <x:v>2004-12-31</x:v>
      </x:c>
      <x:c r="S10" t="str">
        <x:v>音乐 | 国际流行</x:v>
      </x:c>
      <x:c r="T10"/>
      <x:c r="U10"/>
      <x:c r="V10" t="str">
        <x:v>https://music.apple.com/cn/album/%E7%88%B1%E9%94%99/1134344345?i=1134344911</x:v>
      </x:c>
      <x:c r="W10" t="str">
        <x:v>https://is1-ssl.mzstatic.com/image/thumb/Music124/v4/be/4a/77/be4a7730-c144-a39e-c7b6-9d26ea0ebff3/1400X1400.jpg/100x100bb.jpg</x:v>
      </x:c>
      <x:c r="X10" t="str">
        <x:v>https://music.apple.com/cn/new/top-charts</x:v>
      </x:c>
      <x:c r="Y10" t="str">
        <x:v>https://rss.marketingtools.apple.com/api/v2/cn/music/most-played/100/songs.json</x:v>
      </x:c>
      <x:c r="Z10" s="24" t="str">
        <x:f>IFERROR(VLOOKUP(F10,'07_字典与参数'!$A$5:$E$10,3,FALSE),"待映射")</x:f>
        <x:v>Apple Music</x:v>
      </x:c>
      <x:c r="AA10" s="24" t="str">
        <x:f>IFERROR(VLOOKUP(F10,'07_字典与参数'!$A$5:$E$10,2,FALSE),"待映射")</x:f>
        <x:v>热门歌曲排行</x:v>
      </x:c>
      <x:c r="AB10" s="24" t="str">
        <x:f>IFERROR(VLOOKUP(F10,'07_字典与参数'!$A$5:$E$10,4,FALSE),"待映射")</x:f>
        <x:v>每日公开快照</x:v>
      </x:c>
      <x:c r="AC10" s="24" t="str">
        <x:f>D10&amp;"|"&amp;F10&amp;"|"&amp;L10</x:f>
        <x:v>apple_music|cn_top_100|1134344911</x:v>
      </x:c>
      <x:c r="AD10" s="24" t="str">
        <x:f>IF(J10&lt;=10,"是","否")</x:f>
        <x:v>是</x:v>
      </x:c>
      <x:c r="AE10" s="24" t="n">
        <x:f>IFERROR(YEAR(R10),"缺失")</x:f>
        <x:v>2004</x:v>
      </x:c>
    </x:row>
    <x:row r="11">
      <x:c r="A11" t="str">
        <x:v>20260812T132133+0800</x:v>
      </x:c>
      <x:c r="B11" t="n">
        <x:v>46246.22329861111</x:v>
      </x:c>
      <x:c r="C11" t="str">
        <x:v>2026-08-12</x:v>
      </x:c>
      <x:c r="D11" t="str">
        <x:v>apple_music</x:v>
      </x:c>
      <x:c r="E11" t="str">
        <x:v>CN</x:v>
      </x:c>
      <x:c r="F11" t="str">
        <x:v>cn_top_100</x:v>
      </x:c>
      <x:c r="G11" t="str">
        <x:v>热门歌曲排行</x:v>
      </x:c>
      <x:c r="H11" t="str">
        <x:v>apple_music_cn_most_played_100</x:v>
      </x:c>
      <x:c r="I11" t="n">
        <x:v>100</x:v>
      </x:c>
      <x:c r="J11" t="n">
        <x:v>7</x:v>
      </x:c>
      <x:c r="K11" t="n">
        <x:v>94</x:v>
      </x:c>
      <x:c r="L11" t="str">
        <x:v>587743637</x:v>
      </x:c>
      <x:c r="M11" t="str">
        <x:v>明明就</x:v>
      </x:c>
      <x:c r="N11" t="str">
        <x:v>300117743</x:v>
      </x:c>
      <x:c r="O11" t="str">
        <x:v>周杰伦</x:v>
      </x:c>
      <x:c r="P11" t="str"/>
      <x:c r="Q11" t="str"/>
      <x:c r="R11" t="str">
        <x:v>2012-12-11</x:v>
      </x:c>
      <x:c r="S11" t="str">
        <x:v>音乐 | 国际流行</x:v>
      </x:c>
      <x:c r="T11"/>
      <x:c r="U11"/>
      <x:c r="V11" t="str">
        <x:v>https://music.apple.com/cn/album/%E6%98%8E%E6%98%8E%E5%B0%B1/587743633?i=587743637</x:v>
      </x:c>
      <x:c r="W11" t="str">
        <x:v>https://is1-ssl.mzstatic.com/image/thumb/Music124/v4/81/83/e6/8183e6c0-7137-7009-347e-326b53cb4a3b/2000x2000pix.jpg/100x100bb.jpg</x:v>
      </x:c>
      <x:c r="X11" t="str">
        <x:v>https://music.apple.com/cn/new/top-charts</x:v>
      </x:c>
      <x:c r="Y11" t="str">
        <x:v>https://rss.marketingtools.apple.com/api/v2/cn/music/most-played/100/songs.json</x:v>
      </x:c>
      <x:c r="Z11" s="24" t="str">
        <x:f>IFERROR(VLOOKUP(F11,'07_字典与参数'!$A$5:$E$10,3,FALSE),"待映射")</x:f>
        <x:v>Apple Music</x:v>
      </x:c>
      <x:c r="AA11" s="24" t="str">
        <x:f>IFERROR(VLOOKUP(F11,'07_字典与参数'!$A$5:$E$10,2,FALSE),"待映射")</x:f>
        <x:v>热门歌曲排行</x:v>
      </x:c>
      <x:c r="AB11" s="24" t="str">
        <x:f>IFERROR(VLOOKUP(F11,'07_字典与参数'!$A$5:$E$10,4,FALSE),"待映射")</x:f>
        <x:v>每日公开快照</x:v>
      </x:c>
      <x:c r="AC11" s="24" t="str">
        <x:f>D11&amp;"|"&amp;F11&amp;"|"&amp;L11</x:f>
        <x:v>apple_music|cn_top_100|587743637</x:v>
      </x:c>
      <x:c r="AD11" s="24" t="str">
        <x:f>IF(J11&lt;=10,"是","否")</x:f>
        <x:v>是</x:v>
      </x:c>
      <x:c r="AE11" s="24" t="n">
        <x:f>IFERROR(YEAR(R11),"缺失")</x:f>
        <x:v>2012</x:v>
      </x:c>
    </x:row>
    <x:row r="12">
      <x:c r="A12" t="str">
        <x:v>20260812T132133+0800</x:v>
      </x:c>
      <x:c r="B12" t="n">
        <x:v>46246.22329861111</x:v>
      </x:c>
      <x:c r="C12" t="str">
        <x:v>2026-08-12</x:v>
      </x:c>
      <x:c r="D12" t="str">
        <x:v>apple_music</x:v>
      </x:c>
      <x:c r="E12" t="str">
        <x:v>CN</x:v>
      </x:c>
      <x:c r="F12" t="str">
        <x:v>cn_top_100</x:v>
      </x:c>
      <x:c r="G12" t="str">
        <x:v>热门歌曲排行</x:v>
      </x:c>
      <x:c r="H12" t="str">
        <x:v>apple_music_cn_most_played_100</x:v>
      </x:c>
      <x:c r="I12" t="n">
        <x:v>100</x:v>
      </x:c>
      <x:c r="J12" t="n">
        <x:v>8</x:v>
      </x:c>
      <x:c r="K12" t="n">
        <x:v>93</x:v>
      </x:c>
      <x:c r="L12" t="str">
        <x:v>1624001317</x:v>
      </x:c>
      <x:c r="M12" t="str">
        <x:v>花海</x:v>
      </x:c>
      <x:c r="N12" t="str">
        <x:v>300117743</x:v>
      </x:c>
      <x:c r="O12" t="str">
        <x:v>周杰伦</x:v>
      </x:c>
      <x:c r="P12" t="str"/>
      <x:c r="Q12" t="str"/>
      <x:c r="R12" t="str">
        <x:v>2008-10-14</x:v>
      </x:c>
      <x:c r="S12" t="str">
        <x:v>音乐 | 国际流行</x:v>
      </x:c>
      <x:c r="T12"/>
      <x:c r="U12"/>
      <x:c r="V12" t="str">
        <x:v>https://music.apple.com/cn/album/%E8%8A%B1%E6%B5%B7/1624000713?i=1624001317</x:v>
      </x:c>
      <x:c r="W12" t="str">
        <x:v>https://is1-ssl.mzstatic.com/image/thumb/Music122/v4/1b/63/9e/1b639e5b-f8ca-a6e1-8612-6396bc9ff0eb/4711448407424.jpg/100x134bb.jpg</x:v>
      </x:c>
      <x:c r="X12" t="str">
        <x:v>https://music.apple.com/cn/new/top-charts</x:v>
      </x:c>
      <x:c r="Y12" t="str">
        <x:v>https://rss.marketingtools.apple.com/api/v2/cn/music/most-played/100/songs.json</x:v>
      </x:c>
      <x:c r="Z12" s="24" t="str">
        <x:f>IFERROR(VLOOKUP(F12,'07_字典与参数'!$A$5:$E$10,3,FALSE),"待映射")</x:f>
        <x:v>Apple Music</x:v>
      </x:c>
      <x:c r="AA12" s="24" t="str">
        <x:f>IFERROR(VLOOKUP(F12,'07_字典与参数'!$A$5:$E$10,2,FALSE),"待映射")</x:f>
        <x:v>热门歌曲排行</x:v>
      </x:c>
      <x:c r="AB12" s="24" t="str">
        <x:f>IFERROR(VLOOKUP(F12,'07_字典与参数'!$A$5:$E$10,4,FALSE),"待映射")</x:f>
        <x:v>每日公开快照</x:v>
      </x:c>
      <x:c r="AC12" s="24" t="str">
        <x:f>D12&amp;"|"&amp;F12&amp;"|"&amp;L12</x:f>
        <x:v>apple_music|cn_top_100|1624001317</x:v>
      </x:c>
      <x:c r="AD12" s="24" t="str">
        <x:f>IF(J12&lt;=10,"是","否")</x:f>
        <x:v>是</x:v>
      </x:c>
      <x:c r="AE12" s="24" t="n">
        <x:f>IFERROR(YEAR(R12),"缺失")</x:f>
        <x:v>2008</x:v>
      </x:c>
    </x:row>
    <x:row r="13">
      <x:c r="A13" t="str">
        <x:v>20260812T132133+0800</x:v>
      </x:c>
      <x:c r="B13" t="n">
        <x:v>46246.22329861111</x:v>
      </x:c>
      <x:c r="C13" t="str">
        <x:v>2026-08-12</x:v>
      </x:c>
      <x:c r="D13" t="str">
        <x:v>apple_music</x:v>
      </x:c>
      <x:c r="E13" t="str">
        <x:v>CN</x:v>
      </x:c>
      <x:c r="F13" t="str">
        <x:v>cn_top_100</x:v>
      </x:c>
      <x:c r="G13" t="str">
        <x:v>热门歌曲排行</x:v>
      </x:c>
      <x:c r="H13" t="str">
        <x:v>apple_music_cn_most_played_100</x:v>
      </x:c>
      <x:c r="I13" t="n">
        <x:v>100</x:v>
      </x:c>
      <x:c r="J13" t="n">
        <x:v>9</x:v>
      </x:c>
      <x:c r="K13" t="n">
        <x:v>92</x:v>
      </x:c>
      <x:c r="L13" t="str">
        <x:v>255921025</x:v>
      </x:c>
      <x:c r="M13" t="str">
        <x:v>我不难过</x:v>
      </x:c>
      <x:c r="N13" t="str">
        <x:v>83405200</x:v>
      </x:c>
      <x:c r="O13" t="str">
        <x:v>孙燕姿</x:v>
      </x:c>
      <x:c r="P13" t="str"/>
      <x:c r="Q13" t="str"/>
      <x:c r="R13" t="str">
        <x:v>2003-01-07</x:v>
      </x:c>
      <x:c r="S13" t="str">
        <x:v>音乐 | 国际流行</x:v>
      </x:c>
      <x:c r="T13"/>
      <x:c r="U13"/>
      <x:c r="V13" t="str">
        <x:v>https://music.apple.com/cn/album/%E6%88%91%E4%B8%8D%E9%9A%BE%E8%BF%87/255920420?i=255921025</x:v>
      </x:c>
      <x:c r="W13" t="str">
        <x:v>https://is1-ssl.mzstatic.com/image/thumb/Music124/v4/24/fc/1d/24fc1d3e-b37f-968f-3d21-880edc8f8d79/mzi.ybwydvjn.jpg/100x100bb.jpg</x:v>
      </x:c>
      <x:c r="X13" t="str">
        <x:v>https://music.apple.com/cn/new/top-charts</x:v>
      </x:c>
      <x:c r="Y13" t="str">
        <x:v>https://rss.marketingtools.apple.com/api/v2/cn/music/most-played/100/songs.json</x:v>
      </x:c>
      <x:c r="Z13" s="24" t="str">
        <x:f>IFERROR(VLOOKUP(F13,'07_字典与参数'!$A$5:$E$10,3,FALSE),"待映射")</x:f>
        <x:v>Apple Music</x:v>
      </x:c>
      <x:c r="AA13" s="24" t="str">
        <x:f>IFERROR(VLOOKUP(F13,'07_字典与参数'!$A$5:$E$10,2,FALSE),"待映射")</x:f>
        <x:v>热门歌曲排行</x:v>
      </x:c>
      <x:c r="AB13" s="24" t="str">
        <x:f>IFERROR(VLOOKUP(F13,'07_字典与参数'!$A$5:$E$10,4,FALSE),"待映射")</x:f>
        <x:v>每日公开快照</x:v>
      </x:c>
      <x:c r="AC13" s="24" t="str">
        <x:f>D13&amp;"|"&amp;F13&amp;"|"&amp;L13</x:f>
        <x:v>apple_music|cn_top_100|255921025</x:v>
      </x:c>
      <x:c r="AD13" s="24" t="str">
        <x:f>IF(J13&lt;=10,"是","否")</x:f>
        <x:v>是</x:v>
      </x:c>
      <x:c r="AE13" s="24" t="n">
        <x:f>IFERROR(YEAR(R13),"缺失")</x:f>
        <x:v>2003</x:v>
      </x:c>
    </x:row>
    <x:row r="14">
      <x:c r="A14" t="str">
        <x:v>20260812T132133+0800</x:v>
      </x:c>
      <x:c r="B14" t="n">
        <x:v>46246.22329861111</x:v>
      </x:c>
      <x:c r="C14" t="str">
        <x:v>2026-08-12</x:v>
      </x:c>
      <x:c r="D14" t="str">
        <x:v>apple_music</x:v>
      </x:c>
      <x:c r="E14" t="str">
        <x:v>CN</x:v>
      </x:c>
      <x:c r="F14" t="str">
        <x:v>cn_top_100</x:v>
      </x:c>
      <x:c r="G14" t="str">
        <x:v>热门歌曲排行</x:v>
      </x:c>
      <x:c r="H14" t="str">
        <x:v>apple_music_cn_most_played_100</x:v>
      </x:c>
      <x:c r="I14" t="n">
        <x:v>100</x:v>
      </x:c>
      <x:c r="J14" t="n">
        <x:v>10</x:v>
      </x:c>
      <x:c r="K14" t="n">
        <x:v>91</x:v>
      </x:c>
      <x:c r="L14" t="str">
        <x:v>536009753</x:v>
      </x:c>
      <x:c r="M14" t="str">
        <x:v>一路向北 (Bonus Track)</x:v>
      </x:c>
      <x:c r="N14" t="str">
        <x:v>300117743</x:v>
      </x:c>
      <x:c r="O14" t="str">
        <x:v>周杰伦</x:v>
      </x:c>
      <x:c r="P14" t="str"/>
      <x:c r="Q14" t="str"/>
      <x:c r="R14" t="str">
        <x:v>2005-11-01</x:v>
      </x:c>
      <x:c r="S14" t="str">
        <x:v>音乐 | 国际流行</x:v>
      </x:c>
      <x:c r="T14"/>
      <x:c r="U14"/>
      <x:c r="V14" t="str">
        <x:v>https://music.apple.com/cn/album/%E4%B8%80%E8%B7%AF%E5%90%91%E5%8C%97-bonus-track/536009641?i=536009753</x:v>
      </x:c>
      <x:c r="W14" t="str">
        <x:v>https://is1-ssl.mzstatic.com/image/thumb/Music115/v4/9e/35/ad/9e35ad1e-749e-75b6-0539-1e80cea1817b/JAY11.jpg/100x109bb.jpg</x:v>
      </x:c>
      <x:c r="X14" t="str">
        <x:v>https://music.apple.com/cn/new/top-charts</x:v>
      </x:c>
      <x:c r="Y14" t="str">
        <x:v>https://rss.marketingtools.apple.com/api/v2/cn/music/most-played/100/songs.json</x:v>
      </x:c>
      <x:c r="Z14" s="24" t="str">
        <x:f>IFERROR(VLOOKUP(F14,'07_字典与参数'!$A$5:$E$10,3,FALSE),"待映射")</x:f>
        <x:v>Apple Music</x:v>
      </x:c>
      <x:c r="AA14" s="24" t="str">
        <x:f>IFERROR(VLOOKUP(F14,'07_字典与参数'!$A$5:$E$10,2,FALSE),"待映射")</x:f>
        <x:v>热门歌曲排行</x:v>
      </x:c>
      <x:c r="AB14" s="24" t="str">
        <x:f>IFERROR(VLOOKUP(F14,'07_字典与参数'!$A$5:$E$10,4,FALSE),"待映射")</x:f>
        <x:v>每日公开快照</x:v>
      </x:c>
      <x:c r="AC14" s="24" t="str">
        <x:f>D14&amp;"|"&amp;F14&amp;"|"&amp;L14</x:f>
        <x:v>apple_music|cn_top_100|536009753</x:v>
      </x:c>
      <x:c r="AD14" s="24" t="str">
        <x:f>IF(J14&lt;=10,"是","否")</x:f>
        <x:v>是</x:v>
      </x:c>
      <x:c r="AE14" s="24" t="n">
        <x:f>IFERROR(YEAR(R14),"缺失")</x:f>
        <x:v>2005</x:v>
      </x:c>
    </x:row>
    <x:row r="15">
      <x:c r="A15" t="str">
        <x:v>20260812T132133+0800</x:v>
      </x:c>
      <x:c r="B15" t="n">
        <x:v>46246.22329861111</x:v>
      </x:c>
      <x:c r="C15" t="str">
        <x:v>2026-08-12</x:v>
      </x:c>
      <x:c r="D15" t="str">
        <x:v>apple_music</x:v>
      </x:c>
      <x:c r="E15" t="str">
        <x:v>CN</x:v>
      </x:c>
      <x:c r="F15" t="str">
        <x:v>cn_top_100</x:v>
      </x:c>
      <x:c r="G15" t="str">
        <x:v>热门歌曲排行</x:v>
      </x:c>
      <x:c r="H15" t="str">
        <x:v>apple_music_cn_most_played_100</x:v>
      </x:c>
      <x:c r="I15" t="n">
        <x:v>100</x:v>
      </x:c>
      <x:c r="J15" t="n">
        <x:v>11</x:v>
      </x:c>
      <x:c r="K15" t="n">
        <x:v>90</x:v>
      </x:c>
      <x:c r="L15" t="str">
        <x:v>1579903651</x:v>
      </x:c>
      <x:c r="M15" t="str">
        <x:v>特别的人</x:v>
      </x:c>
      <x:c r="N15" t="str">
        <x:v>201549024</x:v>
      </x:c>
      <x:c r="O15" t="str">
        <x:v>方大同</x:v>
      </x:c>
      <x:c r="P15" t="str"/>
      <x:c r="Q15" t="str"/>
      <x:c r="R15" t="str">
        <x:v>2014-01-01</x:v>
      </x:c>
      <x:c r="S15" t="str">
        <x:v>音乐 | 国际流行</x:v>
      </x:c>
      <x:c r="T15"/>
      <x:c r="U15"/>
      <x:c r="V15" t="str">
        <x:v>https://music.apple.com/cn/album/%E7%89%B9%E5%88%AB%E7%9A%84%E4%BA%BA/1579903639?i=1579903651</x:v>
      </x:c>
      <x:c r="W15" t="str">
        <x:v>https://is1-ssl.mzstatic.com/image/thumb/Music125/v4/35/d7/2a/35d72a0a-7e0c-fc2d-b2da-4bd030219997/190296501159.jpg/100x100bb.jpg</x:v>
      </x:c>
      <x:c r="X15" t="str">
        <x:v>https://music.apple.com/cn/new/top-charts</x:v>
      </x:c>
      <x:c r="Y15" t="str">
        <x:v>https://rss.marketingtools.apple.com/api/v2/cn/music/most-played/100/songs.json</x:v>
      </x:c>
      <x:c r="Z15" s="24" t="str">
        <x:f>IFERROR(VLOOKUP(F15,'07_字典与参数'!$A$5:$E$10,3,FALSE),"待映射")</x:f>
        <x:v>Apple Music</x:v>
      </x:c>
      <x:c r="AA15" s="24" t="str">
        <x:f>IFERROR(VLOOKUP(F15,'07_字典与参数'!$A$5:$E$10,2,FALSE),"待映射")</x:f>
        <x:v>热门歌曲排行</x:v>
      </x:c>
      <x:c r="AB15" s="24" t="str">
        <x:f>IFERROR(VLOOKUP(F15,'07_字典与参数'!$A$5:$E$10,4,FALSE),"待映射")</x:f>
        <x:v>每日公开快照</x:v>
      </x:c>
      <x:c r="AC15" s="24" t="str">
        <x:f>D15&amp;"|"&amp;F15&amp;"|"&amp;L15</x:f>
        <x:v>apple_music|cn_top_100|1579903651</x:v>
      </x:c>
      <x:c r="AD15" s="24" t="str">
        <x:f>IF(J15&lt;=10,"是","否")</x:f>
        <x:v>否</x:v>
      </x:c>
      <x:c r="AE15" s="24" t="n">
        <x:f>IFERROR(YEAR(R15),"缺失")</x:f>
        <x:v>2014</x:v>
      </x:c>
    </x:row>
    <x:row r="16">
      <x:c r="A16" t="str">
        <x:v>20260812T132133+0800</x:v>
      </x:c>
      <x:c r="B16" t="n">
        <x:v>46246.22329861111</x:v>
      </x:c>
      <x:c r="C16" t="str">
        <x:v>2026-08-12</x:v>
      </x:c>
      <x:c r="D16" t="str">
        <x:v>apple_music</x:v>
      </x:c>
      <x:c r="E16" t="str">
        <x:v>CN</x:v>
      </x:c>
      <x:c r="F16" t="str">
        <x:v>cn_top_100</x:v>
      </x:c>
      <x:c r="G16" t="str">
        <x:v>热门歌曲排行</x:v>
      </x:c>
      <x:c r="H16" t="str">
        <x:v>apple_music_cn_most_played_100</x:v>
      </x:c>
      <x:c r="I16" t="n">
        <x:v>100</x:v>
      </x:c>
      <x:c r="J16" t="n">
        <x:v>12</x:v>
      </x:c>
      <x:c r="K16" t="n">
        <x:v>89</x:v>
      </x:c>
      <x:c r="L16" t="str">
        <x:v>1717030438</x:v>
      </x:c>
      <x:c r="M16" t="str">
        <x:v>唯一</x:v>
      </x:c>
      <x:c r="N16" t="str">
        <x:v>425208570</x:v>
      </x:c>
      <x:c r="O16" t="str">
        <x:v>邓紫棋</x:v>
      </x:c>
      <x:c r="P16" t="str"/>
      <x:c r="Q16" t="str"/>
      <x:c r="R16" t="str">
        <x:v>2023-09-24</x:v>
      </x:c>
      <x:c r="S16" t="str">
        <x:v>音乐 | 国际流行</x:v>
      </x:c>
      <x:c r="T16"/>
      <x:c r="U16"/>
      <x:c r="V16" t="str">
        <x:v>https://music.apple.com/cn/album/%E5%94%AF%E4%B8%80/1717030435?i=1717030438</x:v>
      </x:c>
      <x:c r="W16" t="str">
        <x:v>https://is1-ssl.mzstatic.com/image/thumb/Music116/v4/41/26/4d/41264d25-c463-6870-0462-4556e91e17e5/196871647434.jpg/100x100bb.jpg</x:v>
      </x:c>
      <x:c r="X16" t="str">
        <x:v>https://music.apple.com/cn/new/top-charts</x:v>
      </x:c>
      <x:c r="Y16" t="str">
        <x:v>https://rss.marketingtools.apple.com/api/v2/cn/music/most-played/100/songs.json</x:v>
      </x:c>
      <x:c r="Z16" s="24" t="str">
        <x:f>IFERROR(VLOOKUP(F16,'07_字典与参数'!$A$5:$E$10,3,FALSE),"待映射")</x:f>
        <x:v>Apple Music</x:v>
      </x:c>
      <x:c r="AA16" s="24" t="str">
        <x:f>IFERROR(VLOOKUP(F16,'07_字典与参数'!$A$5:$E$10,2,FALSE),"待映射")</x:f>
        <x:v>热门歌曲排行</x:v>
      </x:c>
      <x:c r="AB16" s="24" t="str">
        <x:f>IFERROR(VLOOKUP(F16,'07_字典与参数'!$A$5:$E$10,4,FALSE),"待映射")</x:f>
        <x:v>每日公开快照</x:v>
      </x:c>
      <x:c r="AC16" s="24" t="str">
        <x:f>D16&amp;"|"&amp;F16&amp;"|"&amp;L16</x:f>
        <x:v>apple_music|cn_top_100|1717030438</x:v>
      </x:c>
      <x:c r="AD16" s="24" t="str">
        <x:f>IF(J16&lt;=10,"是","否")</x:f>
        <x:v>否</x:v>
      </x:c>
      <x:c r="AE16" s="24" t="n">
        <x:f>IFERROR(YEAR(R16),"缺失")</x:f>
        <x:v>2023</x:v>
      </x:c>
    </x:row>
    <x:row r="17">
      <x:c r="A17" t="str">
        <x:v>20260812T132133+0800</x:v>
      </x:c>
      <x:c r="B17" t="n">
        <x:v>46246.22329861111</x:v>
      </x:c>
      <x:c r="C17" t="str">
        <x:v>2026-08-12</x:v>
      </x:c>
      <x:c r="D17" t="str">
        <x:v>apple_music</x:v>
      </x:c>
      <x:c r="E17" t="str">
        <x:v>CN</x:v>
      </x:c>
      <x:c r="F17" t="str">
        <x:v>cn_top_100</x:v>
      </x:c>
      <x:c r="G17" t="str">
        <x:v>热门歌曲排行</x:v>
      </x:c>
      <x:c r="H17" t="str">
        <x:v>apple_music_cn_most_played_100</x:v>
      </x:c>
      <x:c r="I17" t="n">
        <x:v>100</x:v>
      </x:c>
      <x:c r="J17" t="n">
        <x:v>13</x:v>
      </x:c>
      <x:c r="K17" t="n">
        <x:v>88</x:v>
      </x:c>
      <x:c r="L17" t="str">
        <x:v>535739349</x:v>
      </x:c>
      <x:c r="M17" t="str">
        <x:v>爱在西元前</x:v>
      </x:c>
      <x:c r="N17" t="str">
        <x:v>300117743</x:v>
      </x:c>
      <x:c r="O17" t="str">
        <x:v>周杰伦</x:v>
      </x:c>
      <x:c r="P17" t="str"/>
      <x:c r="Q17" t="str"/>
      <x:c r="R17" t="str">
        <x:v>2001-09-14</x:v>
      </x:c>
      <x:c r="S17" t="str">
        <x:v>音乐 | 国际流行</x:v>
      </x:c>
      <x:c r="T17"/>
      <x:c r="U17"/>
      <x:c r="V17" t="str">
        <x:v>https://music.apple.com/cn/album/%E7%88%B1%E5%9C%A8%E8%A5%BF%E5%85%83%E5%89%8D/535739206?i=535739349</x:v>
      </x:c>
      <x:c r="W17" t="str">
        <x:v>https://is1-ssl.mzstatic.com/image/thumb/Music124/v4/a4/f2/f0/a4f2f0d4-cc80-d1a0-7f20-a0cc842a523c/JAY.jpg/100x115bb.jpg</x:v>
      </x:c>
      <x:c r="X17" t="str">
        <x:v>https://music.apple.com/cn/new/top-charts</x:v>
      </x:c>
      <x:c r="Y17" t="str">
        <x:v>https://rss.marketingtools.apple.com/api/v2/cn/music/most-played/100/songs.json</x:v>
      </x:c>
      <x:c r="Z17" s="24" t="str">
        <x:f>IFERROR(VLOOKUP(F17,'07_字典与参数'!$A$5:$E$10,3,FALSE),"待映射")</x:f>
        <x:v>Apple Music</x:v>
      </x:c>
      <x:c r="AA17" s="24" t="str">
        <x:f>IFERROR(VLOOKUP(F17,'07_字典与参数'!$A$5:$E$10,2,FALSE),"待映射")</x:f>
        <x:v>热门歌曲排行</x:v>
      </x:c>
      <x:c r="AB17" s="24" t="str">
        <x:f>IFERROR(VLOOKUP(F17,'07_字典与参数'!$A$5:$E$10,4,FALSE),"待映射")</x:f>
        <x:v>每日公开快照</x:v>
      </x:c>
      <x:c r="AC17" s="24" t="str">
        <x:f>D17&amp;"|"&amp;F17&amp;"|"&amp;L17</x:f>
        <x:v>apple_music|cn_top_100|535739349</x:v>
      </x:c>
      <x:c r="AD17" s="24" t="str">
        <x:f>IF(J17&lt;=10,"是","否")</x:f>
        <x:v>否</x:v>
      </x:c>
      <x:c r="AE17" s="24" t="n">
        <x:f>IFERROR(YEAR(R17),"缺失")</x:f>
        <x:v>2001</x:v>
      </x:c>
    </x:row>
    <x:row r="18">
      <x:c r="A18" t="str">
        <x:v>20260812T132133+0800</x:v>
      </x:c>
      <x:c r="B18" t="n">
        <x:v>46246.22329861111</x:v>
      </x:c>
      <x:c r="C18" t="str">
        <x:v>2026-08-12</x:v>
      </x:c>
      <x:c r="D18" t="str">
        <x:v>apple_music</x:v>
      </x:c>
      <x:c r="E18" t="str">
        <x:v>CN</x:v>
      </x:c>
      <x:c r="F18" t="str">
        <x:v>cn_top_100</x:v>
      </x:c>
      <x:c r="G18" t="str">
        <x:v>热门歌曲排行</x:v>
      </x:c>
      <x:c r="H18" t="str">
        <x:v>apple_music_cn_most_played_100</x:v>
      </x:c>
      <x:c r="I18" t="n">
        <x:v>100</x:v>
      </x:c>
      <x:c r="J18" t="n">
        <x:v>14</x:v>
      </x:c>
      <x:c r="K18" t="n">
        <x:v>87</x:v>
      </x:c>
      <x:c r="L18" t="str">
        <x:v>6769327013</x:v>
      </x:c>
      <x:c r="M18" t="str">
        <x:v>玻璃</x:v>
      </x:c>
      <x:c r="N18" t="str">
        <x:v>1330022393</x:v>
      </x:c>
      <x:c r="O18" t="str">
        <x:v>Gareth.T</x:v>
      </x:c>
      <x:c r="P18" t="str"/>
      <x:c r="Q18" t="str"/>
      <x:c r="R18" t="str">
        <x:v>2026-05-20</x:v>
      </x:c>
      <x:c r="S18" t="str">
        <x:v>音乐 | 国际流行</x:v>
      </x:c>
      <x:c r="T18"/>
      <x:c r="U18"/>
      <x:c r="V18" t="str">
        <x:v>https://music.apple.com/cn/album/%E7%8E%BB%E7%92%83/6769327003?i=6769327013</x:v>
      </x:c>
      <x:c r="W18" t="str">
        <x:v>https://is1-ssl.mzstatic.com/image/thumb/Music211/v4/1c/1a/be/1c1abe3a-2eb6-216c-9040-797bb98464d1/827568024145.jpg/100x100bb.jpg</x:v>
      </x:c>
      <x:c r="X18" t="str">
        <x:v>https://music.apple.com/cn/new/top-charts</x:v>
      </x:c>
      <x:c r="Y18" t="str">
        <x:v>https://rss.marketingtools.apple.com/api/v2/cn/music/most-played/100/songs.json</x:v>
      </x:c>
      <x:c r="Z18" s="24" t="str">
        <x:f>IFERROR(VLOOKUP(F18,'07_字典与参数'!$A$5:$E$10,3,FALSE),"待映射")</x:f>
        <x:v>Apple Music</x:v>
      </x:c>
      <x:c r="AA18" s="24" t="str">
        <x:f>IFERROR(VLOOKUP(F18,'07_字典与参数'!$A$5:$E$10,2,FALSE),"待映射")</x:f>
        <x:v>热门歌曲排行</x:v>
      </x:c>
      <x:c r="AB18" s="24" t="str">
        <x:f>IFERROR(VLOOKUP(F18,'07_字典与参数'!$A$5:$E$10,4,FALSE),"待映射")</x:f>
        <x:v>每日公开快照</x:v>
      </x:c>
      <x:c r="AC18" s="24" t="str">
        <x:f>D18&amp;"|"&amp;F18&amp;"|"&amp;L18</x:f>
        <x:v>apple_music|cn_top_100|6769327013</x:v>
      </x:c>
      <x:c r="AD18" s="24" t="str">
        <x:f>IF(J18&lt;=10,"是","否")</x:f>
        <x:v>否</x:v>
      </x:c>
      <x:c r="AE18" s="24" t="n">
        <x:f>IFERROR(YEAR(R18),"缺失")</x:f>
        <x:v>2026</x:v>
      </x:c>
    </x:row>
    <x:row r="19">
      <x:c r="A19" t="str">
        <x:v>20260812T132133+0800</x:v>
      </x:c>
      <x:c r="B19" t="n">
        <x:v>46246.22329861111</x:v>
      </x:c>
      <x:c r="C19" t="str">
        <x:v>2026-08-12</x:v>
      </x:c>
      <x:c r="D19" t="str">
        <x:v>apple_music</x:v>
      </x:c>
      <x:c r="E19" t="str">
        <x:v>CN</x:v>
      </x:c>
      <x:c r="F19" t="str">
        <x:v>cn_top_100</x:v>
      </x:c>
      <x:c r="G19" t="str">
        <x:v>热门歌曲排行</x:v>
      </x:c>
      <x:c r="H19" t="str">
        <x:v>apple_music_cn_most_played_100</x:v>
      </x:c>
      <x:c r="I19" t="n">
        <x:v>100</x:v>
      </x:c>
      <x:c r="J19" t="n">
        <x:v>15</x:v>
      </x:c>
      <x:c r="K19" t="n">
        <x:v>86</x:v>
      </x:c>
      <x:c r="L19" t="str">
        <x:v>1336404847</x:v>
      </x:c>
      <x:c r="M19" t="str">
        <x:v>等你下课 (with 杨瑞代)</x:v>
      </x:c>
      <x:c r="N19" t="str">
        <x:v>300117743</x:v>
      </x:c>
      <x:c r="O19" t="str">
        <x:v>周杰伦</x:v>
      </x:c>
      <x:c r="P19" t="str"/>
      <x:c r="Q19" t="str"/>
      <x:c r="R19" t="str">
        <x:v>2018-01-18</x:v>
      </x:c>
      <x:c r="S19" t="str">
        <x:v>音乐 | 国际流行</x:v>
      </x:c>
      <x:c r="T19"/>
      <x:c r="U19"/>
      <x:c r="V19" t="str">
        <x:v>https://music.apple.com/cn/album/%E7%AD%89%E4%BD%A0%E4%B8%8B%E8%AF%BE-with-%E6%9D%A8%E7%91%9E%E4%BB%A3/1336404440?i=1336404847</x:v>
      </x:c>
      <x:c r="W19" t="str">
        <x:v>https://is1-ssl.mzstatic.com/image/thumb/Music114/v4/85/a5/52/85a55237-6d96-a656-21cf-715b72be15a9/cover.jpg/100x100bb.jpg</x:v>
      </x:c>
      <x:c r="X19" t="str">
        <x:v>https://music.apple.com/cn/new/top-charts</x:v>
      </x:c>
      <x:c r="Y19" t="str">
        <x:v>https://rss.marketingtools.apple.com/api/v2/cn/music/most-played/100/songs.json</x:v>
      </x:c>
      <x:c r="Z19" s="24" t="str">
        <x:f>IFERROR(VLOOKUP(F19,'07_字典与参数'!$A$5:$E$10,3,FALSE),"待映射")</x:f>
        <x:v>Apple Music</x:v>
      </x:c>
      <x:c r="AA19" s="24" t="str">
        <x:f>IFERROR(VLOOKUP(F19,'07_字典与参数'!$A$5:$E$10,2,FALSE),"待映射")</x:f>
        <x:v>热门歌曲排行</x:v>
      </x:c>
      <x:c r="AB19" s="24" t="str">
        <x:f>IFERROR(VLOOKUP(F19,'07_字典与参数'!$A$5:$E$10,4,FALSE),"待映射")</x:f>
        <x:v>每日公开快照</x:v>
      </x:c>
      <x:c r="AC19" s="24" t="str">
        <x:f>D19&amp;"|"&amp;F19&amp;"|"&amp;L19</x:f>
        <x:v>apple_music|cn_top_100|1336404847</x:v>
      </x:c>
      <x:c r="AD19" s="24" t="str">
        <x:f>IF(J19&lt;=10,"是","否")</x:f>
        <x:v>否</x:v>
      </x:c>
      <x:c r="AE19" s="24" t="n">
        <x:f>IFERROR(YEAR(R19),"缺失")</x:f>
        <x:v>2018</x:v>
      </x:c>
    </x:row>
    <x:row r="20">
      <x:c r="A20" t="str">
        <x:v>20260812T132133+0800</x:v>
      </x:c>
      <x:c r="B20" t="n">
        <x:v>46246.22329861111</x:v>
      </x:c>
      <x:c r="C20" t="str">
        <x:v>2026-08-12</x:v>
      </x:c>
      <x:c r="D20" t="str">
        <x:v>apple_music</x:v>
      </x:c>
      <x:c r="E20" t="str">
        <x:v>CN</x:v>
      </x:c>
      <x:c r="F20" t="str">
        <x:v>cn_top_100</x:v>
      </x:c>
      <x:c r="G20" t="str">
        <x:v>热门歌曲排行</x:v>
      </x:c>
      <x:c r="H20" t="str">
        <x:v>apple_music_cn_most_played_100</x:v>
      </x:c>
      <x:c r="I20" t="n">
        <x:v>100</x:v>
      </x:c>
      <x:c r="J20" t="n">
        <x:v>16</x:v>
      </x:c>
      <x:c r="K20" t="n">
        <x:v>85</x:v>
      </x:c>
      <x:c r="L20" t="str">
        <x:v>347295290</x:v>
      </x:c>
      <x:c r="M20" t="str">
        <x:v>雨爱</x:v>
      </x:c>
      <x:c r="N20" t="str">
        <x:v>299846702</x:v>
      </x:c>
      <x:c r="O20" t="str">
        <x:v>杨丞琳</x:v>
      </x:c>
      <x:c r="P20" t="str"/>
      <x:c r="Q20" t="str"/>
      <x:c r="R20" t="str">
        <x:v>2009-12-21</x:v>
      </x:c>
      <x:c r="S20" t="str">
        <x:v>音乐 | 国际流行</x:v>
      </x:c>
      <x:c r="T20"/>
      <x:c r="U20"/>
      <x:c r="V20" t="str">
        <x:v>https://music.apple.com/cn/album/%E9%9B%A8%E7%88%B1/347295255?i=347295290</x:v>
      </x:c>
      <x:c r="W20" t="str">
        <x:v>https://is1-ssl.mzstatic.com/image/thumb/Music/bc/e0/e5/mzi.mzfgcpgj.jpg/100x100bb.jpg</x:v>
      </x:c>
      <x:c r="X20" t="str">
        <x:v>https://music.apple.com/cn/new/top-charts</x:v>
      </x:c>
      <x:c r="Y20" t="str">
        <x:v>https://rss.marketingtools.apple.com/api/v2/cn/music/most-played/100/songs.json</x:v>
      </x:c>
      <x:c r="Z20" s="24" t="str">
        <x:f>IFERROR(VLOOKUP(F20,'07_字典与参数'!$A$5:$E$10,3,FALSE),"待映射")</x:f>
        <x:v>Apple Music</x:v>
      </x:c>
      <x:c r="AA20" s="24" t="str">
        <x:f>IFERROR(VLOOKUP(F20,'07_字典与参数'!$A$5:$E$10,2,FALSE),"待映射")</x:f>
        <x:v>热门歌曲排行</x:v>
      </x:c>
      <x:c r="AB20" s="24" t="str">
        <x:f>IFERROR(VLOOKUP(F20,'07_字典与参数'!$A$5:$E$10,4,FALSE),"待映射")</x:f>
        <x:v>每日公开快照</x:v>
      </x:c>
      <x:c r="AC20" s="24" t="str">
        <x:f>D20&amp;"|"&amp;F20&amp;"|"&amp;L20</x:f>
        <x:v>apple_music|cn_top_100|347295290</x:v>
      </x:c>
      <x:c r="AD20" s="24" t="str">
        <x:f>IF(J20&lt;=10,"是","否")</x:f>
        <x:v>否</x:v>
      </x:c>
      <x:c r="AE20" s="24" t="n">
        <x:f>IFERROR(YEAR(R20),"缺失")</x:f>
        <x:v>2009</x:v>
      </x:c>
    </x:row>
    <x:row r="21">
      <x:c r="A21" t="str">
        <x:v>20260812T132133+0800</x:v>
      </x:c>
      <x:c r="B21" t="n">
        <x:v>46246.22329861111</x:v>
      </x:c>
      <x:c r="C21" t="str">
        <x:v>2026-08-12</x:v>
      </x:c>
      <x:c r="D21" t="str">
        <x:v>apple_music</x:v>
      </x:c>
      <x:c r="E21" t="str">
        <x:v>CN</x:v>
      </x:c>
      <x:c r="F21" t="str">
        <x:v>cn_top_100</x:v>
      </x:c>
      <x:c r="G21" t="str">
        <x:v>热门歌曲排行</x:v>
      </x:c>
      <x:c r="H21" t="str">
        <x:v>apple_music_cn_most_played_100</x:v>
      </x:c>
      <x:c r="I21" t="n">
        <x:v>100</x:v>
      </x:c>
      <x:c r="J21" t="n">
        <x:v>17</x:v>
      </x:c>
      <x:c r="K21" t="n">
        <x:v>84</x:v>
      </x:c>
      <x:c r="L21" t="str">
        <x:v>1624001324</x:v>
      </x:c>
      <x:c r="M21" t="str">
        <x:v>稻香</x:v>
      </x:c>
      <x:c r="N21" t="str">
        <x:v>300117743</x:v>
      </x:c>
      <x:c r="O21" t="str">
        <x:v>周杰伦</x:v>
      </x:c>
      <x:c r="P21" t="str"/>
      <x:c r="Q21" t="str"/>
      <x:c r="R21" t="str">
        <x:v>2008-10-14</x:v>
      </x:c>
      <x:c r="S21" t="str">
        <x:v>音乐 | 国际流行</x:v>
      </x:c>
      <x:c r="T21"/>
      <x:c r="U21"/>
      <x:c r="V21" t="str">
        <x:v>https://music.apple.com/cn/album/%E7%A8%BB%E9%A6%99/1624000713?i=1624001324</x:v>
      </x:c>
      <x:c r="W21" t="str">
        <x:v>https://is1-ssl.mzstatic.com/image/thumb/Music122/v4/1b/63/9e/1b639e5b-f8ca-a6e1-8612-6396bc9ff0eb/4711448407424.jpg/100x134bb.jpg</x:v>
      </x:c>
      <x:c r="X21" t="str">
        <x:v>https://music.apple.com/cn/new/top-charts</x:v>
      </x:c>
      <x:c r="Y21" t="str">
        <x:v>https://rss.marketingtools.apple.com/api/v2/cn/music/most-played/100/songs.json</x:v>
      </x:c>
      <x:c r="Z21" s="24" t="str">
        <x:f>IFERROR(VLOOKUP(F21,'07_字典与参数'!$A$5:$E$10,3,FALSE),"待映射")</x:f>
        <x:v>Apple Music</x:v>
      </x:c>
      <x:c r="AA21" s="24" t="str">
        <x:f>IFERROR(VLOOKUP(F21,'07_字典与参数'!$A$5:$E$10,2,FALSE),"待映射")</x:f>
        <x:v>热门歌曲排行</x:v>
      </x:c>
      <x:c r="AB21" s="24" t="str">
        <x:f>IFERROR(VLOOKUP(F21,'07_字典与参数'!$A$5:$E$10,4,FALSE),"待映射")</x:f>
        <x:v>每日公开快照</x:v>
      </x:c>
      <x:c r="AC21" s="24" t="str">
        <x:f>D21&amp;"|"&amp;F21&amp;"|"&amp;L21</x:f>
        <x:v>apple_music|cn_top_100|1624001324</x:v>
      </x:c>
      <x:c r="AD21" s="24" t="str">
        <x:f>IF(J21&lt;=10,"是","否")</x:f>
        <x:v>否</x:v>
      </x:c>
      <x:c r="AE21" s="24" t="n">
        <x:f>IFERROR(YEAR(R21),"缺失")</x:f>
        <x:v>2008</x:v>
      </x:c>
    </x:row>
    <x:row r="22">
      <x:c r="A22" t="str">
        <x:v>20260812T132133+0800</x:v>
      </x:c>
      <x:c r="B22" t="n">
        <x:v>46246.22329861111</x:v>
      </x:c>
      <x:c r="C22" t="str">
        <x:v>2026-08-12</x:v>
      </x:c>
      <x:c r="D22" t="str">
        <x:v>apple_music</x:v>
      </x:c>
      <x:c r="E22" t="str">
        <x:v>CN</x:v>
      </x:c>
      <x:c r="F22" t="str">
        <x:v>cn_top_100</x:v>
      </x:c>
      <x:c r="G22" t="str">
        <x:v>热门歌曲排行</x:v>
      </x:c>
      <x:c r="H22" t="str">
        <x:v>apple_music_cn_most_played_100</x:v>
      </x:c>
      <x:c r="I22" t="n">
        <x:v>100</x:v>
      </x:c>
      <x:c r="J22" t="n">
        <x:v>18</x:v>
      </x:c>
      <x:c r="K22" t="n">
        <x:v>83</x:v>
      </x:c>
      <x:c r="L22" t="str">
        <x:v>6763656878</x:v>
      </x:c>
      <x:c r="M22" t="str">
        <x:v>petal</x:v>
      </x:c>
      <x:c r="N22" t="str">
        <x:v>412778295</x:v>
      </x:c>
      <x:c r="O22" t="str">
        <x:v>Ariana Grande</x:v>
      </x:c>
      <x:c r="P22" t="str"/>
      <x:c r="Q22" t="str"/>
      <x:c r="R22" t="str">
        <x:v>2026-07-31</x:v>
      </x:c>
      <x:c r="S22" t="str">
        <x:v>国际流行 | 音乐</x:v>
      </x:c>
      <x:c r="T22"/>
      <x:c r="U22"/>
      <x:c r="V22" t="str">
        <x:v>https://music.apple.com/cn/album/petal/1895420989?i=6763656878</x:v>
      </x:c>
      <x:c r="W22" t="str">
        <x:v>https://is1-ssl.mzstatic.com/image/thumb/Music211/v4/7e/e6/82/7ee682bd-1b17-6adc-be63-b5af1bdff369/26UMGIM51126.rgb.jpg/100x100bb.jpg</x:v>
      </x:c>
      <x:c r="X22" t="str">
        <x:v>https://music.apple.com/cn/new/top-charts</x:v>
      </x:c>
      <x:c r="Y22" t="str">
        <x:v>https://rss.marketingtools.apple.com/api/v2/cn/music/most-played/100/songs.json</x:v>
      </x:c>
      <x:c r="Z22" s="24" t="str">
        <x:f>IFERROR(VLOOKUP(F22,'07_字典与参数'!$A$5:$E$10,3,FALSE),"待映射")</x:f>
        <x:v>Apple Music</x:v>
      </x:c>
      <x:c r="AA22" s="24" t="str">
        <x:f>IFERROR(VLOOKUP(F22,'07_字典与参数'!$A$5:$E$10,2,FALSE),"待映射")</x:f>
        <x:v>热门歌曲排行</x:v>
      </x:c>
      <x:c r="AB22" s="24" t="str">
        <x:f>IFERROR(VLOOKUP(F22,'07_字典与参数'!$A$5:$E$10,4,FALSE),"待映射")</x:f>
        <x:v>每日公开快照</x:v>
      </x:c>
      <x:c r="AC22" s="24" t="str">
        <x:f>D22&amp;"|"&amp;F22&amp;"|"&amp;L22</x:f>
        <x:v>apple_music|cn_top_100|6763656878</x:v>
      </x:c>
      <x:c r="AD22" s="24" t="str">
        <x:f>IF(J22&lt;=10,"是","否")</x:f>
        <x:v>否</x:v>
      </x:c>
      <x:c r="AE22" s="24" t="n">
        <x:f>IFERROR(YEAR(R22),"缺失")</x:f>
        <x:v>2026</x:v>
      </x:c>
    </x:row>
    <x:row r="23">
      <x:c r="A23" t="str">
        <x:v>20260812T132133+0800</x:v>
      </x:c>
      <x:c r="B23" t="n">
        <x:v>46246.22329861111</x:v>
      </x:c>
      <x:c r="C23" t="str">
        <x:v>2026-08-12</x:v>
      </x:c>
      <x:c r="D23" t="str">
        <x:v>apple_music</x:v>
      </x:c>
      <x:c r="E23" t="str">
        <x:v>CN</x:v>
      </x:c>
      <x:c r="F23" t="str">
        <x:v>cn_top_100</x:v>
      </x:c>
      <x:c r="G23" t="str">
        <x:v>热门歌曲排行</x:v>
      </x:c>
      <x:c r="H23" t="str">
        <x:v>apple_music_cn_most_played_100</x:v>
      </x:c>
      <x:c r="I23" t="n">
        <x:v>100</x:v>
      </x:c>
      <x:c r="J23" t="n">
        <x:v>19</x:v>
      </x:c>
      <x:c r="K23" t="n">
        <x:v>82</x:v>
      </x:c>
      <x:c r="L23" t="str">
        <x:v>6793277028</x:v>
      </x:c>
      <x:c r="M23" t="str">
        <x:v>Less than a Lover</x:v>
      </x:c>
      <x:c r="N23" t="str">
        <x:v>913944</x:v>
      </x:c>
      <x:c r="O23" t="str">
        <x:v>JENNIE</x:v>
      </x:c>
      <x:c r="P23" t="str"/>
      <x:c r="Q23" t="str"/>
      <x:c r="R23" t="str">
        <x:v>2026-07-24</x:v>
      </x:c>
      <x:c r="S23" t="str">
        <x:v>国际流行 | 音乐 | K-Pop</x:v>
      </x:c>
      <x:c r="T23"/>
      <x:c r="U23"/>
      <x:c r="V23" t="str">
        <x:v>https://music.apple.com/cn/album/less-than-a-lover/6793277024?i=6793277028</x:v>
      </x:c>
      <x:c r="W23" t="str">
        <x:v>https://is1-ssl.mzstatic.com/image/thumb/Music211/v4/8d/ac/90/8dac9090-2a14-20d9-ed97-6a35ad299beb/196874620281.jpg/100x100bb.jpg</x:v>
      </x:c>
      <x:c r="X23" t="str">
        <x:v>https://music.apple.com/cn/new/top-charts</x:v>
      </x:c>
      <x:c r="Y23" t="str">
        <x:v>https://rss.marketingtools.apple.com/api/v2/cn/music/most-played/100/songs.json</x:v>
      </x:c>
      <x:c r="Z23" s="24" t="str">
        <x:f>IFERROR(VLOOKUP(F23,'07_字典与参数'!$A$5:$E$10,3,FALSE),"待映射")</x:f>
        <x:v>Apple Music</x:v>
      </x:c>
      <x:c r="AA23" s="24" t="str">
        <x:f>IFERROR(VLOOKUP(F23,'07_字典与参数'!$A$5:$E$10,2,FALSE),"待映射")</x:f>
        <x:v>热门歌曲排行</x:v>
      </x:c>
      <x:c r="AB23" s="24" t="str">
        <x:f>IFERROR(VLOOKUP(F23,'07_字典与参数'!$A$5:$E$10,4,FALSE),"待映射")</x:f>
        <x:v>每日公开快照</x:v>
      </x:c>
      <x:c r="AC23" s="24" t="str">
        <x:f>D23&amp;"|"&amp;F23&amp;"|"&amp;L23</x:f>
        <x:v>apple_music|cn_top_100|6793277028</x:v>
      </x:c>
      <x:c r="AD23" s="24" t="str">
        <x:f>IF(J23&lt;=10,"是","否")</x:f>
        <x:v>否</x:v>
      </x:c>
      <x:c r="AE23" s="24" t="n">
        <x:f>IFERROR(YEAR(R23),"缺失")</x:f>
        <x:v>2026</x:v>
      </x:c>
    </x:row>
    <x:row r="24">
      <x:c r="A24" t="str">
        <x:v>20260812T132133+0800</x:v>
      </x:c>
      <x:c r="B24" t="n">
        <x:v>46246.22329861111</x:v>
      </x:c>
      <x:c r="C24" t="str">
        <x:v>2026-08-12</x:v>
      </x:c>
      <x:c r="D24" t="str">
        <x:v>apple_music</x:v>
      </x:c>
      <x:c r="E24" t="str">
        <x:v>CN</x:v>
      </x:c>
      <x:c r="F24" t="str">
        <x:v>cn_top_100</x:v>
      </x:c>
      <x:c r="G24" t="str">
        <x:v>热门歌曲排行</x:v>
      </x:c>
      <x:c r="H24" t="str">
        <x:v>apple_music_cn_most_played_100</x:v>
      </x:c>
      <x:c r="I24" t="n">
        <x:v>100</x:v>
      </x:c>
      <x:c r="J24" t="n">
        <x:v>20</x:v>
      </x:c>
      <x:c r="K24" t="n">
        <x:v>81</x:v>
      </x:c>
      <x:c r="L24" t="str">
        <x:v>298837675</x:v>
      </x:c>
      <x:c r="M24" t="str">
        <x:v>开始懂了</x:v>
      </x:c>
      <x:c r="N24" t="str">
        <x:v>83405200</x:v>
      </x:c>
      <x:c r="O24" t="str">
        <x:v>孙燕姿</x:v>
      </x:c>
      <x:c r="P24" t="str"/>
      <x:c r="Q24" t="str"/>
      <x:c r="R24" t="str">
        <x:v>2000-12-07</x:v>
      </x:c>
      <x:c r="S24" t="str">
        <x:v>音乐 | 国际流行</x:v>
      </x:c>
      <x:c r="T24"/>
      <x:c r="U24"/>
      <x:c r="V24" t="str">
        <x:v>https://music.apple.com/cn/album/%E5%BC%80%E5%A7%8B%E6%87%82%E4%BA%86/298837646?i=298837675</x:v>
      </x:c>
      <x:c r="W24" t="str">
        <x:v>https://is1-ssl.mzstatic.com/image/thumb/Music/0f/99/a7/mzi.zsimusvk.jpg/100x89bb.jpg</x:v>
      </x:c>
      <x:c r="X24" t="str">
        <x:v>https://music.apple.com/cn/new/top-charts</x:v>
      </x:c>
      <x:c r="Y24" t="str">
        <x:v>https://rss.marketingtools.apple.com/api/v2/cn/music/most-played/100/songs.json</x:v>
      </x:c>
      <x:c r="Z24" s="24" t="str">
        <x:f>IFERROR(VLOOKUP(F24,'07_字典与参数'!$A$5:$E$10,3,FALSE),"待映射")</x:f>
        <x:v>Apple Music</x:v>
      </x:c>
      <x:c r="AA24" s="24" t="str">
        <x:f>IFERROR(VLOOKUP(F24,'07_字典与参数'!$A$5:$E$10,2,FALSE),"待映射")</x:f>
        <x:v>热门歌曲排行</x:v>
      </x:c>
      <x:c r="AB24" s="24" t="str">
        <x:f>IFERROR(VLOOKUP(F24,'07_字典与参数'!$A$5:$E$10,4,FALSE),"待映射")</x:f>
        <x:v>每日公开快照</x:v>
      </x:c>
      <x:c r="AC24" s="24" t="str">
        <x:f>D24&amp;"|"&amp;F24&amp;"|"&amp;L24</x:f>
        <x:v>apple_music|cn_top_100|298837675</x:v>
      </x:c>
      <x:c r="AD24" s="24" t="str">
        <x:f>IF(J24&lt;=10,"是","否")</x:f>
        <x:v>否</x:v>
      </x:c>
      <x:c r="AE24" s="24" t="n">
        <x:f>IFERROR(YEAR(R24),"缺失")</x:f>
        <x:v>2000</x:v>
      </x:c>
    </x:row>
    <x:row r="25">
      <x:c r="A25" t="str">
        <x:v>20260812T132133+0800</x:v>
      </x:c>
      <x:c r="B25" t="n">
        <x:v>46246.22329861111</x:v>
      </x:c>
      <x:c r="C25" t="str">
        <x:v>2026-08-12</x:v>
      </x:c>
      <x:c r="D25" t="str">
        <x:v>apple_music</x:v>
      </x:c>
      <x:c r="E25" t="str">
        <x:v>CN</x:v>
      </x:c>
      <x:c r="F25" t="str">
        <x:v>cn_top_100</x:v>
      </x:c>
      <x:c r="G25" t="str">
        <x:v>热门歌曲排行</x:v>
      </x:c>
      <x:c r="H25" t="str">
        <x:v>apple_music_cn_most_played_100</x:v>
      </x:c>
      <x:c r="I25" t="n">
        <x:v>100</x:v>
      </x:c>
      <x:c r="J25" t="n">
        <x:v>21</x:v>
      </x:c>
      <x:c r="K25" t="n">
        <x:v>80</x:v>
      </x:c>
      <x:c r="L25" t="str">
        <x:v>1095630246</x:v>
      </x:c>
      <x:c r="M25" t="str">
        <x:v>情歌</x:v>
      </x:c>
      <x:c r="N25" t="str">
        <x:v>531134701</x:v>
      </x:c>
      <x:c r="O25" t="str">
        <x:v>梁静茹</x:v>
      </x:c>
      <x:c r="P25" t="str"/>
      <x:c r="Q25" t="str"/>
      <x:c r="R25" t="str">
        <x:v>2009-01-16</x:v>
      </x:c>
      <x:c r="S25" t="str">
        <x:v>音乐 | 国际流行</x:v>
      </x:c>
      <x:c r="T25"/>
      <x:c r="U25"/>
      <x:c r="V25" t="str">
        <x:v>https://music.apple.com/cn/album/%E6%83%85%E6%AD%8C/1095630068?i=1095630246</x:v>
      </x:c>
      <x:c r="W25" t="str">
        <x:v>https://is1-ssl.mzstatic.com/image/thumb/Music115/v4/bf/f0/11/bff01142-f4f0-f9c4-f497-007f43e42783/BD0018-_-_Fall_In_Love_Songs.jpg/100x100bb.jpg</x:v>
      </x:c>
      <x:c r="X25" t="str">
        <x:v>https://music.apple.com/cn/new/top-charts</x:v>
      </x:c>
      <x:c r="Y25" t="str">
        <x:v>https://rss.marketingtools.apple.com/api/v2/cn/music/most-played/100/songs.json</x:v>
      </x:c>
      <x:c r="Z25" s="24" t="str">
        <x:f>IFERROR(VLOOKUP(F25,'07_字典与参数'!$A$5:$E$10,3,FALSE),"待映射")</x:f>
        <x:v>Apple Music</x:v>
      </x:c>
      <x:c r="AA25" s="24" t="str">
        <x:f>IFERROR(VLOOKUP(F25,'07_字典与参数'!$A$5:$E$10,2,FALSE),"待映射")</x:f>
        <x:v>热门歌曲排行</x:v>
      </x:c>
      <x:c r="AB25" s="24" t="str">
        <x:f>IFERROR(VLOOKUP(F25,'07_字典与参数'!$A$5:$E$10,4,FALSE),"待映射")</x:f>
        <x:v>每日公开快照</x:v>
      </x:c>
      <x:c r="AC25" s="24" t="str">
        <x:f>D25&amp;"|"&amp;F25&amp;"|"&amp;L25</x:f>
        <x:v>apple_music|cn_top_100|1095630246</x:v>
      </x:c>
      <x:c r="AD25" s="24" t="str">
        <x:f>IF(J25&lt;=10,"是","否")</x:f>
        <x:v>否</x:v>
      </x:c>
      <x:c r="AE25" s="24" t="n">
        <x:f>IFERROR(YEAR(R25),"缺失")</x:f>
        <x:v>2009</x:v>
      </x:c>
    </x:row>
    <x:row r="26">
      <x:c r="A26" t="str">
        <x:v>20260812T132133+0800</x:v>
      </x:c>
      <x:c r="B26" t="n">
        <x:v>46246.22329861111</x:v>
      </x:c>
      <x:c r="C26" t="str">
        <x:v>2026-08-12</x:v>
      </x:c>
      <x:c r="D26" t="str">
        <x:v>apple_music</x:v>
      </x:c>
      <x:c r="E26" t="str">
        <x:v>CN</x:v>
      </x:c>
      <x:c r="F26" t="str">
        <x:v>cn_top_100</x:v>
      </x:c>
      <x:c r="G26" t="str">
        <x:v>热门歌曲排行</x:v>
      </x:c>
      <x:c r="H26" t="str">
        <x:v>apple_music_cn_most_played_100</x:v>
      </x:c>
      <x:c r="I26" t="n">
        <x:v>100</x:v>
      </x:c>
      <x:c r="J26" t="n">
        <x:v>22</x:v>
      </x:c>
      <x:c r="K26" t="n">
        <x:v>79</x:v>
      </x:c>
      <x:c r="L26" t="str">
        <x:v>1443352465</x:v>
      </x:c>
      <x:c r="M26" t="str">
        <x:v>爱情转移</x:v>
      </x:c>
      <x:c r="N26" t="str">
        <x:v>137938148</x:v>
      </x:c>
      <x:c r="O26" t="str">
        <x:v>陈奕迅</x:v>
      </x:c>
      <x:c r="P26" t="str"/>
      <x:c r="Q26" t="str"/>
      <x:c r="R26" t="str">
        <x:v>2007-04-24</x:v>
      </x:c>
      <x:c r="S26" t="str">
        <x:v>音乐 | 国际流行</x:v>
      </x:c>
      <x:c r="T26"/>
      <x:c r="U26"/>
      <x:c r="V26" t="str">
        <x:v>https://music.apple.com/cn/album/%E7%88%B1%E6%83%85%E8%BD%AC%E7%A7%BB/1443352354?i=1443352465</x:v>
      </x:c>
      <x:c r="W26" t="str">
        <x:v>https://is1-ssl.mzstatic.com/image/thumb/Music124/v4/27/cb/d6/27cbd6b4-c991-cd95-49e3-b6019462ff97/00602517338845.rgb.jpg/100x91bb.jpg</x:v>
      </x:c>
      <x:c r="X26" t="str">
        <x:v>https://music.apple.com/cn/new/top-charts</x:v>
      </x:c>
      <x:c r="Y26" t="str">
        <x:v>https://rss.marketingtools.apple.com/api/v2/cn/music/most-played/100/songs.json</x:v>
      </x:c>
      <x:c r="Z26" s="24" t="str">
        <x:f>IFERROR(VLOOKUP(F26,'07_字典与参数'!$A$5:$E$10,3,FALSE),"待映射")</x:f>
        <x:v>Apple Music</x:v>
      </x:c>
      <x:c r="AA26" s="24" t="str">
        <x:f>IFERROR(VLOOKUP(F26,'07_字典与参数'!$A$5:$E$10,2,FALSE),"待映射")</x:f>
        <x:v>热门歌曲排行</x:v>
      </x:c>
      <x:c r="AB26" s="24" t="str">
        <x:f>IFERROR(VLOOKUP(F26,'07_字典与参数'!$A$5:$E$10,4,FALSE),"待映射")</x:f>
        <x:v>每日公开快照</x:v>
      </x:c>
      <x:c r="AC26" s="24" t="str">
        <x:f>D26&amp;"|"&amp;F26&amp;"|"&amp;L26</x:f>
        <x:v>apple_music|cn_top_100|1443352465</x:v>
      </x:c>
      <x:c r="AD26" s="24" t="str">
        <x:f>IF(J26&lt;=10,"是","否")</x:f>
        <x:v>否</x:v>
      </x:c>
      <x:c r="AE26" s="24" t="n">
        <x:f>IFERROR(YEAR(R26),"缺失")</x:f>
        <x:v>2007</x:v>
      </x:c>
    </x:row>
    <x:row r="27">
      <x:c r="A27" t="str">
        <x:v>20260812T132133+0800</x:v>
      </x:c>
      <x:c r="B27" t="n">
        <x:v>46246.22329861111</x:v>
      </x:c>
      <x:c r="C27" t="str">
        <x:v>2026-08-12</x:v>
      </x:c>
      <x:c r="D27" t="str">
        <x:v>apple_music</x:v>
      </x:c>
      <x:c r="E27" t="str">
        <x:v>CN</x:v>
      </x:c>
      <x:c r="F27" t="str">
        <x:v>cn_top_100</x:v>
      </x:c>
      <x:c r="G27" t="str">
        <x:v>热门歌曲排行</x:v>
      </x:c>
      <x:c r="H27" t="str">
        <x:v>apple_music_cn_most_played_100</x:v>
      </x:c>
      <x:c r="I27" t="n">
        <x:v>100</x:v>
      </x:c>
      <x:c r="J27" t="n">
        <x:v>23</x:v>
      </x:c>
      <x:c r="K27" t="n">
        <x:v>78</x:v>
      </x:c>
      <x:c r="L27" t="str">
        <x:v>536162079</x:v>
      </x:c>
      <x:c r="M27" t="str">
        <x:v>半岛铁盒</x:v>
      </x:c>
      <x:c r="N27" t="str">
        <x:v>300117743</x:v>
      </x:c>
      <x:c r="O27" t="str">
        <x:v>周杰伦</x:v>
      </x:c>
      <x:c r="P27" t="str"/>
      <x:c r="Q27" t="str"/>
      <x:c r="R27" t="str">
        <x:v>2002-07-18</x:v>
      </x:c>
      <x:c r="S27" t="str">
        <x:v>音乐 | 国际流行</x:v>
      </x:c>
      <x:c r="T27"/>
      <x:c r="U27"/>
      <x:c r="V27" t="str">
        <x:v>https://music.apple.com/cn/album/%E5%8D%8A%E5%B2%9B%E9%93%81%E7%9B%92/536161722?i=536162079</x:v>
      </x:c>
      <x:c r="W27" t="str">
        <x:v>https://is1-ssl.mzstatic.com/image/thumb/Music115/v4/96/c8/a1/96c8a1d8-8077-b8a7-8600-80b2abf1fe20/JAY.jpg/100x113bb.jpg</x:v>
      </x:c>
      <x:c r="X27" t="str">
        <x:v>https://music.apple.com/cn/new/top-charts</x:v>
      </x:c>
      <x:c r="Y27" t="str">
        <x:v>https://rss.marketingtools.apple.com/api/v2/cn/music/most-played/100/songs.json</x:v>
      </x:c>
      <x:c r="Z27" s="24" t="str">
        <x:f>IFERROR(VLOOKUP(F27,'07_字典与参数'!$A$5:$E$10,3,FALSE),"待映射")</x:f>
        <x:v>Apple Music</x:v>
      </x:c>
      <x:c r="AA27" s="24" t="str">
        <x:f>IFERROR(VLOOKUP(F27,'07_字典与参数'!$A$5:$E$10,2,FALSE),"待映射")</x:f>
        <x:v>热门歌曲排行</x:v>
      </x:c>
      <x:c r="AB27" s="24" t="str">
        <x:f>IFERROR(VLOOKUP(F27,'07_字典与参数'!$A$5:$E$10,4,FALSE),"待映射")</x:f>
        <x:v>每日公开快照</x:v>
      </x:c>
      <x:c r="AC27" s="24" t="str">
        <x:f>D27&amp;"|"&amp;F27&amp;"|"&amp;L27</x:f>
        <x:v>apple_music|cn_top_100|536162079</x:v>
      </x:c>
      <x:c r="AD27" s="24" t="str">
        <x:f>IF(J27&lt;=10,"是","否")</x:f>
        <x:v>否</x:v>
      </x:c>
      <x:c r="AE27" s="24" t="n">
        <x:f>IFERROR(YEAR(R27),"缺失")</x:f>
        <x:v>2002</x:v>
      </x:c>
    </x:row>
    <x:row r="28">
      <x:c r="A28" t="str">
        <x:v>20260812T132133+0800</x:v>
      </x:c>
      <x:c r="B28" t="n">
        <x:v>46246.22329861111</x:v>
      </x:c>
      <x:c r="C28" t="str">
        <x:v>2026-08-12</x:v>
      </x:c>
      <x:c r="D28" t="str">
        <x:v>apple_music</x:v>
      </x:c>
      <x:c r="E28" t="str">
        <x:v>CN</x:v>
      </x:c>
      <x:c r="F28" t="str">
        <x:v>cn_top_100</x:v>
      </x:c>
      <x:c r="G28" t="str">
        <x:v>热门歌曲排行</x:v>
      </x:c>
      <x:c r="H28" t="str">
        <x:v>apple_music_cn_most_played_100</x:v>
      </x:c>
      <x:c r="I28" t="n">
        <x:v>100</x:v>
      </x:c>
      <x:c r="J28" t="n">
        <x:v>24</x:v>
      </x:c>
      <x:c r="K28" t="n">
        <x:v>77</x:v>
      </x:c>
      <x:c r="L28" t="str">
        <x:v>1893599773</x:v>
      </x:c>
      <x:c r="M28" t="str">
        <x:v>LEMONADE</x:v>
      </x:c>
      <x:c r="N28" t="str">
        <x:v>1540251304</x:v>
      </x:c>
      <x:c r="O28" t="str">
        <x:v>aespa</x:v>
      </x:c>
      <x:c r="P28" t="str"/>
      <x:c r="Q28" t="str"/>
      <x:c r="R28" t="str">
        <x:v>2026-05-28</x:v>
      </x:c>
      <x:c r="S28" t="str">
        <x:v>K-Pop | 音乐 | 国际流行</x:v>
      </x:c>
      <x:c r="T28"/>
      <x:c r="U28"/>
      <x:c r="V28" t="str">
        <x:v>https://music.apple.com/cn/album/lemonade/1893599771?i=1893599773</x:v>
      </x:c>
      <x:c r="W28" t="str">
        <x:v>https://is1-ssl.mzstatic.com/image/thumb/Music221/v4/00/1d/e6/001de64e-c2f1-fd4b-3604-3d2e16641968/888735955211.png/100x100bb.jpg</x:v>
      </x:c>
      <x:c r="X28" t="str">
        <x:v>https://music.apple.com/cn/new/top-charts</x:v>
      </x:c>
      <x:c r="Y28" t="str">
        <x:v>https://rss.marketingtools.apple.com/api/v2/cn/music/most-played/100/songs.json</x:v>
      </x:c>
      <x:c r="Z28" s="24" t="str">
        <x:f>IFERROR(VLOOKUP(F28,'07_字典与参数'!$A$5:$E$10,3,FALSE),"待映射")</x:f>
        <x:v>Apple Music</x:v>
      </x:c>
      <x:c r="AA28" s="24" t="str">
        <x:f>IFERROR(VLOOKUP(F28,'07_字典与参数'!$A$5:$E$10,2,FALSE),"待映射")</x:f>
        <x:v>热门歌曲排行</x:v>
      </x:c>
      <x:c r="AB28" s="24" t="str">
        <x:f>IFERROR(VLOOKUP(F28,'07_字典与参数'!$A$5:$E$10,4,FALSE),"待映射")</x:f>
        <x:v>每日公开快照</x:v>
      </x:c>
      <x:c r="AC28" s="24" t="str">
        <x:f>D28&amp;"|"&amp;F28&amp;"|"&amp;L28</x:f>
        <x:v>apple_music|cn_top_100|1893599773</x:v>
      </x:c>
      <x:c r="AD28" s="24" t="str">
        <x:f>IF(J28&lt;=10,"是","否")</x:f>
        <x:v>否</x:v>
      </x:c>
      <x:c r="AE28" s="24" t="n">
        <x:f>IFERROR(YEAR(R28),"缺失")</x:f>
        <x:v>2026</x:v>
      </x:c>
    </x:row>
    <x:row r="29">
      <x:c r="A29" t="str">
        <x:v>20260812T132133+0800</x:v>
      </x:c>
      <x:c r="B29" t="n">
        <x:v>46246.22329861111</x:v>
      </x:c>
      <x:c r="C29" t="str">
        <x:v>2026-08-12</x:v>
      </x:c>
      <x:c r="D29" t="str">
        <x:v>apple_music</x:v>
      </x:c>
      <x:c r="E29" t="str">
        <x:v>CN</x:v>
      </x:c>
      <x:c r="F29" t="str">
        <x:v>cn_top_100</x:v>
      </x:c>
      <x:c r="G29" t="str">
        <x:v>热门歌曲排行</x:v>
      </x:c>
      <x:c r="H29" t="str">
        <x:v>apple_music_cn_most_played_100</x:v>
      </x:c>
      <x:c r="I29" t="n">
        <x:v>100</x:v>
      </x:c>
      <x:c r="J29" t="n">
        <x:v>25</x:v>
      </x:c>
      <x:c r="K29" t="n">
        <x:v>76</x:v>
      </x:c>
      <x:c r="L29" t="str">
        <x:v>1752810526</x:v>
      </x:c>
      <x:c r="M29" t="str">
        <x:v>恋人</x:v>
      </x:c>
      <x:c r="N29" t="str">
        <x:v>307674970</x:v>
      </x:c>
      <x:c r="O29" t="str">
        <x:v>李荣浩</x:v>
      </x:c>
      <x:c r="P29" t="str"/>
      <x:c r="Q29" t="str"/>
      <x:c r="R29" t="str">
        <x:v>2024-06-28</x:v>
      </x:c>
      <x:c r="S29" t="str">
        <x:v>音乐 | 国际流行</x:v>
      </x:c>
      <x:c r="T29"/>
      <x:c r="U29"/>
      <x:c r="V29" t="str">
        <x:v>https://music.apple.com/cn/album/%E6%81%8B%E4%BA%BA/1752810525?i=1752810526</x:v>
      </x:c>
      <x:c r="W29" t="str">
        <x:v>https://is1-ssl.mzstatic.com/image/thumb/Music221/v4/4d/96/d6/4d96d6ea-0181-fd91-9fa0-6f102bd5c7dc/196872225358.jpg/100x100bb.jpg</x:v>
      </x:c>
      <x:c r="X29" t="str">
        <x:v>https://music.apple.com/cn/new/top-charts</x:v>
      </x:c>
      <x:c r="Y29" t="str">
        <x:v>https://rss.marketingtools.apple.com/api/v2/cn/music/most-played/100/songs.json</x:v>
      </x:c>
      <x:c r="Z29" s="24" t="str">
        <x:f>IFERROR(VLOOKUP(F29,'07_字典与参数'!$A$5:$E$10,3,FALSE),"待映射")</x:f>
        <x:v>Apple Music</x:v>
      </x:c>
      <x:c r="AA29" s="24" t="str">
        <x:f>IFERROR(VLOOKUP(F29,'07_字典与参数'!$A$5:$E$10,2,FALSE),"待映射")</x:f>
        <x:v>热门歌曲排行</x:v>
      </x:c>
      <x:c r="AB29" s="24" t="str">
        <x:f>IFERROR(VLOOKUP(F29,'07_字典与参数'!$A$5:$E$10,4,FALSE),"待映射")</x:f>
        <x:v>每日公开快照</x:v>
      </x:c>
      <x:c r="AC29" s="24" t="str">
        <x:f>D29&amp;"|"&amp;F29&amp;"|"&amp;L29</x:f>
        <x:v>apple_music|cn_top_100|1752810526</x:v>
      </x:c>
      <x:c r="AD29" s="24" t="str">
        <x:f>IF(J29&lt;=10,"是","否")</x:f>
        <x:v>否</x:v>
      </x:c>
      <x:c r="AE29" s="24" t="n">
        <x:f>IFERROR(YEAR(R29),"缺失")</x:f>
        <x:v>2024</x:v>
      </x:c>
    </x:row>
    <x:row r="30">
      <x:c r="A30" t="str">
        <x:v>20260812T132133+0800</x:v>
      </x:c>
      <x:c r="B30" t="n">
        <x:v>46246.22329861111</x:v>
      </x:c>
      <x:c r="C30" t="str">
        <x:v>2026-08-12</x:v>
      </x:c>
      <x:c r="D30" t="str">
        <x:v>apple_music</x:v>
      </x:c>
      <x:c r="E30" t="str">
        <x:v>CN</x:v>
      </x:c>
      <x:c r="F30" t="str">
        <x:v>cn_top_100</x:v>
      </x:c>
      <x:c r="G30" t="str">
        <x:v>热门歌曲排行</x:v>
      </x:c>
      <x:c r="H30" t="str">
        <x:v>apple_music_cn_most_played_100</x:v>
      </x:c>
      <x:c r="I30" t="n">
        <x:v>100</x:v>
      </x:c>
      <x:c r="J30" t="n">
        <x:v>26</x:v>
      </x:c>
      <x:c r="K30" t="n">
        <x:v>75</x:v>
      </x:c>
      <x:c r="L30" t="str">
        <x:v>949320731</x:v>
      </x:c>
      <x:c r="M30" t="str">
        <x:v>Angel</x:v>
      </x:c>
      <x:c r="N30" t="str">
        <x:v>326451219</x:v>
      </x:c>
      <x:c r="O30" t="str">
        <x:v>YOON MIRAE, Tiger JK &amp; Bizzy</x:v>
      </x:c>
      <x:c r="P30" t="str"/>
      <x:c r="Q30" t="str"/>
      <x:c r="R30" t="str">
        <x:v>2014-12-08</x:v>
      </x:c>
      <x:c r="S30" t="str">
        <x:v>K-Pop | 音乐 | 国际流行 | 嘻哈/说唱</x:v>
      </x:c>
      <x:c r="T30"/>
      <x:c r="U30"/>
      <x:c r="V30" t="str">
        <x:v>https://music.apple.com/cn/album/angel/949320723?i=949320731</x:v>
      </x:c>
      <x:c r="W30" t="str">
        <x:v>https://is1-ssl.mzstatic.com/image/thumb/Music124/v4/01/00/05/01000595-d059-9656-64f9-e7fd8892f649/cover-_with_JK_DS.jpg/100x100bb.jpg</x:v>
      </x:c>
      <x:c r="X30" t="str">
        <x:v>https://music.apple.com/cn/new/top-charts</x:v>
      </x:c>
      <x:c r="Y30" t="str">
        <x:v>https://rss.marketingtools.apple.com/api/v2/cn/music/most-played/100/songs.json</x:v>
      </x:c>
      <x:c r="Z30" s="24" t="str">
        <x:f>IFERROR(VLOOKUP(F30,'07_字典与参数'!$A$5:$E$10,3,FALSE),"待映射")</x:f>
        <x:v>Apple Music</x:v>
      </x:c>
      <x:c r="AA30" s="24" t="str">
        <x:f>IFERROR(VLOOKUP(F30,'07_字典与参数'!$A$5:$E$10,2,FALSE),"待映射")</x:f>
        <x:v>热门歌曲排行</x:v>
      </x:c>
      <x:c r="AB30" s="24" t="str">
        <x:f>IFERROR(VLOOKUP(F30,'07_字典与参数'!$A$5:$E$10,4,FALSE),"待映射")</x:f>
        <x:v>每日公开快照</x:v>
      </x:c>
      <x:c r="AC30" s="24" t="str">
        <x:f>D30&amp;"|"&amp;F30&amp;"|"&amp;L30</x:f>
        <x:v>apple_music|cn_top_100|949320731</x:v>
      </x:c>
      <x:c r="AD30" s="24" t="str">
        <x:f>IF(J30&lt;=10,"是","否")</x:f>
        <x:v>否</x:v>
      </x:c>
      <x:c r="AE30" s="24" t="n">
        <x:f>IFERROR(YEAR(R30),"缺失")</x:f>
        <x:v>2014</x:v>
      </x:c>
    </x:row>
    <x:row r="31">
      <x:c r="A31" t="str">
        <x:v>20260812T132133+0800</x:v>
      </x:c>
      <x:c r="B31" t="n">
        <x:v>46246.22329861111</x:v>
      </x:c>
      <x:c r="C31" t="str">
        <x:v>2026-08-12</x:v>
      </x:c>
      <x:c r="D31" t="str">
        <x:v>apple_music</x:v>
      </x:c>
      <x:c r="E31" t="str">
        <x:v>CN</x:v>
      </x:c>
      <x:c r="F31" t="str">
        <x:v>cn_top_100</x:v>
      </x:c>
      <x:c r="G31" t="str">
        <x:v>热门歌曲排行</x:v>
      </x:c>
      <x:c r="H31" t="str">
        <x:v>apple_music_cn_most_played_100</x:v>
      </x:c>
      <x:c r="I31" t="n">
        <x:v>100</x:v>
      </x:c>
      <x:c r="J31" t="n">
        <x:v>27</x:v>
      </x:c>
      <x:c r="K31" t="n">
        <x:v>74</x:v>
      </x:c>
      <x:c r="L31" t="str">
        <x:v>200473135</x:v>
      </x:c>
      <x:c r="M31" t="str">
        <x:v>阴天</x:v>
      </x:c>
      <x:c r="N31" t="str">
        <x:v>162585630</x:v>
      </x:c>
      <x:c r="O31" t="str">
        <x:v>莫文蔚</x:v>
      </x:c>
      <x:c r="P31" t="str"/>
      <x:c r="Q31" t="str"/>
      <x:c r="R31" t="str">
        <x:v>1999-01-01</x:v>
      </x:c>
      <x:c r="S31" t="str">
        <x:v>音乐 | 国际流行</x:v>
      </x:c>
      <x:c r="T31"/>
      <x:c r="U31"/>
      <x:c r="V31" t="str">
        <x:v>https://music.apple.com/cn/album/%E9%98%B4%E5%A4%A9/200469374?i=200473135</x:v>
      </x:c>
      <x:c r="W31" t="str">
        <x:v>https://is1-ssl.mzstatic.com/image/thumb/Music124/v4/81/cc/52/81cc5224-3ace-5e3c-468a-17b4b71da831/dj.aqolbuce.jpg/100x100bb.jpg</x:v>
      </x:c>
      <x:c r="X31" t="str">
        <x:v>https://music.apple.com/cn/new/top-charts</x:v>
      </x:c>
      <x:c r="Y31" t="str">
        <x:v>https://rss.marketingtools.apple.com/api/v2/cn/music/most-played/100/songs.json</x:v>
      </x:c>
      <x:c r="Z31" s="24" t="str">
        <x:f>IFERROR(VLOOKUP(F31,'07_字典与参数'!$A$5:$E$10,3,FALSE),"待映射")</x:f>
        <x:v>Apple Music</x:v>
      </x:c>
      <x:c r="AA31" s="24" t="str">
        <x:f>IFERROR(VLOOKUP(F31,'07_字典与参数'!$A$5:$E$10,2,FALSE),"待映射")</x:f>
        <x:v>热门歌曲排行</x:v>
      </x:c>
      <x:c r="AB31" s="24" t="str">
        <x:f>IFERROR(VLOOKUP(F31,'07_字典与参数'!$A$5:$E$10,4,FALSE),"待映射")</x:f>
        <x:v>每日公开快照</x:v>
      </x:c>
      <x:c r="AC31" s="24" t="str">
        <x:f>D31&amp;"|"&amp;F31&amp;"|"&amp;L31</x:f>
        <x:v>apple_music|cn_top_100|200473135</x:v>
      </x:c>
      <x:c r="AD31" s="24" t="str">
        <x:f>IF(J31&lt;=10,"是","否")</x:f>
        <x:v>否</x:v>
      </x:c>
      <x:c r="AE31" s="24" t="n">
        <x:f>IFERROR(YEAR(R31),"缺失")</x:f>
        <x:v>1999</x:v>
      </x:c>
    </x:row>
    <x:row r="32">
      <x:c r="A32" t="str">
        <x:v>20260812T132133+0800</x:v>
      </x:c>
      <x:c r="B32" t="n">
        <x:v>46246.22329861111</x:v>
      </x:c>
      <x:c r="C32" t="str">
        <x:v>2026-08-12</x:v>
      </x:c>
      <x:c r="D32" t="str">
        <x:v>apple_music</x:v>
      </x:c>
      <x:c r="E32" t="str">
        <x:v>CN</x:v>
      </x:c>
      <x:c r="F32" t="str">
        <x:v>cn_top_100</x:v>
      </x:c>
      <x:c r="G32" t="str">
        <x:v>热门歌曲排行</x:v>
      </x:c>
      <x:c r="H32" t="str">
        <x:v>apple_music_cn_most_played_100</x:v>
      </x:c>
      <x:c r="I32" t="n">
        <x:v>100</x:v>
      </x:c>
      <x:c r="J32" t="n">
        <x:v>28</x:v>
      </x:c>
      <x:c r="K32" t="n">
        <x:v>73</x:v>
      </x:c>
      <x:c r="L32" t="str">
        <x:v>536009642</x:v>
      </x:c>
      <x:c r="M32" t="str">
        <x:v>夜曲</x:v>
      </x:c>
      <x:c r="N32" t="str">
        <x:v>300117743</x:v>
      </x:c>
      <x:c r="O32" t="str">
        <x:v>周杰伦</x:v>
      </x:c>
      <x:c r="P32" t="str"/>
      <x:c r="Q32" t="str"/>
      <x:c r="R32" t="str">
        <x:v>2005-11-01</x:v>
      </x:c>
      <x:c r="S32" t="str">
        <x:v>音乐 | 国际流行</x:v>
      </x:c>
      <x:c r="T32"/>
      <x:c r="U32"/>
      <x:c r="V32" t="str">
        <x:v>https://music.apple.com/cn/album/%E5%A4%9C%E6%9B%B2/536009641?i=536009642</x:v>
      </x:c>
      <x:c r="W32" t="str">
        <x:v>https://is1-ssl.mzstatic.com/image/thumb/Music115/v4/9e/35/ad/9e35ad1e-749e-75b6-0539-1e80cea1817b/JAY11.jpg/100x109bb.jpg</x:v>
      </x:c>
      <x:c r="X32" t="str">
        <x:v>https://music.apple.com/cn/new/top-charts</x:v>
      </x:c>
      <x:c r="Y32" t="str">
        <x:v>https://rss.marketingtools.apple.com/api/v2/cn/music/most-played/100/songs.json</x:v>
      </x:c>
      <x:c r="Z32" s="24" t="str">
        <x:f>IFERROR(VLOOKUP(F32,'07_字典与参数'!$A$5:$E$10,3,FALSE),"待映射")</x:f>
        <x:v>Apple Music</x:v>
      </x:c>
      <x:c r="AA32" s="24" t="str">
        <x:f>IFERROR(VLOOKUP(F32,'07_字典与参数'!$A$5:$E$10,2,FALSE),"待映射")</x:f>
        <x:v>热门歌曲排行</x:v>
      </x:c>
      <x:c r="AB32" s="24" t="str">
        <x:f>IFERROR(VLOOKUP(F32,'07_字典与参数'!$A$5:$E$10,4,FALSE),"待映射")</x:f>
        <x:v>每日公开快照</x:v>
      </x:c>
      <x:c r="AC32" s="24" t="str">
        <x:f>D32&amp;"|"&amp;F32&amp;"|"&amp;L32</x:f>
        <x:v>apple_music|cn_top_100|536009642</x:v>
      </x:c>
      <x:c r="AD32" s="24" t="str">
        <x:f>IF(J32&lt;=10,"是","否")</x:f>
        <x:v>否</x:v>
      </x:c>
      <x:c r="AE32" s="24" t="n">
        <x:f>IFERROR(YEAR(R32),"缺失")</x:f>
        <x:v>2005</x:v>
      </x:c>
    </x:row>
    <x:row r="33">
      <x:c r="A33" t="str">
        <x:v>20260812T132133+0800</x:v>
      </x:c>
      <x:c r="B33" t="n">
        <x:v>46246.22329861111</x:v>
      </x:c>
      <x:c r="C33" t="str">
        <x:v>2026-08-12</x:v>
      </x:c>
      <x:c r="D33" t="str">
        <x:v>apple_music</x:v>
      </x:c>
      <x:c r="E33" t="str">
        <x:v>CN</x:v>
      </x:c>
      <x:c r="F33" t="str">
        <x:v>cn_top_100</x:v>
      </x:c>
      <x:c r="G33" t="str">
        <x:v>热门歌曲排行</x:v>
      </x:c>
      <x:c r="H33" t="str">
        <x:v>apple_music_cn_most_played_100</x:v>
      </x:c>
      <x:c r="I33" t="n">
        <x:v>100</x:v>
      </x:c>
      <x:c r="J33" t="n">
        <x:v>29</x:v>
      </x:c>
      <x:c r="K33" t="n">
        <x:v>72</x:v>
      </x:c>
      <x:c r="L33" t="str">
        <x:v>905206660</x:v>
      </x:c>
      <x:c r="M33" t="str">
        <x:v>爱我还是他</x:v>
      </x:c>
      <x:c r="N33" t="str">
        <x:v>16789930</x:v>
      </x:c>
      <x:c r="O33" t="str">
        <x:v>陶喆</x:v>
      </x:c>
      <x:c r="P33" t="str"/>
      <x:c r="Q33" t="str"/>
      <x:c r="R33" t="str">
        <x:v>2005-01-07</x:v>
      </x:c>
      <x:c r="S33" t="str">
        <x:v>音乐 | 国际流行</x:v>
      </x:c>
      <x:c r="T33"/>
      <x:c r="U33"/>
      <x:c r="V33" t="str">
        <x:v>https://music.apple.com/cn/album/%E7%88%B1%E6%88%91%E8%BF%98%E6%98%AF%E4%BB%96/905206649?i=905206660</x:v>
      </x:c>
      <x:c r="W33" t="str">
        <x:v>https://is1-ssl.mzstatic.com/image/thumb/Music125/v4/fe/ad/e7/feade7c8-826b-0379-fbf4-e59606db8e4c/825646245406.jpg/100x115bb.jpg</x:v>
      </x:c>
      <x:c r="X33" t="str">
        <x:v>https://music.apple.com/cn/new/top-charts</x:v>
      </x:c>
      <x:c r="Y33" t="str">
        <x:v>https://rss.marketingtools.apple.com/api/v2/cn/music/most-played/100/songs.json</x:v>
      </x:c>
      <x:c r="Z33" s="24" t="str">
        <x:f>IFERROR(VLOOKUP(F33,'07_字典与参数'!$A$5:$E$10,3,FALSE),"待映射")</x:f>
        <x:v>Apple Music</x:v>
      </x:c>
      <x:c r="AA33" s="24" t="str">
        <x:f>IFERROR(VLOOKUP(F33,'07_字典与参数'!$A$5:$E$10,2,FALSE),"待映射")</x:f>
        <x:v>热门歌曲排行</x:v>
      </x:c>
      <x:c r="AB33" s="24" t="str">
        <x:f>IFERROR(VLOOKUP(F33,'07_字典与参数'!$A$5:$E$10,4,FALSE),"待映射")</x:f>
        <x:v>每日公开快照</x:v>
      </x:c>
      <x:c r="AC33" s="24" t="str">
        <x:f>D33&amp;"|"&amp;F33&amp;"|"&amp;L33</x:f>
        <x:v>apple_music|cn_top_100|905206660</x:v>
      </x:c>
      <x:c r="AD33" s="24" t="str">
        <x:f>IF(J33&lt;=10,"是","否")</x:f>
        <x:v>否</x:v>
      </x:c>
      <x:c r="AE33" s="24" t="n">
        <x:f>IFERROR(YEAR(R33),"缺失")</x:f>
        <x:v>2005</x:v>
      </x:c>
    </x:row>
    <x:row r="34">
      <x:c r="A34" t="str">
        <x:v>20260812T132133+0800</x:v>
      </x:c>
      <x:c r="B34" t="n">
        <x:v>46246.22329861111</x:v>
      </x:c>
      <x:c r="C34" t="str">
        <x:v>2026-08-12</x:v>
      </x:c>
      <x:c r="D34" t="str">
        <x:v>apple_music</x:v>
      </x:c>
      <x:c r="E34" t="str">
        <x:v>CN</x:v>
      </x:c>
      <x:c r="F34" t="str">
        <x:v>cn_top_100</x:v>
      </x:c>
      <x:c r="G34" t="str">
        <x:v>热门歌曲排行</x:v>
      </x:c>
      <x:c r="H34" t="str">
        <x:v>apple_music_cn_most_played_100</x:v>
      </x:c>
      <x:c r="I34" t="n">
        <x:v>100</x:v>
      </x:c>
      <x:c r="J34" t="n">
        <x:v>30</x:v>
      </x:c>
      <x:c r="K34" t="n">
        <x:v>71</x:v>
      </x:c>
      <x:c r="L34" t="str">
        <x:v>1118757877</x:v>
      </x:c>
      <x:c r="M34" t="str">
        <x:v>告白气球</x:v>
      </x:c>
      <x:c r="N34" t="str">
        <x:v>300117743</x:v>
      </x:c>
      <x:c r="O34" t="str">
        <x:v>周杰伦</x:v>
      </x:c>
      <x:c r="P34" t="str"/>
      <x:c r="Q34" t="str"/>
      <x:c r="R34" t="str">
        <x:v>2016-06-24</x:v>
      </x:c>
      <x:c r="S34" t="str">
        <x:v>音乐 | 国际流行</x:v>
      </x:c>
      <x:c r="T34"/>
      <x:c r="U34"/>
      <x:c r="V34" t="str">
        <x:v>https://music.apple.com/cn/album/%E5%91%8A%E7%99%BD%E6%B0%94%E7%90%83/1118757859?i=1118757877</x:v>
      </x:c>
      <x:c r="W34" t="str">
        <x:v>https://is1-ssl.mzstatic.com/image/thumb/Music124/v4/58/28/f4/5828f491-62ab-61b6-25b4-23838e4f1dcf/dj.sxbqzong.jpg/100x100bb.jpg</x:v>
      </x:c>
      <x:c r="X34" t="str">
        <x:v>https://music.apple.com/cn/new/top-charts</x:v>
      </x:c>
      <x:c r="Y34" t="str">
        <x:v>https://rss.marketingtools.apple.com/api/v2/cn/music/most-played/100/songs.json</x:v>
      </x:c>
      <x:c r="Z34" s="24" t="str">
        <x:f>IFERROR(VLOOKUP(F34,'07_字典与参数'!$A$5:$E$10,3,FALSE),"待映射")</x:f>
        <x:v>Apple Music</x:v>
      </x:c>
      <x:c r="AA34" s="24" t="str">
        <x:f>IFERROR(VLOOKUP(F34,'07_字典与参数'!$A$5:$E$10,2,FALSE),"待映射")</x:f>
        <x:v>热门歌曲排行</x:v>
      </x:c>
      <x:c r="AB34" s="24" t="str">
        <x:f>IFERROR(VLOOKUP(F34,'07_字典与参数'!$A$5:$E$10,4,FALSE),"待映射")</x:f>
        <x:v>每日公开快照</x:v>
      </x:c>
      <x:c r="AC34" s="24" t="str">
        <x:f>D34&amp;"|"&amp;F34&amp;"|"&amp;L34</x:f>
        <x:v>apple_music|cn_top_100|1118757877</x:v>
      </x:c>
      <x:c r="AD34" s="24" t="str">
        <x:f>IF(J34&lt;=10,"是","否")</x:f>
        <x:v>否</x:v>
      </x:c>
      <x:c r="AE34" s="24" t="n">
        <x:f>IFERROR(YEAR(R34),"缺失")</x:f>
        <x:v>2016</x:v>
      </x:c>
    </x:row>
    <x:row r="35">
      <x:c r="A35" t="str">
        <x:v>20260812T132133+0800</x:v>
      </x:c>
      <x:c r="B35" t="n">
        <x:v>46246.22329861111</x:v>
      </x:c>
      <x:c r="C35" t="str">
        <x:v>2026-08-12</x:v>
      </x:c>
      <x:c r="D35" t="str">
        <x:v>apple_music</x:v>
      </x:c>
      <x:c r="E35" t="str">
        <x:v>CN</x:v>
      </x:c>
      <x:c r="F35" t="str">
        <x:v>cn_top_100</x:v>
      </x:c>
      <x:c r="G35" t="str">
        <x:v>热门歌曲排行</x:v>
      </x:c>
      <x:c r="H35" t="str">
        <x:v>apple_music_cn_most_played_100</x:v>
      </x:c>
      <x:c r="I35" t="n">
        <x:v>100</x:v>
      </x:c>
      <x:c r="J35" t="n">
        <x:v>31</x:v>
      </x:c>
      <x:c r="K35" t="n">
        <x:v>70</x:v>
      </x:c>
      <x:c r="L35" t="str">
        <x:v>6771326799</x:v>
      </x:c>
      <x:c r="M35" t="str">
        <x:v>那天下雨了</x:v>
      </x:c>
      <x:c r="N35" t="str">
        <x:v>300117743</x:v>
      </x:c>
      <x:c r="O35" t="str">
        <x:v>周杰伦</x:v>
      </x:c>
      <x:c r="P35" t="str"/>
      <x:c r="Q35" t="str"/>
      <x:c r="R35" t="str">
        <x:v>2026-03-25</x:v>
      </x:c>
      <x:c r="S35" t="str">
        <x:v>音乐 | 国际流行</x:v>
      </x:c>
      <x:c r="T35"/>
      <x:c r="U35"/>
      <x:c r="V35" t="str">
        <x:v>https://music.apple.com/cn/album/%E9%82%A3%E5%A4%A9%E4%B8%8B%E9%9B%A8%E4%BA%86/6771326786?i=6771326799</x:v>
      </x:c>
      <x:c r="W35" t="str">
        <x:v>https://is1-ssl.mzstatic.com/image/thumb/Music211/v4/ce/56/90/ce5690ac-67d8-49e7-b047-a01afacfd1d2/4000x4000_fa.jpg/100x100bb.jpg</x:v>
      </x:c>
      <x:c r="X35" t="str">
        <x:v>https://music.apple.com/cn/new/top-charts</x:v>
      </x:c>
      <x:c r="Y35" t="str">
        <x:v>https://rss.marketingtools.apple.com/api/v2/cn/music/most-played/100/songs.json</x:v>
      </x:c>
      <x:c r="Z35" s="24" t="str">
        <x:f>IFERROR(VLOOKUP(F35,'07_字典与参数'!$A$5:$E$10,3,FALSE),"待映射")</x:f>
        <x:v>Apple Music</x:v>
      </x:c>
      <x:c r="AA35" s="24" t="str">
        <x:f>IFERROR(VLOOKUP(F35,'07_字典与参数'!$A$5:$E$10,2,FALSE),"待映射")</x:f>
        <x:v>热门歌曲排行</x:v>
      </x:c>
      <x:c r="AB35" s="24" t="str">
        <x:f>IFERROR(VLOOKUP(F35,'07_字典与参数'!$A$5:$E$10,4,FALSE),"待映射")</x:f>
        <x:v>每日公开快照</x:v>
      </x:c>
      <x:c r="AC35" s="24" t="str">
        <x:f>D35&amp;"|"&amp;F35&amp;"|"&amp;L35</x:f>
        <x:v>apple_music|cn_top_100|6771326799</x:v>
      </x:c>
      <x:c r="AD35" s="24" t="str">
        <x:f>IF(J35&lt;=10,"是","否")</x:f>
        <x:v>否</x:v>
      </x:c>
      <x:c r="AE35" s="24" t="n">
        <x:f>IFERROR(YEAR(R35),"缺失")</x:f>
        <x:v>2026</x:v>
      </x:c>
    </x:row>
    <x:row r="36">
      <x:c r="A36" t="str">
        <x:v>20260812T132133+0800</x:v>
      </x:c>
      <x:c r="B36" t="n">
        <x:v>46246.22329861111</x:v>
      </x:c>
      <x:c r="C36" t="str">
        <x:v>2026-08-12</x:v>
      </x:c>
      <x:c r="D36" t="str">
        <x:v>apple_music</x:v>
      </x:c>
      <x:c r="E36" t="str">
        <x:v>CN</x:v>
      </x:c>
      <x:c r="F36" t="str">
        <x:v>cn_top_100</x:v>
      </x:c>
      <x:c r="G36" t="str">
        <x:v>热门歌曲排行</x:v>
      </x:c>
      <x:c r="H36" t="str">
        <x:v>apple_music_cn_most_played_100</x:v>
      </x:c>
      <x:c r="I36" t="n">
        <x:v>100</x:v>
      </x:c>
      <x:c r="J36" t="n">
        <x:v>32</x:v>
      </x:c>
      <x:c r="K36" t="n">
        <x:v>69</x:v>
      </x:c>
      <x:c r="L36" t="str">
        <x:v>1440650961</x:v>
      </x:c>
      <x:c r="M36" t="str">
        <x:v>Beauty and a Beat (feat. Nicki Minaj)</x:v>
      </x:c>
      <x:c r="N36" t="str">
        <x:v>320569549</x:v>
      </x:c>
      <x:c r="O36" t="str">
        <x:v>Justin Bieber</x:v>
      </x:c>
      <x:c r="P36" t="str"/>
      <x:c r="Q36" t="str"/>
      <x:c r="R36" t="str">
        <x:v>2012-06-15</x:v>
      </x:c>
      <x:c r="S36" t="str">
        <x:v>国际流行 | 音乐 | 摇滚 | 舞曲</x:v>
      </x:c>
      <x:c r="T36"/>
      <x:c r="U36"/>
      <x:c r="V36" t="str">
        <x:v>https://music.apple.com/cn/album/beauty-and-a-beat-feat-nicki-minaj/1440650852?i=1440650961</x:v>
      </x:c>
      <x:c r="W36" t="str">
        <x:v>https://is1-ssl.mzstatic.com/image/thumb/Music126/v4/73/08/1a/73081a96-0f7c-b5f8-2757-5c17fb714323/12UMGIM31899.rgb.jpg/100x100bb.jpg</x:v>
      </x:c>
      <x:c r="X36" t="str">
        <x:v>https://music.apple.com/cn/new/top-charts</x:v>
      </x:c>
      <x:c r="Y36" t="str">
        <x:v>https://rss.marketingtools.apple.com/api/v2/cn/music/most-played/100/songs.json</x:v>
      </x:c>
      <x:c r="Z36" s="24" t="str">
        <x:f>IFERROR(VLOOKUP(F36,'07_字典与参数'!$A$5:$E$10,3,FALSE),"待映射")</x:f>
        <x:v>Apple Music</x:v>
      </x:c>
      <x:c r="AA36" s="24" t="str">
        <x:f>IFERROR(VLOOKUP(F36,'07_字典与参数'!$A$5:$E$10,2,FALSE),"待映射")</x:f>
        <x:v>热门歌曲排行</x:v>
      </x:c>
      <x:c r="AB36" s="24" t="str">
        <x:f>IFERROR(VLOOKUP(F36,'07_字典与参数'!$A$5:$E$10,4,FALSE),"待映射")</x:f>
        <x:v>每日公开快照</x:v>
      </x:c>
      <x:c r="AC36" s="24" t="str">
        <x:f>D36&amp;"|"&amp;F36&amp;"|"&amp;L36</x:f>
        <x:v>apple_music|cn_top_100|1440650961</x:v>
      </x:c>
      <x:c r="AD36" s="24" t="str">
        <x:f>IF(J36&lt;=10,"是","否")</x:f>
        <x:v>否</x:v>
      </x:c>
      <x:c r="AE36" s="24" t="n">
        <x:f>IFERROR(YEAR(R36),"缺失")</x:f>
        <x:v>2012</x:v>
      </x:c>
    </x:row>
    <x:row r="37">
      <x:c r="A37" t="str">
        <x:v>20260812T132133+0800</x:v>
      </x:c>
      <x:c r="B37" t="n">
        <x:v>46246.22329861111</x:v>
      </x:c>
      <x:c r="C37" t="str">
        <x:v>2026-08-12</x:v>
      </x:c>
      <x:c r="D37" t="str">
        <x:v>apple_music</x:v>
      </x:c>
      <x:c r="E37" t="str">
        <x:v>CN</x:v>
      </x:c>
      <x:c r="F37" t="str">
        <x:v>cn_top_100</x:v>
      </x:c>
      <x:c r="G37" t="str">
        <x:v>热门歌曲排行</x:v>
      </x:c>
      <x:c r="H37" t="str">
        <x:v>apple_music_cn_most_played_100</x:v>
      </x:c>
      <x:c r="I37" t="n">
        <x:v>100</x:v>
      </x:c>
      <x:c r="J37" t="n">
        <x:v>33</x:v>
      </x:c>
      <x:c r="K37" t="n">
        <x:v>68</x:v>
      </x:c>
      <x:c r="L37" t="str">
        <x:v>536009647</x:v>
      </x:c>
      <x:c r="M37" t="str">
        <x:v>枫</x:v>
      </x:c>
      <x:c r="N37" t="str">
        <x:v>300117743</x:v>
      </x:c>
      <x:c r="O37" t="str">
        <x:v>周杰伦</x:v>
      </x:c>
      <x:c r="P37" t="str"/>
      <x:c r="Q37" t="str"/>
      <x:c r="R37" t="str">
        <x:v>2005-11-01</x:v>
      </x:c>
      <x:c r="S37" t="str">
        <x:v>音乐 | 国际流行</x:v>
      </x:c>
      <x:c r="T37"/>
      <x:c r="U37"/>
      <x:c r="V37" t="str">
        <x:v>https://music.apple.com/cn/album/%E6%9E%AB/536009641?i=536009647</x:v>
      </x:c>
      <x:c r="W37" t="str">
        <x:v>https://is1-ssl.mzstatic.com/image/thumb/Music115/v4/9e/35/ad/9e35ad1e-749e-75b6-0539-1e80cea1817b/JAY11.jpg/100x109bb.jpg</x:v>
      </x:c>
      <x:c r="X37" t="str">
        <x:v>https://music.apple.com/cn/new/top-charts</x:v>
      </x:c>
      <x:c r="Y37" t="str">
        <x:v>https://rss.marketingtools.apple.com/api/v2/cn/music/most-played/100/songs.json</x:v>
      </x:c>
      <x:c r="Z37" s="24" t="str">
        <x:f>IFERROR(VLOOKUP(F37,'07_字典与参数'!$A$5:$E$10,3,FALSE),"待映射")</x:f>
        <x:v>Apple Music</x:v>
      </x:c>
      <x:c r="AA37" s="24" t="str">
        <x:f>IFERROR(VLOOKUP(F37,'07_字典与参数'!$A$5:$E$10,2,FALSE),"待映射")</x:f>
        <x:v>热门歌曲排行</x:v>
      </x:c>
      <x:c r="AB37" s="24" t="str">
        <x:f>IFERROR(VLOOKUP(F37,'07_字典与参数'!$A$5:$E$10,4,FALSE),"待映射")</x:f>
        <x:v>每日公开快照</x:v>
      </x:c>
      <x:c r="AC37" s="24" t="str">
        <x:f>D37&amp;"|"&amp;F37&amp;"|"&amp;L37</x:f>
        <x:v>apple_music|cn_top_100|536009647</x:v>
      </x:c>
      <x:c r="AD37" s="24" t="str">
        <x:f>IF(J37&lt;=10,"是","否")</x:f>
        <x:v>否</x:v>
      </x:c>
      <x:c r="AE37" s="24" t="n">
        <x:f>IFERROR(YEAR(R37),"缺失")</x:f>
        <x:v>2005</x:v>
      </x:c>
    </x:row>
    <x:row r="38">
      <x:c r="A38" t="str">
        <x:v>20260812T132133+0800</x:v>
      </x:c>
      <x:c r="B38" t="n">
        <x:v>46246.22329861111</x:v>
      </x:c>
      <x:c r="C38" t="str">
        <x:v>2026-08-12</x:v>
      </x:c>
      <x:c r="D38" t="str">
        <x:v>apple_music</x:v>
      </x:c>
      <x:c r="E38" t="str">
        <x:v>CN</x:v>
      </x:c>
      <x:c r="F38" t="str">
        <x:v>cn_top_100</x:v>
      </x:c>
      <x:c r="G38" t="str">
        <x:v>热门歌曲排行</x:v>
      </x:c>
      <x:c r="H38" t="str">
        <x:v>apple_music_cn_most_played_100</x:v>
      </x:c>
      <x:c r="I38" t="n">
        <x:v>100</x:v>
      </x:c>
      <x:c r="J38" t="n">
        <x:v>34</x:v>
      </x:c>
      <x:c r="K38" t="n">
        <x:v>67</x:v>
      </x:c>
      <x:c r="L38" t="str">
        <x:v>535739351</x:v>
      </x:c>
      <x:c r="M38" t="str">
        <x:v>简单爱</x:v>
      </x:c>
      <x:c r="N38" t="str">
        <x:v>300117743</x:v>
      </x:c>
      <x:c r="O38" t="str">
        <x:v>周杰伦</x:v>
      </x:c>
      <x:c r="P38" t="str"/>
      <x:c r="Q38" t="str"/>
      <x:c r="R38" t="str">
        <x:v>2001-09-14</x:v>
      </x:c>
      <x:c r="S38" t="str">
        <x:v>音乐 | 国际流行</x:v>
      </x:c>
      <x:c r="T38"/>
      <x:c r="U38"/>
      <x:c r="V38" t="str">
        <x:v>https://music.apple.com/cn/album/%E7%AE%80%E5%8D%95%E7%88%B1/535739206?i=535739351</x:v>
      </x:c>
      <x:c r="W38" t="str">
        <x:v>https://is1-ssl.mzstatic.com/image/thumb/Music124/v4/a4/f2/f0/a4f2f0d4-cc80-d1a0-7f20-a0cc842a523c/JAY.jpg/100x115bb.jpg</x:v>
      </x:c>
      <x:c r="X38" t="str">
        <x:v>https://music.apple.com/cn/new/top-charts</x:v>
      </x:c>
      <x:c r="Y38" t="str">
        <x:v>https://rss.marketingtools.apple.com/api/v2/cn/music/most-played/100/songs.json</x:v>
      </x:c>
      <x:c r="Z38" s="24" t="str">
        <x:f>IFERROR(VLOOKUP(F38,'07_字典与参数'!$A$5:$E$10,3,FALSE),"待映射")</x:f>
        <x:v>Apple Music</x:v>
      </x:c>
      <x:c r="AA38" s="24" t="str">
        <x:f>IFERROR(VLOOKUP(F38,'07_字典与参数'!$A$5:$E$10,2,FALSE),"待映射")</x:f>
        <x:v>热门歌曲排行</x:v>
      </x:c>
      <x:c r="AB38" s="24" t="str">
        <x:f>IFERROR(VLOOKUP(F38,'07_字典与参数'!$A$5:$E$10,4,FALSE),"待映射")</x:f>
        <x:v>每日公开快照</x:v>
      </x:c>
      <x:c r="AC38" s="24" t="str">
        <x:f>D38&amp;"|"&amp;F38&amp;"|"&amp;L38</x:f>
        <x:v>apple_music|cn_top_100|535739351</x:v>
      </x:c>
      <x:c r="AD38" s="24" t="str">
        <x:f>IF(J38&lt;=10,"是","否")</x:f>
        <x:v>否</x:v>
      </x:c>
      <x:c r="AE38" s="24" t="n">
        <x:f>IFERROR(YEAR(R38),"缺失")</x:f>
        <x:v>2001</x:v>
      </x:c>
    </x:row>
    <x:row r="39">
      <x:c r="A39" t="str">
        <x:v>20260812T132133+0800</x:v>
      </x:c>
      <x:c r="B39" t="n">
        <x:v>46246.22329861111</x:v>
      </x:c>
      <x:c r="C39" t="str">
        <x:v>2026-08-12</x:v>
      </x:c>
      <x:c r="D39" t="str">
        <x:v>apple_music</x:v>
      </x:c>
      <x:c r="E39" t="str">
        <x:v>CN</x:v>
      </x:c>
      <x:c r="F39" t="str">
        <x:v>cn_top_100</x:v>
      </x:c>
      <x:c r="G39" t="str">
        <x:v>热门歌曲排行</x:v>
      </x:c>
      <x:c r="H39" t="str">
        <x:v>apple_music_cn_most_played_100</x:v>
      </x:c>
      <x:c r="I39" t="n">
        <x:v>100</x:v>
      </x:c>
      <x:c r="J39" t="n">
        <x:v>35</x:v>
      </x:c>
      <x:c r="K39" t="n">
        <x:v>66</x:v>
      </x:c>
      <x:c r="L39" t="str">
        <x:v>542922095</x:v>
      </x:c>
      <x:c r="M39" t="str">
        <x:v>十年</x:v>
      </x:c>
      <x:c r="N39" t="str">
        <x:v>137938148</x:v>
      </x:c>
      <x:c r="O39" t="str">
        <x:v>陈奕迅</x:v>
      </x:c>
      <x:c r="P39" t="str"/>
      <x:c r="Q39" t="str"/>
      <x:c r="R39" t="str">
        <x:v>2003-04-15</x:v>
      </x:c>
      <x:c r="S39" t="str">
        <x:v>音乐 | 国际流行</x:v>
      </x:c>
      <x:c r="T39"/>
      <x:c r="U39"/>
      <x:c r="V39" t="str">
        <x:v>https://music.apple.com/cn/album/%E5%8D%81%E5%B9%B4/542922079?i=542922095</x:v>
      </x:c>
      <x:c r="W39" t="str">
        <x:v>https://is1-ssl.mzstatic.com/image/thumb/Music124/v4/56/e6/66/56e6661d-e570-782f-fbc8-e7b12e38f1a7/EEG3035V1-_-.jpg/100x114bb.jpg</x:v>
      </x:c>
      <x:c r="X39" t="str">
        <x:v>https://music.apple.com/cn/new/top-charts</x:v>
      </x:c>
      <x:c r="Y39" t="str">
        <x:v>https://rss.marketingtools.apple.com/api/v2/cn/music/most-played/100/songs.json</x:v>
      </x:c>
      <x:c r="Z39" s="24" t="str">
        <x:f>IFERROR(VLOOKUP(F39,'07_字典与参数'!$A$5:$E$10,3,FALSE),"待映射")</x:f>
        <x:v>Apple Music</x:v>
      </x:c>
      <x:c r="AA39" s="24" t="str">
        <x:f>IFERROR(VLOOKUP(F39,'07_字典与参数'!$A$5:$E$10,2,FALSE),"待映射")</x:f>
        <x:v>热门歌曲排行</x:v>
      </x:c>
      <x:c r="AB39" s="24" t="str">
        <x:f>IFERROR(VLOOKUP(F39,'07_字典与参数'!$A$5:$E$10,4,FALSE),"待映射")</x:f>
        <x:v>每日公开快照</x:v>
      </x:c>
      <x:c r="AC39" s="24" t="str">
        <x:f>D39&amp;"|"&amp;F39&amp;"|"&amp;L39</x:f>
        <x:v>apple_music|cn_top_100|542922095</x:v>
      </x:c>
      <x:c r="AD39" s="24" t="str">
        <x:f>IF(J39&lt;=10,"是","否")</x:f>
        <x:v>否</x:v>
      </x:c>
      <x:c r="AE39" s="24" t="n">
        <x:f>IFERROR(YEAR(R39),"缺失")</x:f>
        <x:v>2003</x:v>
      </x:c>
    </x:row>
    <x:row r="40">
      <x:c r="A40" t="str">
        <x:v>20260812T132133+0800</x:v>
      </x:c>
      <x:c r="B40" t="n">
        <x:v>46246.22329861111</x:v>
      </x:c>
      <x:c r="C40" t="str">
        <x:v>2026-08-12</x:v>
      </x:c>
      <x:c r="D40" t="str">
        <x:v>apple_music</x:v>
      </x:c>
      <x:c r="E40" t="str">
        <x:v>CN</x:v>
      </x:c>
      <x:c r="F40" t="str">
        <x:v>cn_top_100</x:v>
      </x:c>
      <x:c r="G40" t="str">
        <x:v>热门歌曲排行</x:v>
      </x:c>
      <x:c r="H40" t="str">
        <x:v>apple_music_cn_most_played_100</x:v>
      </x:c>
      <x:c r="I40" t="n">
        <x:v>100</x:v>
      </x:c>
      <x:c r="J40" t="n">
        <x:v>36</x:v>
      </x:c>
      <x:c r="K40" t="n">
        <x:v>65</x:v>
      </x:c>
      <x:c r="L40" t="str">
        <x:v>1442913348</x:v>
      </x:c>
      <x:c r="M40" t="str">
        <x:v>最佳损友</x:v>
      </x:c>
      <x:c r="N40" t="str">
        <x:v>137938148</x:v>
      </x:c>
      <x:c r="O40" t="str">
        <x:v>陈奕迅</x:v>
      </x:c>
      <x:c r="P40" t="str"/>
      <x:c r="Q40" t="str"/>
      <x:c r="R40" t="str">
        <x:v>2006-02-18</x:v>
      </x:c>
      <x:c r="S40" t="str">
        <x:v>音乐 | 国际流行</x:v>
      </x:c>
      <x:c r="T40"/>
      <x:c r="U40"/>
      <x:c r="V40" t="str">
        <x:v>https://music.apple.com/cn/album/%E6%9C%80%E4%BD%B3%E6%8D%9F%E5%8F%8B/1442912707?i=1442913348</x:v>
      </x:c>
      <x:c r="W40" t="str">
        <x:v>https://is1-ssl.mzstatic.com/image/thumb/Music118/v4/a4/fa/86/a4fa86d6-c23a-c37f-1251-00376ff144cd/00602498378830.rgb.jpg/100x99bb.jpg</x:v>
      </x:c>
      <x:c r="X40" t="str">
        <x:v>https://music.apple.com/cn/new/top-charts</x:v>
      </x:c>
      <x:c r="Y40" t="str">
        <x:v>https://rss.marketingtools.apple.com/api/v2/cn/music/most-played/100/songs.json</x:v>
      </x:c>
      <x:c r="Z40" s="24" t="str">
        <x:f>IFERROR(VLOOKUP(F40,'07_字典与参数'!$A$5:$E$10,3,FALSE),"待映射")</x:f>
        <x:v>Apple Music</x:v>
      </x:c>
      <x:c r="AA40" s="24" t="str">
        <x:f>IFERROR(VLOOKUP(F40,'07_字典与参数'!$A$5:$E$10,2,FALSE),"待映射")</x:f>
        <x:v>热门歌曲排行</x:v>
      </x:c>
      <x:c r="AB40" s="24" t="str">
        <x:f>IFERROR(VLOOKUP(F40,'07_字典与参数'!$A$5:$E$10,4,FALSE),"待映射")</x:f>
        <x:v>每日公开快照</x:v>
      </x:c>
      <x:c r="AC40" s="24" t="str">
        <x:f>D40&amp;"|"&amp;F40&amp;"|"&amp;L40</x:f>
        <x:v>apple_music|cn_top_100|1442913348</x:v>
      </x:c>
      <x:c r="AD40" s="24" t="str">
        <x:f>IF(J40&lt;=10,"是","否")</x:f>
        <x:v>否</x:v>
      </x:c>
      <x:c r="AE40" s="24" t="n">
        <x:f>IFERROR(YEAR(R40),"缺失")</x:f>
        <x:v>2006</x:v>
      </x:c>
    </x:row>
    <x:row r="41">
      <x:c r="A41" t="str">
        <x:v>20260812T132133+0800</x:v>
      </x:c>
      <x:c r="B41" t="n">
        <x:v>46246.22329861111</x:v>
      </x:c>
      <x:c r="C41" t="str">
        <x:v>2026-08-12</x:v>
      </x:c>
      <x:c r="D41" t="str">
        <x:v>apple_music</x:v>
      </x:c>
      <x:c r="E41" t="str">
        <x:v>CN</x:v>
      </x:c>
      <x:c r="F41" t="str">
        <x:v>cn_top_100</x:v>
      </x:c>
      <x:c r="G41" t="str">
        <x:v>热门歌曲排行</x:v>
      </x:c>
      <x:c r="H41" t="str">
        <x:v>apple_music_cn_most_played_100</x:v>
      </x:c>
      <x:c r="I41" t="n">
        <x:v>100</x:v>
      </x:c>
      <x:c r="J41" t="n">
        <x:v>37</x:v>
      </x:c>
      <x:c r="K41" t="n">
        <x:v>64</x:v>
      </x:c>
      <x:c r="L41" t="str">
        <x:v>1722205331</x:v>
      </x:c>
      <x:c r="M41" t="str">
        <x:v>忽然之间</x:v>
      </x:c>
      <x:c r="N41" t="str">
        <x:v>162585630</x:v>
      </x:c>
      <x:c r="O41" t="str">
        <x:v>莫文蔚</x:v>
      </x:c>
      <x:c r="P41" t="str"/>
      <x:c r="Q41" t="str"/>
      <x:c r="R41" t="str">
        <x:v>1999-05-28</x:v>
      </x:c>
      <x:c r="S41" t="str">
        <x:v>音乐 | 国际流行</x:v>
      </x:c>
      <x:c r="T41"/>
      <x:c r="U41"/>
      <x:c r="V41" t="str">
        <x:v>https://music.apple.com/cn/album/%E5%BF%BD%E7%84%B6%E4%B9%8B%E9%97%B4/1722205323?i=1722205331</x:v>
      </x:c>
      <x:c r="W41" t="str">
        <x:v>https://is1-ssl.mzstatic.com/image/thumb/Music116/v4/eb/22/39/eb223900-0182-c49c-6c82-ee342cbd6c22/4710149707703_cover.jpg/100x100bb.jpg</x:v>
      </x:c>
      <x:c r="X41" t="str">
        <x:v>https://music.apple.com/cn/new/top-charts</x:v>
      </x:c>
      <x:c r="Y41" t="str">
        <x:v>https://rss.marketingtools.apple.com/api/v2/cn/music/most-played/100/songs.json</x:v>
      </x:c>
      <x:c r="Z41" s="24" t="str">
        <x:f>IFERROR(VLOOKUP(F41,'07_字典与参数'!$A$5:$E$10,3,FALSE),"待映射")</x:f>
        <x:v>Apple Music</x:v>
      </x:c>
      <x:c r="AA41" s="24" t="str">
        <x:f>IFERROR(VLOOKUP(F41,'07_字典与参数'!$A$5:$E$10,2,FALSE),"待映射")</x:f>
        <x:v>热门歌曲排行</x:v>
      </x:c>
      <x:c r="AB41" s="24" t="str">
        <x:f>IFERROR(VLOOKUP(F41,'07_字典与参数'!$A$5:$E$10,4,FALSE),"待映射")</x:f>
        <x:v>每日公开快照</x:v>
      </x:c>
      <x:c r="AC41" s="24" t="str">
        <x:f>D41&amp;"|"&amp;F41&amp;"|"&amp;L41</x:f>
        <x:v>apple_music|cn_top_100|1722205331</x:v>
      </x:c>
      <x:c r="AD41" s="24" t="str">
        <x:f>IF(J41&lt;=10,"是","否")</x:f>
        <x:v>否</x:v>
      </x:c>
      <x:c r="AE41" s="24" t="n">
        <x:f>IFERROR(YEAR(R41),"缺失")</x:f>
        <x:v>1999</x:v>
      </x:c>
    </x:row>
    <x:row r="42">
      <x:c r="A42" t="str">
        <x:v>20260812T132133+0800</x:v>
      </x:c>
      <x:c r="B42" t="n">
        <x:v>46246.22329861111</x:v>
      </x:c>
      <x:c r="C42" t="str">
        <x:v>2026-08-12</x:v>
      </x:c>
      <x:c r="D42" t="str">
        <x:v>apple_music</x:v>
      </x:c>
      <x:c r="E42" t="str">
        <x:v>CN</x:v>
      </x:c>
      <x:c r="F42" t="str">
        <x:v>cn_top_100</x:v>
      </x:c>
      <x:c r="G42" t="str">
        <x:v>热门歌曲排行</x:v>
      </x:c>
      <x:c r="H42" t="str">
        <x:v>apple_music_cn_most_played_100</x:v>
      </x:c>
      <x:c r="I42" t="n">
        <x:v>100</x:v>
      </x:c>
      <x:c r="J42" t="n">
        <x:v>38</x:v>
      </x:c>
      <x:c r="K42" t="n">
        <x:v>63</x:v>
      </x:c>
      <x:c r="L42" t="str">
        <x:v>536009644</x:v>
      </x:c>
      <x:c r="M42" t="str">
        <x:v>发如雪</x:v>
      </x:c>
      <x:c r="N42" t="str">
        <x:v>300117743</x:v>
      </x:c>
      <x:c r="O42" t="str">
        <x:v>周杰伦</x:v>
      </x:c>
      <x:c r="P42" t="str"/>
      <x:c r="Q42" t="str"/>
      <x:c r="R42" t="str">
        <x:v>2005-11-01</x:v>
      </x:c>
      <x:c r="S42" t="str">
        <x:v>音乐 | 国际流行</x:v>
      </x:c>
      <x:c r="T42"/>
      <x:c r="U42"/>
      <x:c r="V42" t="str">
        <x:v>https://music.apple.com/cn/album/%E5%8F%91%E5%A6%82%E9%9B%AA/536009641?i=536009644</x:v>
      </x:c>
      <x:c r="W42" t="str">
        <x:v>https://is1-ssl.mzstatic.com/image/thumb/Music115/v4/9e/35/ad/9e35ad1e-749e-75b6-0539-1e80cea1817b/JAY11.jpg/100x109bb.jpg</x:v>
      </x:c>
      <x:c r="X42" t="str">
        <x:v>https://music.apple.com/cn/new/top-charts</x:v>
      </x:c>
      <x:c r="Y42" t="str">
        <x:v>https://rss.marketingtools.apple.com/api/v2/cn/music/most-played/100/songs.json</x:v>
      </x:c>
      <x:c r="Z42" s="24" t="str">
        <x:f>IFERROR(VLOOKUP(F42,'07_字典与参数'!$A$5:$E$10,3,FALSE),"待映射")</x:f>
        <x:v>Apple Music</x:v>
      </x:c>
      <x:c r="AA42" s="24" t="str">
        <x:f>IFERROR(VLOOKUP(F42,'07_字典与参数'!$A$5:$E$10,2,FALSE),"待映射")</x:f>
        <x:v>热门歌曲排行</x:v>
      </x:c>
      <x:c r="AB42" s="24" t="str">
        <x:f>IFERROR(VLOOKUP(F42,'07_字典与参数'!$A$5:$E$10,4,FALSE),"待映射")</x:f>
        <x:v>每日公开快照</x:v>
      </x:c>
      <x:c r="AC42" s="24" t="str">
        <x:f>D42&amp;"|"&amp;F42&amp;"|"&amp;L42</x:f>
        <x:v>apple_music|cn_top_100|536009644</x:v>
      </x:c>
      <x:c r="AD42" s="24" t="str">
        <x:f>IF(J42&lt;=10,"是","否")</x:f>
        <x:v>否</x:v>
      </x:c>
      <x:c r="AE42" s="24" t="n">
        <x:f>IFERROR(YEAR(R42),"缺失")</x:f>
        <x:v>2005</x:v>
      </x:c>
    </x:row>
    <x:row r="43">
      <x:c r="A43" t="str">
        <x:v>20260812T132133+0800</x:v>
      </x:c>
      <x:c r="B43" t="n">
        <x:v>46246.22329861111</x:v>
      </x:c>
      <x:c r="C43" t="str">
        <x:v>2026-08-12</x:v>
      </x:c>
      <x:c r="D43" t="str">
        <x:v>apple_music</x:v>
      </x:c>
      <x:c r="E43" t="str">
        <x:v>CN</x:v>
      </x:c>
      <x:c r="F43" t="str">
        <x:v>cn_top_100</x:v>
      </x:c>
      <x:c r="G43" t="str">
        <x:v>热门歌曲排行</x:v>
      </x:c>
      <x:c r="H43" t="str">
        <x:v>apple_music_cn_most_played_100</x:v>
      </x:c>
      <x:c r="I43" t="n">
        <x:v>100</x:v>
      </x:c>
      <x:c r="J43" t="n">
        <x:v>39</x:v>
      </x:c>
      <x:c r="K43" t="n">
        <x:v>62</x:v>
      </x:c>
      <x:c r="L43" t="str">
        <x:v>6763656871</x:v>
      </x:c>
      <x:c r="M43" t="str">
        <x:v>kiss me</x:v>
      </x:c>
      <x:c r="N43" t="str">
        <x:v>412778295</x:v>
      </x:c>
      <x:c r="O43" t="str">
        <x:v>Ariana Grande</x:v>
      </x:c>
      <x:c r="P43" t="str"/>
      <x:c r="Q43" t="str"/>
      <x:c r="R43" t="str">
        <x:v>2026-07-31</x:v>
      </x:c>
      <x:c r="S43" t="str">
        <x:v>国际流行 | 音乐</x:v>
      </x:c>
      <x:c r="T43"/>
      <x:c r="U43"/>
      <x:c r="V43" t="str">
        <x:v>https://music.apple.com/cn/album/kiss-me/1895420989?i=6763656871</x:v>
      </x:c>
      <x:c r="W43" t="str">
        <x:v>https://is1-ssl.mzstatic.com/image/thumb/Music211/v4/7e/e6/82/7ee682bd-1b17-6adc-be63-b5af1bdff369/26UMGIM51126.rgb.jpg/100x100bb.jpg</x:v>
      </x:c>
      <x:c r="X43" t="str">
        <x:v>https://music.apple.com/cn/new/top-charts</x:v>
      </x:c>
      <x:c r="Y43" t="str">
        <x:v>https://rss.marketingtools.apple.com/api/v2/cn/music/most-played/100/songs.json</x:v>
      </x:c>
      <x:c r="Z43" s="24" t="str">
        <x:f>IFERROR(VLOOKUP(F43,'07_字典与参数'!$A$5:$E$10,3,FALSE),"待映射")</x:f>
        <x:v>Apple Music</x:v>
      </x:c>
      <x:c r="AA43" s="24" t="str">
        <x:f>IFERROR(VLOOKUP(F43,'07_字典与参数'!$A$5:$E$10,2,FALSE),"待映射")</x:f>
        <x:v>热门歌曲排行</x:v>
      </x:c>
      <x:c r="AB43" s="24" t="str">
        <x:f>IFERROR(VLOOKUP(F43,'07_字典与参数'!$A$5:$E$10,4,FALSE),"待映射")</x:f>
        <x:v>每日公开快照</x:v>
      </x:c>
      <x:c r="AC43" s="24" t="str">
        <x:f>D43&amp;"|"&amp;F43&amp;"|"&amp;L43</x:f>
        <x:v>apple_music|cn_top_100|6763656871</x:v>
      </x:c>
      <x:c r="AD43" s="24" t="str">
        <x:f>IF(J43&lt;=10,"是","否")</x:f>
        <x:v>否</x:v>
      </x:c>
      <x:c r="AE43" s="24" t="n">
        <x:f>IFERROR(YEAR(R43),"缺失")</x:f>
        <x:v>2026</x:v>
      </x:c>
    </x:row>
    <x:row r="44">
      <x:c r="A44" t="str">
        <x:v>20260812T132133+0800</x:v>
      </x:c>
      <x:c r="B44" t="n">
        <x:v>46246.22329861111</x:v>
      </x:c>
      <x:c r="C44" t="str">
        <x:v>2026-08-12</x:v>
      </x:c>
      <x:c r="D44" t="str">
        <x:v>apple_music</x:v>
      </x:c>
      <x:c r="E44" t="str">
        <x:v>CN</x:v>
      </x:c>
      <x:c r="F44" t="str">
        <x:v>cn_top_100</x:v>
      </x:c>
      <x:c r="G44" t="str">
        <x:v>热门歌曲排行</x:v>
      </x:c>
      <x:c r="H44" t="str">
        <x:v>apple_music_cn_most_played_100</x:v>
      </x:c>
      <x:c r="I44" t="n">
        <x:v>100</x:v>
      </x:c>
      <x:c r="J44" t="n">
        <x:v>40</x:v>
      </x:c>
      <x:c r="K44" t="n">
        <x:v>61</x:v>
      </x:c>
      <x:c r="L44" t="str">
        <x:v>587743642</x:v>
      </x:c>
      <x:c r="M44" t="str">
        <x:v>红尘客栈</x:v>
      </x:c>
      <x:c r="N44" t="str">
        <x:v>300117743</x:v>
      </x:c>
      <x:c r="O44" t="str">
        <x:v>周杰伦</x:v>
      </x:c>
      <x:c r="P44" t="str"/>
      <x:c r="Q44" t="str"/>
      <x:c r="R44" t="str">
        <x:v>2012-12-11</x:v>
      </x:c>
      <x:c r="S44" t="str">
        <x:v>音乐 | 国际流行</x:v>
      </x:c>
      <x:c r="T44"/>
      <x:c r="U44"/>
      <x:c r="V44" t="str">
        <x:v>https://music.apple.com/cn/album/%E7%BA%A2%E5%B0%98%E5%AE%A2%E6%A0%88/587743633?i=587743642</x:v>
      </x:c>
      <x:c r="W44" t="str">
        <x:v>https://is1-ssl.mzstatic.com/image/thumb/Music124/v4/81/83/e6/8183e6c0-7137-7009-347e-326b53cb4a3b/2000x2000pix.jpg/100x100bb.jpg</x:v>
      </x:c>
      <x:c r="X44" t="str">
        <x:v>https://music.apple.com/cn/new/top-charts</x:v>
      </x:c>
      <x:c r="Y44" t="str">
        <x:v>https://rss.marketingtools.apple.com/api/v2/cn/music/most-played/100/songs.json</x:v>
      </x:c>
      <x:c r="Z44" s="24" t="str">
        <x:f>IFERROR(VLOOKUP(F44,'07_字典与参数'!$A$5:$E$10,3,FALSE),"待映射")</x:f>
        <x:v>Apple Music</x:v>
      </x:c>
      <x:c r="AA44" s="24" t="str">
        <x:f>IFERROR(VLOOKUP(F44,'07_字典与参数'!$A$5:$E$10,2,FALSE),"待映射")</x:f>
        <x:v>热门歌曲排行</x:v>
      </x:c>
      <x:c r="AB44" s="24" t="str">
        <x:f>IFERROR(VLOOKUP(F44,'07_字典与参数'!$A$5:$E$10,4,FALSE),"待映射")</x:f>
        <x:v>每日公开快照</x:v>
      </x:c>
      <x:c r="AC44" s="24" t="str">
        <x:f>D44&amp;"|"&amp;F44&amp;"|"&amp;L44</x:f>
        <x:v>apple_music|cn_top_100|587743642</x:v>
      </x:c>
      <x:c r="AD44" s="24" t="str">
        <x:f>IF(J44&lt;=10,"是","否")</x:f>
        <x:v>否</x:v>
      </x:c>
      <x:c r="AE44" s="24" t="n">
        <x:f>IFERROR(YEAR(R44),"缺失")</x:f>
        <x:v>2012</x:v>
      </x:c>
    </x:row>
    <x:row r="45">
      <x:c r="A45" t="str">
        <x:v>20260812T132133+0800</x:v>
      </x:c>
      <x:c r="B45" t="n">
        <x:v>46246.22329861111</x:v>
      </x:c>
      <x:c r="C45" t="str">
        <x:v>2026-08-12</x:v>
      </x:c>
      <x:c r="D45" t="str">
        <x:v>apple_music</x:v>
      </x:c>
      <x:c r="E45" t="str">
        <x:v>CN</x:v>
      </x:c>
      <x:c r="F45" t="str">
        <x:v>cn_top_100</x:v>
      </x:c>
      <x:c r="G45" t="str">
        <x:v>热门歌曲排行</x:v>
      </x:c>
      <x:c r="H45" t="str">
        <x:v>apple_music_cn_most_played_100</x:v>
      </x:c>
      <x:c r="I45" t="n">
        <x:v>100</x:v>
      </x:c>
      <x:c r="J45" t="n">
        <x:v>41</x:v>
      </x:c>
      <x:c r="K45" t="n">
        <x:v>60</x:v>
      </x:c>
      <x:c r="L45" t="str">
        <x:v>744963040</x:v>
      </x:c>
      <x:c r="M45" t="str">
        <x:v>你就不要想起我</x:v>
      </x:c>
      <x:c r="N45" t="str">
        <x:v>417691809</x:v>
      </x:c>
      <x:c r="O45" t="str">
        <x:v>田馥甄</x:v>
      </x:c>
      <x:c r="P45" t="str"/>
      <x:c r="Q45" t="str"/>
      <x:c r="R45" t="str">
        <x:v>2013-11-29</x:v>
      </x:c>
      <x:c r="S45" t="str">
        <x:v>音乐 | 国际流行</x:v>
      </x:c>
      <x:c r="T45"/>
      <x:c r="U45"/>
      <x:c r="V45" t="str">
        <x:v>https://music.apple.com/cn/album/%E4%BD%A0%E5%B0%B1%E4%B8%8D%E8%A6%81%E6%83%B3%E8%B5%B7%E6%88%91/744962939?i=744963040</x:v>
      </x:c>
      <x:c r="W45" t="str">
        <x:v>https://is1-ssl.mzstatic.com/image/thumb/Features115/v4/12/31/75/123175fd-d416-da11-ea2f-39a5b113c3f8/dj.zyncqluo.jpg/100x100bb.jpg</x:v>
      </x:c>
      <x:c r="X45" t="str">
        <x:v>https://music.apple.com/cn/new/top-charts</x:v>
      </x:c>
      <x:c r="Y45" t="str">
        <x:v>https://rss.marketingtools.apple.com/api/v2/cn/music/most-played/100/songs.json</x:v>
      </x:c>
      <x:c r="Z45" s="24" t="str">
        <x:f>IFERROR(VLOOKUP(F45,'07_字典与参数'!$A$5:$E$10,3,FALSE),"待映射")</x:f>
        <x:v>Apple Music</x:v>
      </x:c>
      <x:c r="AA45" s="24" t="str">
        <x:f>IFERROR(VLOOKUP(F45,'07_字典与参数'!$A$5:$E$10,2,FALSE),"待映射")</x:f>
        <x:v>热门歌曲排行</x:v>
      </x:c>
      <x:c r="AB45" s="24" t="str">
        <x:f>IFERROR(VLOOKUP(F45,'07_字典与参数'!$A$5:$E$10,4,FALSE),"待映射")</x:f>
        <x:v>每日公开快照</x:v>
      </x:c>
      <x:c r="AC45" s="24" t="str">
        <x:f>D45&amp;"|"&amp;F45&amp;"|"&amp;L45</x:f>
        <x:v>apple_music|cn_top_100|744963040</x:v>
      </x:c>
      <x:c r="AD45" s="24" t="str">
        <x:f>IF(J45&lt;=10,"是","否")</x:f>
        <x:v>否</x:v>
      </x:c>
      <x:c r="AE45" s="24" t="n">
        <x:f>IFERROR(YEAR(R45),"缺失")</x:f>
        <x:v>2013</x:v>
      </x:c>
    </x:row>
    <x:row r="46">
      <x:c r="A46" t="str">
        <x:v>20260812T132133+0800</x:v>
      </x:c>
      <x:c r="B46" t="n">
        <x:v>46246.22329861111</x:v>
      </x:c>
      <x:c r="C46" t="str">
        <x:v>2026-08-12</x:v>
      </x:c>
      <x:c r="D46" t="str">
        <x:v>apple_music</x:v>
      </x:c>
      <x:c r="E46" t="str">
        <x:v>CN</x:v>
      </x:c>
      <x:c r="F46" t="str">
        <x:v>cn_top_100</x:v>
      </x:c>
      <x:c r="G46" t="str">
        <x:v>热门歌曲排行</x:v>
      </x:c>
      <x:c r="H46" t="str">
        <x:v>apple_music_cn_most_played_100</x:v>
      </x:c>
      <x:c r="I46" t="n">
        <x:v>100</x:v>
      </x:c>
      <x:c r="J46" t="n">
        <x:v>42</x:v>
      </x:c>
      <x:c r="K46" t="n">
        <x:v>59</x:v>
      </x:c>
      <x:c r="L46" t="str">
        <x:v>1480230401</x:v>
      </x:c>
      <x:c r="M46" t="str">
        <x:v>说好不哭</x:v>
      </x:c>
      <x:c r="N46" t="str">
        <x:v>300117743</x:v>
      </x:c>
      <x:c r="O46" t="str">
        <x:v>周杰伦 &amp; 五月天 阿信</x:v>
      </x:c>
      <x:c r="P46" t="str"/>
      <x:c r="Q46" t="str"/>
      <x:c r="R46" t="str">
        <x:v>2019-09-16</x:v>
      </x:c>
      <x:c r="S46" t="str">
        <x:v>音乐 | 国际流行</x:v>
      </x:c>
      <x:c r="T46"/>
      <x:c r="U46"/>
      <x:c r="V46" t="str">
        <x:v>https://music.apple.com/cn/album/%E8%AF%B4%E5%A5%BD%E4%B8%8D%E5%93%AD/1480230399?i=1480230401</x:v>
      </x:c>
      <x:c r="W46" t="str">
        <x:v>https://is1-ssl.mzstatic.com/image/thumb/Music115/v4/89/61/e0/8961e064-110e-e5fc-e531-3719bc4224c0/wont_cry.jpg/100x100bb.jpg</x:v>
      </x:c>
      <x:c r="X46" t="str">
        <x:v>https://music.apple.com/cn/new/top-charts</x:v>
      </x:c>
      <x:c r="Y46" t="str">
        <x:v>https://rss.marketingtools.apple.com/api/v2/cn/music/most-played/100/songs.json</x:v>
      </x:c>
      <x:c r="Z46" s="24" t="str">
        <x:f>IFERROR(VLOOKUP(F46,'07_字典与参数'!$A$5:$E$10,3,FALSE),"待映射")</x:f>
        <x:v>Apple Music</x:v>
      </x:c>
      <x:c r="AA46" s="24" t="str">
        <x:f>IFERROR(VLOOKUP(F46,'07_字典与参数'!$A$5:$E$10,2,FALSE),"待映射")</x:f>
        <x:v>热门歌曲排行</x:v>
      </x:c>
      <x:c r="AB46" s="24" t="str">
        <x:f>IFERROR(VLOOKUP(F46,'07_字典与参数'!$A$5:$E$10,4,FALSE),"待映射")</x:f>
        <x:v>每日公开快照</x:v>
      </x:c>
      <x:c r="AC46" s="24" t="str">
        <x:f>D46&amp;"|"&amp;F46&amp;"|"&amp;L46</x:f>
        <x:v>apple_music|cn_top_100|1480230401</x:v>
      </x:c>
      <x:c r="AD46" s="24" t="str">
        <x:f>IF(J46&lt;=10,"是","否")</x:f>
        <x:v>否</x:v>
      </x:c>
      <x:c r="AE46" s="24" t="n">
        <x:f>IFERROR(YEAR(R46),"缺失")</x:f>
        <x:v>2019</x:v>
      </x:c>
    </x:row>
    <x:row r="47">
      <x:c r="A47" t="str">
        <x:v>20260812T132133+0800</x:v>
      </x:c>
      <x:c r="B47" t="n">
        <x:v>46246.22329861111</x:v>
      </x:c>
      <x:c r="C47" t="str">
        <x:v>2026-08-12</x:v>
      </x:c>
      <x:c r="D47" t="str">
        <x:v>apple_music</x:v>
      </x:c>
      <x:c r="E47" t="str">
        <x:v>CN</x:v>
      </x:c>
      <x:c r="F47" t="str">
        <x:v>cn_top_100</x:v>
      </x:c>
      <x:c r="G47" t="str">
        <x:v>热门歌曲排行</x:v>
      </x:c>
      <x:c r="H47" t="str">
        <x:v>apple_music_cn_most_played_100</x:v>
      </x:c>
      <x:c r="I47" t="n">
        <x:v>100</x:v>
      </x:c>
      <x:c r="J47" t="n">
        <x:v>43</x:v>
      </x:c>
      <x:c r="K47" t="n">
        <x:v>58</x:v>
      </x:c>
      <x:c r="L47" t="str">
        <x:v>1443008970</x:v>
      </x:c>
      <x:c r="M47" t="str">
        <x:v>Baby (feat. Ludacris)</x:v>
      </x:c>
      <x:c r="N47" t="str">
        <x:v>320569549</x:v>
      </x:c>
      <x:c r="O47" t="str">
        <x:v>Justin Bieber</x:v>
      </x:c>
      <x:c r="P47" t="str"/>
      <x:c r="Q47" t="str"/>
      <x:c r="R47" t="str">
        <x:v>2010-01-18</x:v>
      </x:c>
      <x:c r="S47" t="str">
        <x:v>国际流行 | 音乐 | R&amp;B/灵魂乐 | 摇滚 | 舞曲</x:v>
      </x:c>
      <x:c r="T47"/>
      <x:c r="U47"/>
      <x:c r="V47" t="str">
        <x:v>https://music.apple.com/cn/album/baby-feat-ludacris/1443008825?i=1443008970</x:v>
      </x:c>
      <x:c r="W47" t="str">
        <x:v>https://is1-ssl.mzstatic.com/image/thumb/Music124/v4/bc/b7/a7/bcb7a7b6-707f-d710-78e5-8fb600bbaa03/10UMGIM01134.rgb.jpg/100x100bb.jpg</x:v>
      </x:c>
      <x:c r="X47" t="str">
        <x:v>https://music.apple.com/cn/new/top-charts</x:v>
      </x:c>
      <x:c r="Y47" t="str">
        <x:v>https://rss.marketingtools.apple.com/api/v2/cn/music/most-played/100/songs.json</x:v>
      </x:c>
      <x:c r="Z47" s="24" t="str">
        <x:f>IFERROR(VLOOKUP(F47,'07_字典与参数'!$A$5:$E$10,3,FALSE),"待映射")</x:f>
        <x:v>Apple Music</x:v>
      </x:c>
      <x:c r="AA47" s="24" t="str">
        <x:f>IFERROR(VLOOKUP(F47,'07_字典与参数'!$A$5:$E$10,2,FALSE),"待映射")</x:f>
        <x:v>热门歌曲排行</x:v>
      </x:c>
      <x:c r="AB47" s="24" t="str">
        <x:f>IFERROR(VLOOKUP(F47,'07_字典与参数'!$A$5:$E$10,4,FALSE),"待映射")</x:f>
        <x:v>每日公开快照</x:v>
      </x:c>
      <x:c r="AC47" s="24" t="str">
        <x:f>D47&amp;"|"&amp;F47&amp;"|"&amp;L47</x:f>
        <x:v>apple_music|cn_top_100|1443008970</x:v>
      </x:c>
      <x:c r="AD47" s="24" t="str">
        <x:f>IF(J47&lt;=10,"是","否")</x:f>
        <x:v>否</x:v>
      </x:c>
      <x:c r="AE47" s="24" t="n">
        <x:f>IFERROR(YEAR(R47),"缺失")</x:f>
        <x:v>2010</x:v>
      </x:c>
    </x:row>
    <x:row r="48">
      <x:c r="A48" t="str">
        <x:v>20260812T132133+0800</x:v>
      </x:c>
      <x:c r="B48" t="n">
        <x:v>46246.22329861111</x:v>
      </x:c>
      <x:c r="C48" t="str">
        <x:v>2026-08-12</x:v>
      </x:c>
      <x:c r="D48" t="str">
        <x:v>apple_music</x:v>
      </x:c>
      <x:c r="E48" t="str">
        <x:v>CN</x:v>
      </x:c>
      <x:c r="F48" t="str">
        <x:v>cn_top_100</x:v>
      </x:c>
      <x:c r="G48" t="str">
        <x:v>热门歌曲排行</x:v>
      </x:c>
      <x:c r="H48" t="str">
        <x:v>apple_music_cn_most_played_100</x:v>
      </x:c>
      <x:c r="I48" t="n">
        <x:v>100</x:v>
      </x:c>
      <x:c r="J48" t="n">
        <x:v>44</x:v>
      </x:c>
      <x:c r="K48" t="n">
        <x:v>57</x:v>
      </x:c>
      <x:c r="L48" t="str">
        <x:v>280911996</x:v>
      </x:c>
      <x:c r="M48" t="str">
        <x:v>遇见</x:v>
      </x:c>
      <x:c r="N48" t="str">
        <x:v>83405200</x:v>
      </x:c>
      <x:c r="O48" t="str">
        <x:v>孙燕姿</x:v>
      </x:c>
      <x:c r="P48" t="str"/>
      <x:c r="Q48" t="str"/>
      <x:c r="R48" t="str">
        <x:v>2003-08-22</x:v>
      </x:c>
      <x:c r="S48" t="str">
        <x:v>音乐 | 国际流行</x:v>
      </x:c>
      <x:c r="T48"/>
      <x:c r="U48"/>
      <x:c r="V48" t="str">
        <x:v>https://music.apple.com/cn/album/%E9%81%87%E8%A7%81/280911988?i=280911996</x:v>
      </x:c>
      <x:c r="W48" t="str">
        <x:v>https://is1-ssl.mzstatic.com/image/thumb/Music/15/ca/82/mzi.fsgrhyyg.jpg/100x100bb.jpg</x:v>
      </x:c>
      <x:c r="X48" t="str">
        <x:v>https://music.apple.com/cn/new/top-charts</x:v>
      </x:c>
      <x:c r="Y48" t="str">
        <x:v>https://rss.marketingtools.apple.com/api/v2/cn/music/most-played/100/songs.json</x:v>
      </x:c>
      <x:c r="Z48" s="24" t="str">
        <x:f>IFERROR(VLOOKUP(F48,'07_字典与参数'!$A$5:$E$10,3,FALSE),"待映射")</x:f>
        <x:v>Apple Music</x:v>
      </x:c>
      <x:c r="AA48" s="24" t="str">
        <x:f>IFERROR(VLOOKUP(F48,'07_字典与参数'!$A$5:$E$10,2,FALSE),"待映射")</x:f>
        <x:v>热门歌曲排行</x:v>
      </x:c>
      <x:c r="AB48" s="24" t="str">
        <x:f>IFERROR(VLOOKUP(F48,'07_字典与参数'!$A$5:$E$10,4,FALSE),"待映射")</x:f>
        <x:v>每日公开快照</x:v>
      </x:c>
      <x:c r="AC48" s="24" t="str">
        <x:f>D48&amp;"|"&amp;F48&amp;"|"&amp;L48</x:f>
        <x:v>apple_music|cn_top_100|280911996</x:v>
      </x:c>
      <x:c r="AD48" s="24" t="str">
        <x:f>IF(J48&lt;=10,"是","否")</x:f>
        <x:v>否</x:v>
      </x:c>
      <x:c r="AE48" s="24" t="n">
        <x:f>IFERROR(YEAR(R48),"缺失")</x:f>
        <x:v>2003</x:v>
      </x:c>
    </x:row>
    <x:row r="49">
      <x:c r="A49" t="str">
        <x:v>20260812T132133+0800</x:v>
      </x:c>
      <x:c r="B49" t="n">
        <x:v>46246.22329861111</x:v>
      </x:c>
      <x:c r="C49" t="str">
        <x:v>2026-08-12</x:v>
      </x:c>
      <x:c r="D49" t="str">
        <x:v>apple_music</x:v>
      </x:c>
      <x:c r="E49" t="str">
        <x:v>CN</x:v>
      </x:c>
      <x:c r="F49" t="str">
        <x:v>cn_top_100</x:v>
      </x:c>
      <x:c r="G49" t="str">
        <x:v>热门歌曲排行</x:v>
      </x:c>
      <x:c r="H49" t="str">
        <x:v>apple_music_cn_most_played_100</x:v>
      </x:c>
      <x:c r="I49" t="n">
        <x:v>100</x:v>
      </x:c>
      <x:c r="J49" t="n">
        <x:v>45</x:v>
      </x:c>
      <x:c r="K49" t="n">
        <x:v>56</x:v>
      </x:c>
      <x:c r="L49" t="str">
        <x:v>1871400641</x:v>
      </x:c>
      <x:c r="M49" t="str">
        <x:v>关键词</x:v>
      </x:c>
      <x:c r="N49" t="str">
        <x:v>216635866</x:v>
      </x:c>
      <x:c r="O49" t="str">
        <x:v>林俊杰</x:v>
      </x:c>
      <x:c r="P49" t="str"/>
      <x:c r="Q49" t="str"/>
      <x:c r="R49" t="str">
        <x:v>2015-12-25</x:v>
      </x:c>
      <x:c r="S49" t="str">
        <x:v>音乐 | 国际流行</x:v>
      </x:c>
      <x:c r="T49"/>
      <x:c r="U49"/>
      <x:c r="V49" t="str">
        <x:v>https://music.apple.com/cn/album/%E5%85%B3%E9%94%AE%E8%AF%8D/1871400633?i=1871400641</x:v>
      </x:c>
      <x:c r="W49" t="str">
        <x:v>https://is1-ssl.mzstatic.com/image/thumb/Music221/v4/3d/d8/71/3dd8711e-41ec-29ee-72b6-0a2a480031d0/4711720281483.jpg/100x100bb.jpg</x:v>
      </x:c>
      <x:c r="X49" t="str">
        <x:v>https://music.apple.com/cn/new/top-charts</x:v>
      </x:c>
      <x:c r="Y49" t="str">
        <x:v>https://rss.marketingtools.apple.com/api/v2/cn/music/most-played/100/songs.json</x:v>
      </x:c>
      <x:c r="Z49" s="24" t="str">
        <x:f>IFERROR(VLOOKUP(F49,'07_字典与参数'!$A$5:$E$10,3,FALSE),"待映射")</x:f>
        <x:v>Apple Music</x:v>
      </x:c>
      <x:c r="AA49" s="24" t="str">
        <x:f>IFERROR(VLOOKUP(F49,'07_字典与参数'!$A$5:$E$10,2,FALSE),"待映射")</x:f>
        <x:v>热门歌曲排行</x:v>
      </x:c>
      <x:c r="AB49" s="24" t="str">
        <x:f>IFERROR(VLOOKUP(F49,'07_字典与参数'!$A$5:$E$10,4,FALSE),"待映射")</x:f>
        <x:v>每日公开快照</x:v>
      </x:c>
      <x:c r="AC49" s="24" t="str">
        <x:f>D49&amp;"|"&amp;F49&amp;"|"&amp;L49</x:f>
        <x:v>apple_music|cn_top_100|1871400641</x:v>
      </x:c>
      <x:c r="AD49" s="24" t="str">
        <x:f>IF(J49&lt;=10,"是","否")</x:f>
        <x:v>否</x:v>
      </x:c>
      <x:c r="AE49" s="24" t="n">
        <x:f>IFERROR(YEAR(R49),"缺失")</x:f>
        <x:v>2015</x:v>
      </x:c>
    </x:row>
    <x:row r="50">
      <x:c r="A50" t="str">
        <x:v>20260812T132133+0800</x:v>
      </x:c>
      <x:c r="B50" t="n">
        <x:v>46246.22329861111</x:v>
      </x:c>
      <x:c r="C50" t="str">
        <x:v>2026-08-12</x:v>
      </x:c>
      <x:c r="D50" t="str">
        <x:v>apple_music</x:v>
      </x:c>
      <x:c r="E50" t="str">
        <x:v>CN</x:v>
      </x:c>
      <x:c r="F50" t="str">
        <x:v>cn_top_100</x:v>
      </x:c>
      <x:c r="G50" t="str">
        <x:v>热门歌曲排行</x:v>
      </x:c>
      <x:c r="H50" t="str">
        <x:v>apple_music_cn_most_played_100</x:v>
      </x:c>
      <x:c r="I50" t="n">
        <x:v>100</x:v>
      </x:c>
      <x:c r="J50" t="n">
        <x:v>46</x:v>
      </x:c>
      <x:c r="K50" t="n">
        <x:v>55</x:v>
      </x:c>
      <x:c r="L50" t="str">
        <x:v>547173705</x:v>
      </x:c>
      <x:c r="M50" t="str">
        <x:v>说谎</x:v>
      </x:c>
      <x:c r="N50" t="str">
        <x:v>436847316</x:v>
      </x:c>
      <x:c r="O50" t="str">
        <x:v>林宥嘉</x:v>
      </x:c>
      <x:c r="P50" t="str"/>
      <x:c r="Q50" t="str"/>
      <x:c r="R50" t="str">
        <x:v>2009-04-09</x:v>
      </x:c>
      <x:c r="S50" t="str">
        <x:v>音乐 | 国际流行</x:v>
      </x:c>
      <x:c r="T50"/>
      <x:c r="U50"/>
      <x:c r="V50" t="str">
        <x:v>https://music.apple.com/cn/album/%E8%AF%B4%E8%B0%8E/547158777?i=547173705</x:v>
      </x:c>
      <x:c r="W50" t="str">
        <x:v>https://is1-ssl.mzstatic.com/image/thumb/Music124/v4/57/e5/9b/57e59bd6-3564-e4c4-1add-e3dbbf4d8ab1/asset.jpg/100x100bb.jpg</x:v>
      </x:c>
      <x:c r="X50" t="str">
        <x:v>https://music.apple.com/cn/new/top-charts</x:v>
      </x:c>
      <x:c r="Y50" t="str">
        <x:v>https://rss.marketingtools.apple.com/api/v2/cn/music/most-played/100/songs.json</x:v>
      </x:c>
      <x:c r="Z50" s="24" t="str">
        <x:f>IFERROR(VLOOKUP(F50,'07_字典与参数'!$A$5:$E$10,3,FALSE),"待映射")</x:f>
        <x:v>Apple Music</x:v>
      </x:c>
      <x:c r="AA50" s="24" t="str">
        <x:f>IFERROR(VLOOKUP(F50,'07_字典与参数'!$A$5:$E$10,2,FALSE),"待映射")</x:f>
        <x:v>热门歌曲排行</x:v>
      </x:c>
      <x:c r="AB50" s="24" t="str">
        <x:f>IFERROR(VLOOKUP(F50,'07_字典与参数'!$A$5:$E$10,4,FALSE),"待映射")</x:f>
        <x:v>每日公开快照</x:v>
      </x:c>
      <x:c r="AC50" s="24" t="str">
        <x:f>D50&amp;"|"&amp;F50&amp;"|"&amp;L50</x:f>
        <x:v>apple_music|cn_top_100|547173705</x:v>
      </x:c>
      <x:c r="AD50" s="24" t="str">
        <x:f>IF(J50&lt;=10,"是","否")</x:f>
        <x:v>否</x:v>
      </x:c>
      <x:c r="AE50" s="24" t="n">
        <x:f>IFERROR(YEAR(R50),"缺失")</x:f>
        <x:v>2009</x:v>
      </x:c>
    </x:row>
    <x:row r="51">
      <x:c r="A51" t="str">
        <x:v>20260812T132133+0800</x:v>
      </x:c>
      <x:c r="B51" t="n">
        <x:v>46246.22329861111</x:v>
      </x:c>
      <x:c r="C51" t="str">
        <x:v>2026-08-12</x:v>
      </x:c>
      <x:c r="D51" t="str">
        <x:v>apple_music</x:v>
      </x:c>
      <x:c r="E51" t="str">
        <x:v>CN</x:v>
      </x:c>
      <x:c r="F51" t="str">
        <x:v>cn_top_100</x:v>
      </x:c>
      <x:c r="G51" t="str">
        <x:v>热门歌曲排行</x:v>
      </x:c>
      <x:c r="H51" t="str">
        <x:v>apple_music_cn_most_played_100</x:v>
      </x:c>
      <x:c r="I51" t="n">
        <x:v>100</x:v>
      </x:c>
      <x:c r="J51" t="n">
        <x:v>47</x:v>
      </x:c>
      <x:c r="K51" t="n">
        <x:v>54</x:v>
      </x:c>
      <x:c r="L51" t="str">
        <x:v>1421693331</x:v>
      </x:c>
      <x:c r="M51" t="str">
        <x:v>小半</x:v>
      </x:c>
      <x:c r="N51" t="str">
        <x:v>1138469250</x:v>
      </x:c>
      <x:c r="O51" t="str">
        <x:v>陈粒</x:v>
      </x:c>
      <x:c r="P51" t="str"/>
      <x:c r="Q51" t="str"/>
      <x:c r="R51" t="str">
        <x:v>2016-07-26</x:v>
      </x:c>
      <x:c r="S51" t="str">
        <x:v>音乐 | 国际流行</x:v>
      </x:c>
      <x:c r="T51"/>
      <x:c r="U51"/>
      <x:c r="V51" t="str">
        <x:v>https://music.apple.com/cn/album/%E5%B0%8F%E5%8D%8A/1421692907?i=1421693331</x:v>
      </x:c>
      <x:c r="W51" t="str">
        <x:v>https://is1-ssl.mzstatic.com/image/thumb/Music114/v4/af/f8/ab/aff8abed-e8f5-1c4b-67a7-860eceb15c59/cover.jpg/100x100bb.jpg</x:v>
      </x:c>
      <x:c r="X51" t="str">
        <x:v>https://music.apple.com/cn/new/top-charts</x:v>
      </x:c>
      <x:c r="Y51" t="str">
        <x:v>https://rss.marketingtools.apple.com/api/v2/cn/music/most-played/100/songs.json</x:v>
      </x:c>
      <x:c r="Z51" s="24" t="str">
        <x:f>IFERROR(VLOOKUP(F51,'07_字典与参数'!$A$5:$E$10,3,FALSE),"待映射")</x:f>
        <x:v>Apple Music</x:v>
      </x:c>
      <x:c r="AA51" s="24" t="str">
        <x:f>IFERROR(VLOOKUP(F51,'07_字典与参数'!$A$5:$E$10,2,FALSE),"待映射")</x:f>
        <x:v>热门歌曲排行</x:v>
      </x:c>
      <x:c r="AB51" s="24" t="str">
        <x:f>IFERROR(VLOOKUP(F51,'07_字典与参数'!$A$5:$E$10,4,FALSE),"待映射")</x:f>
        <x:v>每日公开快照</x:v>
      </x:c>
      <x:c r="AC51" s="24" t="str">
        <x:f>D51&amp;"|"&amp;F51&amp;"|"&amp;L51</x:f>
        <x:v>apple_music|cn_top_100|1421693331</x:v>
      </x:c>
      <x:c r="AD51" s="24" t="str">
        <x:f>IF(J51&lt;=10,"是","否")</x:f>
        <x:v>否</x:v>
      </x:c>
      <x:c r="AE51" s="24" t="n">
        <x:f>IFERROR(YEAR(R51),"缺失")</x:f>
        <x:v>2016</x:v>
      </x:c>
    </x:row>
    <x:row r="52">
      <x:c r="A52" t="str">
        <x:v>20260812T132133+0800</x:v>
      </x:c>
      <x:c r="B52" t="n">
        <x:v>46246.22329861111</x:v>
      </x:c>
      <x:c r="C52" t="str">
        <x:v>2026-08-12</x:v>
      </x:c>
      <x:c r="D52" t="str">
        <x:v>apple_music</x:v>
      </x:c>
      <x:c r="E52" t="str">
        <x:v>CN</x:v>
      </x:c>
      <x:c r="F52" t="str">
        <x:v>cn_top_100</x:v>
      </x:c>
      <x:c r="G52" t="str">
        <x:v>热门歌曲排行</x:v>
      </x:c>
      <x:c r="H52" t="str">
        <x:v>apple_music_cn_most_played_100</x:v>
      </x:c>
      <x:c r="I52" t="n">
        <x:v>100</x:v>
      </x:c>
      <x:c r="J52" t="n">
        <x:v>48</x:v>
      </x:c>
      <x:c r="K52" t="n">
        <x:v>53</x:v>
      </x:c>
      <x:c r="L52" t="str">
        <x:v>1443352455</x:v>
      </x:c>
      <x:c r="M52" t="str">
        <x:v>淘汰</x:v>
      </x:c>
      <x:c r="N52" t="str">
        <x:v>137938148</x:v>
      </x:c>
      <x:c r="O52" t="str">
        <x:v>陈奕迅</x:v>
      </x:c>
      <x:c r="P52" t="str"/>
      <x:c r="Q52" t="str"/>
      <x:c r="R52" t="str">
        <x:v>2007-04-24</x:v>
      </x:c>
      <x:c r="S52" t="str">
        <x:v>音乐 | 国际流行</x:v>
      </x:c>
      <x:c r="T52"/>
      <x:c r="U52"/>
      <x:c r="V52" t="str">
        <x:v>https://music.apple.com/cn/album/%E6%B7%98%E6%B1%B0/1443352354?i=1443352455</x:v>
      </x:c>
      <x:c r="W52" t="str">
        <x:v>https://is1-ssl.mzstatic.com/image/thumb/Music124/v4/27/cb/d6/27cbd6b4-c991-cd95-49e3-b6019462ff97/00602517338845.rgb.jpg/100x91bb.jpg</x:v>
      </x:c>
      <x:c r="X52" t="str">
        <x:v>https://music.apple.com/cn/new/top-charts</x:v>
      </x:c>
      <x:c r="Y52" t="str">
        <x:v>https://rss.marketingtools.apple.com/api/v2/cn/music/most-played/100/songs.json</x:v>
      </x:c>
      <x:c r="Z52" s="24" t="str">
        <x:f>IFERROR(VLOOKUP(F52,'07_字典与参数'!$A$5:$E$10,3,FALSE),"待映射")</x:f>
        <x:v>Apple Music</x:v>
      </x:c>
      <x:c r="AA52" s="24" t="str">
        <x:f>IFERROR(VLOOKUP(F52,'07_字典与参数'!$A$5:$E$10,2,FALSE),"待映射")</x:f>
        <x:v>热门歌曲排行</x:v>
      </x:c>
      <x:c r="AB52" s="24" t="str">
        <x:f>IFERROR(VLOOKUP(F52,'07_字典与参数'!$A$5:$E$10,4,FALSE),"待映射")</x:f>
        <x:v>每日公开快照</x:v>
      </x:c>
      <x:c r="AC52" s="24" t="str">
        <x:f>D52&amp;"|"&amp;F52&amp;"|"&amp;L52</x:f>
        <x:v>apple_music|cn_top_100|1443352455</x:v>
      </x:c>
      <x:c r="AD52" s="24" t="str">
        <x:f>IF(J52&lt;=10,"是","否")</x:f>
        <x:v>否</x:v>
      </x:c>
      <x:c r="AE52" s="24" t="n">
        <x:f>IFERROR(YEAR(R52),"缺失")</x:f>
        <x:v>2007</x:v>
      </x:c>
    </x:row>
    <x:row r="53">
      <x:c r="A53" t="str">
        <x:v>20260812T132133+0800</x:v>
      </x:c>
      <x:c r="B53" t="n">
        <x:v>46246.22329861111</x:v>
      </x:c>
      <x:c r="C53" t="str">
        <x:v>2026-08-12</x:v>
      </x:c>
      <x:c r="D53" t="str">
        <x:v>apple_music</x:v>
      </x:c>
      <x:c r="E53" t="str">
        <x:v>CN</x:v>
      </x:c>
      <x:c r="F53" t="str">
        <x:v>cn_top_100</x:v>
      </x:c>
      <x:c r="G53" t="str">
        <x:v>热门歌曲排行</x:v>
      </x:c>
      <x:c r="H53" t="str">
        <x:v>apple_music_cn_most_played_100</x:v>
      </x:c>
      <x:c r="I53" t="n">
        <x:v>100</x:v>
      </x:c>
      <x:c r="J53" t="n">
        <x:v>49</x:v>
      </x:c>
      <x:c r="K53" t="n">
        <x:v>52</x:v>
      </x:c>
      <x:c r="L53" t="str">
        <x:v>1528146380</x:v>
      </x:c>
      <x:c r="M53" t="str">
        <x:v>你不知道的事</x:v>
      </x:c>
      <x:c r="N53" t="str">
        <x:v>117741179</x:v>
      </x:c>
      <x:c r="O53" t="str">
        <x:v>王力宏</x:v>
      </x:c>
      <x:c r="P53" t="str"/>
      <x:c r="Q53" t="str"/>
      <x:c r="R53" t="str">
        <x:v>2010-08-12</x:v>
      </x:c>
      <x:c r="S53" t="str">
        <x:v>国际流行 | 音乐</x:v>
      </x:c>
      <x:c r="T53"/>
      <x:c r="U53"/>
      <x:c r="V53" t="str">
        <x:v>https://music.apple.com/cn/album/%E4%BD%A0%E4%B8%8D%E7%9F%A5%E9%81%93%E7%9A%84%E4%BA%8B/1528146376?i=1528146380</x:v>
      </x:c>
      <x:c r="W53" t="str">
        <x:v>https://is1-ssl.mzstatic.com/image/thumb/Music124/v4/3e/94/01/3e94013b-17f0-09e9-69ce-4ab94e1507da/18_Material_arts.png/100x100bb.jpg</x:v>
      </x:c>
      <x:c r="X53" t="str">
        <x:v>https://music.apple.com/cn/new/top-charts</x:v>
      </x:c>
      <x:c r="Y53" t="str">
        <x:v>https://rss.marketingtools.apple.com/api/v2/cn/music/most-played/100/songs.json</x:v>
      </x:c>
      <x:c r="Z53" s="24" t="str">
        <x:f>IFERROR(VLOOKUP(F53,'07_字典与参数'!$A$5:$E$10,3,FALSE),"待映射")</x:f>
        <x:v>Apple Music</x:v>
      </x:c>
      <x:c r="AA53" s="24" t="str">
        <x:f>IFERROR(VLOOKUP(F53,'07_字典与参数'!$A$5:$E$10,2,FALSE),"待映射")</x:f>
        <x:v>热门歌曲排行</x:v>
      </x:c>
      <x:c r="AB53" s="24" t="str">
        <x:f>IFERROR(VLOOKUP(F53,'07_字典与参数'!$A$5:$E$10,4,FALSE),"待映射")</x:f>
        <x:v>每日公开快照</x:v>
      </x:c>
      <x:c r="AC53" s="24" t="str">
        <x:f>D53&amp;"|"&amp;F53&amp;"|"&amp;L53</x:f>
        <x:v>apple_music|cn_top_100|1528146380</x:v>
      </x:c>
      <x:c r="AD53" s="24" t="str">
        <x:f>IF(J53&lt;=10,"是","否")</x:f>
        <x:v>否</x:v>
      </x:c>
      <x:c r="AE53" s="24" t="n">
        <x:f>IFERROR(YEAR(R53),"缺失")</x:f>
        <x:v>2010</x:v>
      </x:c>
    </x:row>
    <x:row r="54">
      <x:c r="A54" t="str">
        <x:v>20260812T132133+0800</x:v>
      </x:c>
      <x:c r="B54" t="n">
        <x:v>46246.22329861111</x:v>
      </x:c>
      <x:c r="C54" t="str">
        <x:v>2026-08-12</x:v>
      </x:c>
      <x:c r="D54" t="str">
        <x:v>apple_music</x:v>
      </x:c>
      <x:c r="E54" t="str">
        <x:v>CN</x:v>
      </x:c>
      <x:c r="F54" t="str">
        <x:v>cn_top_100</x:v>
      </x:c>
      <x:c r="G54" t="str">
        <x:v>热门歌曲排行</x:v>
      </x:c>
      <x:c r="H54" t="str">
        <x:v>apple_music_cn_most_played_100</x:v>
      </x:c>
      <x:c r="I54" t="n">
        <x:v>100</x:v>
      </x:c>
      <x:c r="J54" t="n">
        <x:v>50</x:v>
      </x:c>
      <x:c r="K54" t="n">
        <x:v>51</x:v>
      </x:c>
      <x:c r="L54" t="str">
        <x:v>1864304148</x:v>
      </x:c>
      <x:c r="M54" t="str">
        <x:v>失眠</x:v>
      </x:c>
      <x:c r="N54" t="str">
        <x:v>597220092</x:v>
      </x:c>
      <x:c r="O54" t="str">
        <x:v>Suki刘舒妤</x:v>
      </x:c>
      <x:c r="P54" t="str"/>
      <x:c r="Q54" t="str"/>
      <x:c r="R54" t="str">
        <x:v>2009-07-02</x:v>
      </x:c>
      <x:c r="S54" t="str">
        <x:v>音乐 | 国际流行</x:v>
      </x:c>
      <x:c r="T54"/>
      <x:c r="U54"/>
      <x:c r="V54" t="str">
        <x:v>https://music.apple.com/cn/album/%E5%A4%B1%E7%9C%A0/1864303774?i=1864304148</x:v>
      </x:c>
      <x:c r="W54" t="str">
        <x:v>https://is1-ssl.mzstatic.com/image/thumb/Music221/v4/76/9b/6f/769b6f3e-5234-2f2a-95ea-b8dbe90e8b1f/4896010103796.jpg/100x100bb.jpg</x:v>
      </x:c>
      <x:c r="X54" t="str">
        <x:v>https://music.apple.com/cn/new/top-charts</x:v>
      </x:c>
      <x:c r="Y54" t="str">
        <x:v>https://rss.marketingtools.apple.com/api/v2/cn/music/most-played/100/songs.json</x:v>
      </x:c>
      <x:c r="Z54" s="24" t="str">
        <x:f>IFERROR(VLOOKUP(F54,'07_字典与参数'!$A$5:$E$10,3,FALSE),"待映射")</x:f>
        <x:v>Apple Music</x:v>
      </x:c>
      <x:c r="AA54" s="24" t="str">
        <x:f>IFERROR(VLOOKUP(F54,'07_字典与参数'!$A$5:$E$10,2,FALSE),"待映射")</x:f>
        <x:v>热门歌曲排行</x:v>
      </x:c>
      <x:c r="AB54" s="24" t="str">
        <x:f>IFERROR(VLOOKUP(F54,'07_字典与参数'!$A$5:$E$10,4,FALSE),"待映射")</x:f>
        <x:v>每日公开快照</x:v>
      </x:c>
      <x:c r="AC54" s="24" t="str">
        <x:f>D54&amp;"|"&amp;F54&amp;"|"&amp;L54</x:f>
        <x:v>apple_music|cn_top_100|1864304148</x:v>
      </x:c>
      <x:c r="AD54" s="24" t="str">
        <x:f>IF(J54&lt;=10,"是","否")</x:f>
        <x:v>否</x:v>
      </x:c>
      <x:c r="AE54" s="24" t="n">
        <x:f>IFERROR(YEAR(R54),"缺失")</x:f>
        <x:v>2009</x:v>
      </x:c>
    </x:row>
    <x:row r="55">
      <x:c r="A55" t="str">
        <x:v>20260812T132133+0800</x:v>
      </x:c>
      <x:c r="B55" t="n">
        <x:v>46246.22329861111</x:v>
      </x:c>
      <x:c r="C55" t="str">
        <x:v>2026-08-12</x:v>
      </x:c>
      <x:c r="D55" t="str">
        <x:v>apple_music</x:v>
      </x:c>
      <x:c r="E55" t="str">
        <x:v>CN</x:v>
      </x:c>
      <x:c r="F55" t="str">
        <x:v>cn_top_100</x:v>
      </x:c>
      <x:c r="G55" t="str">
        <x:v>热门歌曲排行</x:v>
      </x:c>
      <x:c r="H55" t="str">
        <x:v>apple_music_cn_most_played_100</x:v>
      </x:c>
      <x:c r="I55" t="n">
        <x:v>100</x:v>
      </x:c>
      <x:c r="J55" t="n">
        <x:v>51</x:v>
      </x:c>
      <x:c r="K55" t="n">
        <x:v>50</x:v>
      </x:c>
      <x:c r="L55" t="str">
        <x:v>1788007696</x:v>
      </x:c>
      <x:c r="M55" t="str">
        <x:v>可惜没如果</x:v>
      </x:c>
      <x:c r="N55" t="str">
        <x:v>216635866</x:v>
      </x:c>
      <x:c r="O55" t="str">
        <x:v>林俊杰</x:v>
      </x:c>
      <x:c r="P55" t="str"/>
      <x:c r="Q55" t="str"/>
      <x:c r="R55" t="str">
        <x:v>2014-12-19</x:v>
      </x:c>
      <x:c r="S55" t="str">
        <x:v>音乐 | 国际流行</x:v>
      </x:c>
      <x:c r="T55"/>
      <x:c r="U55"/>
      <x:c r="V55" t="str">
        <x:v>https://music.apple.com/cn/album/%E5%8F%AF%E6%83%9C%E6%B2%A1%E5%A6%82%E6%9E%9C/1788007687?i=1788007696</x:v>
      </x:c>
      <x:c r="W55" t="str">
        <x:v>https://is1-ssl.mzstatic.com/image/thumb/Music211/v4/57/5a/1b/575a1bc9-ca86-7549-e873-b55663ba6276/4711508105925.jpg/100x100bb.jpg</x:v>
      </x:c>
      <x:c r="X55" t="str">
        <x:v>https://music.apple.com/cn/new/top-charts</x:v>
      </x:c>
      <x:c r="Y55" t="str">
        <x:v>https://rss.marketingtools.apple.com/api/v2/cn/music/most-played/100/songs.json</x:v>
      </x:c>
      <x:c r="Z55" s="24" t="str">
        <x:f>IFERROR(VLOOKUP(F55,'07_字典与参数'!$A$5:$E$10,3,FALSE),"待映射")</x:f>
        <x:v>Apple Music</x:v>
      </x:c>
      <x:c r="AA55" s="24" t="str">
        <x:f>IFERROR(VLOOKUP(F55,'07_字典与参数'!$A$5:$E$10,2,FALSE),"待映射")</x:f>
        <x:v>热门歌曲排行</x:v>
      </x:c>
      <x:c r="AB55" s="24" t="str">
        <x:f>IFERROR(VLOOKUP(F55,'07_字典与参数'!$A$5:$E$10,4,FALSE),"待映射")</x:f>
        <x:v>每日公开快照</x:v>
      </x:c>
      <x:c r="AC55" s="24" t="str">
        <x:f>D55&amp;"|"&amp;F55&amp;"|"&amp;L55</x:f>
        <x:v>apple_music|cn_top_100|1788007696</x:v>
      </x:c>
      <x:c r="AD55" s="24" t="str">
        <x:f>IF(J55&lt;=10,"是","否")</x:f>
        <x:v>否</x:v>
      </x:c>
      <x:c r="AE55" s="24" t="n">
        <x:f>IFERROR(YEAR(R55),"缺失")</x:f>
        <x:v>2014</x:v>
      </x:c>
    </x:row>
    <x:row r="56">
      <x:c r="A56" t="str">
        <x:v>20260812T132133+0800</x:v>
      </x:c>
      <x:c r="B56" t="n">
        <x:v>46246.22329861111</x:v>
      </x:c>
      <x:c r="C56" t="str">
        <x:v>2026-08-12</x:v>
      </x:c>
      <x:c r="D56" t="str">
        <x:v>apple_music</x:v>
      </x:c>
      <x:c r="E56" t="str">
        <x:v>CN</x:v>
      </x:c>
      <x:c r="F56" t="str">
        <x:v>cn_top_100</x:v>
      </x:c>
      <x:c r="G56" t="str">
        <x:v>热门歌曲排行</x:v>
      </x:c>
      <x:c r="H56" t="str">
        <x:v>apple_music_cn_most_played_100</x:v>
      </x:c>
      <x:c r="I56" t="n">
        <x:v>100</x:v>
      </x:c>
      <x:c r="J56" t="n">
        <x:v>52</x:v>
      </x:c>
      <x:c r="K56" t="n">
        <x:v>49</x:v>
      </x:c>
      <x:c r="L56" t="str">
        <x:v>1443783507</x:v>
      </x:c>
      <x:c r="M56" t="str">
        <x:v>孤独患者</x:v>
      </x:c>
      <x:c r="N56" t="str">
        <x:v>137938148</x:v>
      </x:c>
      <x:c r="O56" t="str">
        <x:v>陈奕迅</x:v>
      </x:c>
      <x:c r="P56" t="str"/>
      <x:c r="Q56" t="str"/>
      <x:c r="R56" t="str">
        <x:v>2011-11-09</x:v>
      </x:c>
      <x:c r="S56" t="str">
        <x:v>音乐 | 国际流行</x:v>
      </x:c>
      <x:c r="T56"/>
      <x:c r="U56"/>
      <x:c r="V56" t="str">
        <x:v>https://music.apple.com/cn/album/%E5%AD%A4%E7%8B%AC%E6%82%A3%E8%80%85/1443783500?i=1443783507</x:v>
      </x:c>
      <x:c r="W56" t="str">
        <x:v>https://is1-ssl.mzstatic.com/image/thumb/Music125/v4/a1/2c/29/a12c2947-faea-f1c4-24e0-6612fc50ea13/00602488980715.rgb.jpg/100x142bb.jpg</x:v>
      </x:c>
      <x:c r="X56" t="str">
        <x:v>https://music.apple.com/cn/new/top-charts</x:v>
      </x:c>
      <x:c r="Y56" t="str">
        <x:v>https://rss.marketingtools.apple.com/api/v2/cn/music/most-played/100/songs.json</x:v>
      </x:c>
      <x:c r="Z56" s="24" t="str">
        <x:f>IFERROR(VLOOKUP(F56,'07_字典与参数'!$A$5:$E$10,3,FALSE),"待映射")</x:f>
        <x:v>Apple Music</x:v>
      </x:c>
      <x:c r="AA56" s="24" t="str">
        <x:f>IFERROR(VLOOKUP(F56,'07_字典与参数'!$A$5:$E$10,2,FALSE),"待映射")</x:f>
        <x:v>热门歌曲排行</x:v>
      </x:c>
      <x:c r="AB56" s="24" t="str">
        <x:f>IFERROR(VLOOKUP(F56,'07_字典与参数'!$A$5:$E$10,4,FALSE),"待映射")</x:f>
        <x:v>每日公开快照</x:v>
      </x:c>
      <x:c r="AC56" s="24" t="str">
        <x:f>D56&amp;"|"&amp;F56&amp;"|"&amp;L56</x:f>
        <x:v>apple_music|cn_top_100|1443783507</x:v>
      </x:c>
      <x:c r="AD56" s="24" t="str">
        <x:f>IF(J56&lt;=10,"是","否")</x:f>
        <x:v>否</x:v>
      </x:c>
      <x:c r="AE56" s="24" t="n">
        <x:f>IFERROR(YEAR(R56),"缺失")</x:f>
        <x:v>2011</x:v>
      </x:c>
    </x:row>
    <x:row r="57">
      <x:c r="A57" t="str">
        <x:v>20260812T132133+0800</x:v>
      </x:c>
      <x:c r="B57" t="n">
        <x:v>46246.22329861111</x:v>
      </x:c>
      <x:c r="C57" t="str">
        <x:v>2026-08-12</x:v>
      </x:c>
      <x:c r="D57" t="str">
        <x:v>apple_music</x:v>
      </x:c>
      <x:c r="E57" t="str">
        <x:v>CN</x:v>
      </x:c>
      <x:c r="F57" t="str">
        <x:v>cn_top_100</x:v>
      </x:c>
      <x:c r="G57" t="str">
        <x:v>热门歌曲排行</x:v>
      </x:c>
      <x:c r="H57" t="str">
        <x:v>apple_music_cn_most_played_100</x:v>
      </x:c>
      <x:c r="I57" t="n">
        <x:v>100</x:v>
      </x:c>
      <x:c r="J57" t="n">
        <x:v>53</x:v>
      </x:c>
      <x:c r="K57" t="n">
        <x:v>48</x:v>
      </x:c>
      <x:c r="L57" t="str">
        <x:v>1097016179</x:v>
      </x:c>
      <x:c r="M57" t="str">
        <x:v>会呼吸的痛</x:v>
      </x:c>
      <x:c r="N57" t="str">
        <x:v>531134701</x:v>
      </x:c>
      <x:c r="O57" t="str">
        <x:v>梁静茹</x:v>
      </x:c>
      <x:c r="P57" t="str"/>
      <x:c r="Q57" t="str"/>
      <x:c r="R57" t="str">
        <x:v>2007-11-09</x:v>
      </x:c>
      <x:c r="S57" t="str">
        <x:v>音乐 | 国际流行</x:v>
      </x:c>
      <x:c r="T57"/>
      <x:c r="U57"/>
      <x:c r="V57" t="str">
        <x:v>https://music.apple.com/cn/album/%E4%BC%9A%E5%91%BC%E5%90%B8%E7%9A%84%E7%97%9B/1097016060?i=1097016179</x:v>
      </x:c>
      <x:c r="W57" t="str">
        <x:v>https://is1-ssl.mzstatic.com/image/thumb/Music115/v4/c4/6c/9f/c46c9ffa-dffd-37d9-8bd7-129b24f880ba/BD0009-_-_J_ADORE.jpg/100x100bb.jpg</x:v>
      </x:c>
      <x:c r="X57" t="str">
        <x:v>https://music.apple.com/cn/new/top-charts</x:v>
      </x:c>
      <x:c r="Y57" t="str">
        <x:v>https://rss.marketingtools.apple.com/api/v2/cn/music/most-played/100/songs.json</x:v>
      </x:c>
      <x:c r="Z57" s="24" t="str">
        <x:f>IFERROR(VLOOKUP(F57,'07_字典与参数'!$A$5:$E$10,3,FALSE),"待映射")</x:f>
        <x:v>Apple Music</x:v>
      </x:c>
      <x:c r="AA57" s="24" t="str">
        <x:f>IFERROR(VLOOKUP(F57,'07_字典与参数'!$A$5:$E$10,2,FALSE),"待映射")</x:f>
        <x:v>热门歌曲排行</x:v>
      </x:c>
      <x:c r="AB57" s="24" t="str">
        <x:f>IFERROR(VLOOKUP(F57,'07_字典与参数'!$A$5:$E$10,4,FALSE),"待映射")</x:f>
        <x:v>每日公开快照</x:v>
      </x:c>
      <x:c r="AC57" s="24" t="str">
        <x:f>D57&amp;"|"&amp;F57&amp;"|"&amp;L57</x:f>
        <x:v>apple_music|cn_top_100|1097016179</x:v>
      </x:c>
      <x:c r="AD57" s="24" t="str">
        <x:f>IF(J57&lt;=10,"是","否")</x:f>
        <x:v>否</x:v>
      </x:c>
      <x:c r="AE57" s="24" t="n">
        <x:f>IFERROR(YEAR(R57),"缺失")</x:f>
        <x:v>2007</x:v>
      </x:c>
    </x:row>
    <x:row r="58">
      <x:c r="A58" t="str">
        <x:v>20260812T132133+0800</x:v>
      </x:c>
      <x:c r="B58" t="n">
        <x:v>46246.22329861111</x:v>
      </x:c>
      <x:c r="C58" t="str">
        <x:v>2026-08-12</x:v>
      </x:c>
      <x:c r="D58" t="str">
        <x:v>apple_music</x:v>
      </x:c>
      <x:c r="E58" t="str">
        <x:v>CN</x:v>
      </x:c>
      <x:c r="F58" t="str">
        <x:v>cn_top_100</x:v>
      </x:c>
      <x:c r="G58" t="str">
        <x:v>热门歌曲排行</x:v>
      </x:c>
      <x:c r="H58" t="str">
        <x:v>apple_music_cn_most_played_100</x:v>
      </x:c>
      <x:c r="I58" t="n">
        <x:v>100</x:v>
      </x:c>
      <x:c r="J58" t="n">
        <x:v>54</x:v>
      </x:c>
      <x:c r="K58" t="n">
        <x:v>47</x:v>
      </x:c>
      <x:c r="L58" t="str">
        <x:v>220365871</x:v>
      </x:c>
      <x:c r="M58" t="str">
        <x:v>爱爱爱</x:v>
      </x:c>
      <x:c r="N58" t="str">
        <x:v>201549024</x:v>
      </x:c>
      <x:c r="O58" t="str">
        <x:v>方大同</x:v>
      </x:c>
      <x:c r="P58" t="str"/>
      <x:c r="Q58" t="str"/>
      <x:c r="R58" t="str">
        <x:v>2006-06-09</x:v>
      </x:c>
      <x:c r="S58" t="str">
        <x:v>音乐 | 国际流行</x:v>
      </x:c>
      <x:c r="T58"/>
      <x:c r="U58"/>
      <x:c r="V58" t="str">
        <x:v>https://music.apple.com/cn/album/%E7%88%B1%E7%88%B1%E7%88%B1/220365864?i=220365871</x:v>
      </x:c>
      <x:c r="W58" t="str">
        <x:v>https://is1-ssl.mzstatic.com/image/thumb/Music/c3/d0/e5/mzi.kdgffvqb.jpg/100x110bb.jpg</x:v>
      </x:c>
      <x:c r="X58" t="str">
        <x:v>https://music.apple.com/cn/new/top-charts</x:v>
      </x:c>
      <x:c r="Y58" t="str">
        <x:v>https://rss.marketingtools.apple.com/api/v2/cn/music/most-played/100/songs.json</x:v>
      </x:c>
      <x:c r="Z58" s="24" t="str">
        <x:f>IFERROR(VLOOKUP(F58,'07_字典与参数'!$A$5:$E$10,3,FALSE),"待映射")</x:f>
        <x:v>Apple Music</x:v>
      </x:c>
      <x:c r="AA58" s="24" t="str">
        <x:f>IFERROR(VLOOKUP(F58,'07_字典与参数'!$A$5:$E$10,2,FALSE),"待映射")</x:f>
        <x:v>热门歌曲排行</x:v>
      </x:c>
      <x:c r="AB58" s="24" t="str">
        <x:f>IFERROR(VLOOKUP(F58,'07_字典与参数'!$A$5:$E$10,4,FALSE),"待映射")</x:f>
        <x:v>每日公开快照</x:v>
      </x:c>
      <x:c r="AC58" s="24" t="str">
        <x:f>D58&amp;"|"&amp;F58&amp;"|"&amp;L58</x:f>
        <x:v>apple_music|cn_top_100|220365871</x:v>
      </x:c>
      <x:c r="AD58" s="24" t="str">
        <x:f>IF(J58&lt;=10,"是","否")</x:f>
        <x:v>否</x:v>
      </x:c>
      <x:c r="AE58" s="24" t="n">
        <x:f>IFERROR(YEAR(R58),"缺失")</x:f>
        <x:v>2006</x:v>
      </x:c>
    </x:row>
    <x:row r="59">
      <x:c r="A59" t="str">
        <x:v>20260812T132133+0800</x:v>
      </x:c>
      <x:c r="B59" t="n">
        <x:v>46246.22329861111</x:v>
      </x:c>
      <x:c r="C59" t="str">
        <x:v>2026-08-12</x:v>
      </x:c>
      <x:c r="D59" t="str">
        <x:v>apple_music</x:v>
      </x:c>
      <x:c r="E59" t="str">
        <x:v>CN</x:v>
      </x:c>
      <x:c r="F59" t="str">
        <x:v>cn_top_100</x:v>
      </x:c>
      <x:c r="G59" t="str">
        <x:v>热门歌曲排行</x:v>
      </x:c>
      <x:c r="H59" t="str">
        <x:v>apple_music_cn_most_played_100</x:v>
      </x:c>
      <x:c r="I59" t="n">
        <x:v>100</x:v>
      </x:c>
      <x:c r="J59" t="n">
        <x:v>55</x:v>
      </x:c>
      <x:c r="K59" t="n">
        <x:v>46</x:v>
      </x:c>
      <x:c r="L59" t="str">
        <x:v>1071753628</x:v>
      </x:c>
      <x:c r="M59" t="str">
        <x:v>江南</x:v>
      </x:c>
      <x:c r="N59" t="str">
        <x:v>216635866</x:v>
      </x:c>
      <x:c r="O59" t="str">
        <x:v>林俊杰</x:v>
      </x:c>
      <x:c r="P59" t="str"/>
      <x:c r="Q59" t="str"/>
      <x:c r="R59" t="str">
        <x:v>2004-06-04</x:v>
      </x:c>
      <x:c r="S59" t="str">
        <x:v>音乐 | 国际流行</x:v>
      </x:c>
      <x:c r="T59"/>
      <x:c r="U59"/>
      <x:c r="V59" t="str">
        <x:v>https://music.apple.com/cn/album/%E6%B1%9F%E5%8D%97/1071753622?i=1071753628</x:v>
      </x:c>
      <x:c r="W59" t="str">
        <x:v>https://is1-ssl.mzstatic.com/image/thumb/Music49/v4/9b/98/eb/9b98ebae-69b1-8009-678c-65e94124e0a8/dj.cqtiyqmo.jpg/100x100bb.jpg</x:v>
      </x:c>
      <x:c r="X59" t="str">
        <x:v>https://music.apple.com/cn/new/top-charts</x:v>
      </x:c>
      <x:c r="Y59" t="str">
        <x:v>https://rss.marketingtools.apple.com/api/v2/cn/music/most-played/100/songs.json</x:v>
      </x:c>
      <x:c r="Z59" s="24" t="str">
        <x:f>IFERROR(VLOOKUP(F59,'07_字典与参数'!$A$5:$E$10,3,FALSE),"待映射")</x:f>
        <x:v>Apple Music</x:v>
      </x:c>
      <x:c r="AA59" s="24" t="str">
        <x:f>IFERROR(VLOOKUP(F59,'07_字典与参数'!$A$5:$E$10,2,FALSE),"待映射")</x:f>
        <x:v>热门歌曲排行</x:v>
      </x:c>
      <x:c r="AB59" s="24" t="str">
        <x:f>IFERROR(VLOOKUP(F59,'07_字典与参数'!$A$5:$E$10,4,FALSE),"待映射")</x:f>
        <x:v>每日公开快照</x:v>
      </x:c>
      <x:c r="AC59" s="24" t="str">
        <x:f>D59&amp;"|"&amp;F59&amp;"|"&amp;L59</x:f>
        <x:v>apple_music|cn_top_100|1071753628</x:v>
      </x:c>
      <x:c r="AD59" s="24" t="str">
        <x:f>IF(J59&lt;=10,"是","否")</x:f>
        <x:v>否</x:v>
      </x:c>
      <x:c r="AE59" s="24" t="n">
        <x:f>IFERROR(YEAR(R59),"缺失")</x:f>
        <x:v>2004</x:v>
      </x:c>
    </x:row>
    <x:row r="60">
      <x:c r="A60" t="str">
        <x:v>20260812T132133+0800</x:v>
      </x:c>
      <x:c r="B60" t="n">
        <x:v>46246.22329861111</x:v>
      </x:c>
      <x:c r="C60" t="str">
        <x:v>2026-08-12</x:v>
      </x:c>
      <x:c r="D60" t="str">
        <x:v>apple_music</x:v>
      </x:c>
      <x:c r="E60" t="str">
        <x:v>CN</x:v>
      </x:c>
      <x:c r="F60" t="str">
        <x:v>cn_top_100</x:v>
      </x:c>
      <x:c r="G60" t="str">
        <x:v>热门歌曲排行</x:v>
      </x:c>
      <x:c r="H60" t="str">
        <x:v>apple_music_cn_most_played_100</x:v>
      </x:c>
      <x:c r="I60" t="n">
        <x:v>100</x:v>
      </x:c>
      <x:c r="J60" t="n">
        <x:v>56</x:v>
      </x:c>
      <x:c r="K60" t="n">
        <x:v>45</x:v>
      </x:c>
      <x:c r="L60" t="str">
        <x:v>1624001320</x:v>
      </x:c>
      <x:c r="M60" t="str">
        <x:v>兰亭序</x:v>
      </x:c>
      <x:c r="N60" t="str">
        <x:v>300117743</x:v>
      </x:c>
      <x:c r="O60" t="str">
        <x:v>周杰伦</x:v>
      </x:c>
      <x:c r="P60" t="str"/>
      <x:c r="Q60" t="str"/>
      <x:c r="R60" t="str">
        <x:v>2008-10-14</x:v>
      </x:c>
      <x:c r="S60" t="str">
        <x:v>音乐 | 国际流行</x:v>
      </x:c>
      <x:c r="T60"/>
      <x:c r="U60"/>
      <x:c r="V60" t="str">
        <x:v>https://music.apple.com/cn/album/%E5%85%B0%E4%BA%AD%E5%BA%8F/1624000713?i=1624001320</x:v>
      </x:c>
      <x:c r="W60" t="str">
        <x:v>https://is1-ssl.mzstatic.com/image/thumb/Music122/v4/1b/63/9e/1b639e5b-f8ca-a6e1-8612-6396bc9ff0eb/4711448407424.jpg/100x134bb.jpg</x:v>
      </x:c>
      <x:c r="X60" t="str">
        <x:v>https://music.apple.com/cn/new/top-charts</x:v>
      </x:c>
      <x:c r="Y60" t="str">
        <x:v>https://rss.marketingtools.apple.com/api/v2/cn/music/most-played/100/songs.json</x:v>
      </x:c>
      <x:c r="Z60" s="24" t="str">
        <x:f>IFERROR(VLOOKUP(F60,'07_字典与参数'!$A$5:$E$10,3,FALSE),"待映射")</x:f>
        <x:v>Apple Music</x:v>
      </x:c>
      <x:c r="AA60" s="24" t="str">
        <x:f>IFERROR(VLOOKUP(F60,'07_字典与参数'!$A$5:$E$10,2,FALSE),"待映射")</x:f>
        <x:v>热门歌曲排行</x:v>
      </x:c>
      <x:c r="AB60" s="24" t="str">
        <x:f>IFERROR(VLOOKUP(F60,'07_字典与参数'!$A$5:$E$10,4,FALSE),"待映射")</x:f>
        <x:v>每日公开快照</x:v>
      </x:c>
      <x:c r="AC60" s="24" t="str">
        <x:f>D60&amp;"|"&amp;F60&amp;"|"&amp;L60</x:f>
        <x:v>apple_music|cn_top_100|1624001320</x:v>
      </x:c>
      <x:c r="AD60" s="24" t="str">
        <x:f>IF(J60&lt;=10,"是","否")</x:f>
        <x:v>否</x:v>
      </x:c>
      <x:c r="AE60" s="24" t="n">
        <x:f>IFERROR(YEAR(R60),"缺失")</x:f>
        <x:v>2008</x:v>
      </x:c>
    </x:row>
    <x:row r="61">
      <x:c r="A61" t="str">
        <x:v>20260812T132133+0800</x:v>
      </x:c>
      <x:c r="B61" t="n">
        <x:v>46246.22329861111</x:v>
      </x:c>
      <x:c r="C61" t="str">
        <x:v>2026-08-12</x:v>
      </x:c>
      <x:c r="D61" t="str">
        <x:v>apple_music</x:v>
      </x:c>
      <x:c r="E61" t="str">
        <x:v>CN</x:v>
      </x:c>
      <x:c r="F61" t="str">
        <x:v>cn_top_100</x:v>
      </x:c>
      <x:c r="G61" t="str">
        <x:v>热门歌曲排行</x:v>
      </x:c>
      <x:c r="H61" t="str">
        <x:v>apple_music_cn_most_played_100</x:v>
      </x:c>
      <x:c r="I61" t="n">
        <x:v>100</x:v>
      </x:c>
      <x:c r="J61" t="n">
        <x:v>57</x:v>
      </x:c>
      <x:c r="K61" t="n">
        <x:v>44</x:v>
      </x:c>
      <x:c r="L61" t="str">
        <x:v>1443346107</x:v>
      </x:c>
      <x:c r="M61" t="str">
        <x:v>富士山下</x:v>
      </x:c>
      <x:c r="N61" t="str">
        <x:v>137938148</x:v>
      </x:c>
      <x:c r="O61" t="str">
        <x:v>陈奕迅</x:v>
      </x:c>
      <x:c r="P61" t="str"/>
      <x:c r="Q61" t="str"/>
      <x:c r="R61" t="str">
        <x:v>2006-01-01</x:v>
      </x:c>
      <x:c r="S61" t="str">
        <x:v>音乐 | 国际流行</x:v>
      </x:c>
      <x:c r="T61"/>
      <x:c r="U61"/>
      <x:c r="V61" t="str">
        <x:v>https://music.apple.com/cn/album/%E5%AF%8C%E5%A3%AB%E5%B1%B1%E4%B8%8B/1443345687?i=1443346107</x:v>
      </x:c>
      <x:c r="W61" t="str">
        <x:v>https://is1-ssl.mzstatic.com/image/thumb/Music125/v4/44/d3/57/44d35752-0906-6a22-ebc4-32d9553fa0fb/00602517176997.rgb.jpg/100x93bb.jpg</x:v>
      </x:c>
      <x:c r="X61" t="str">
        <x:v>https://music.apple.com/cn/new/top-charts</x:v>
      </x:c>
      <x:c r="Y61" t="str">
        <x:v>https://rss.marketingtools.apple.com/api/v2/cn/music/most-played/100/songs.json</x:v>
      </x:c>
      <x:c r="Z61" s="24" t="str">
        <x:f>IFERROR(VLOOKUP(F61,'07_字典与参数'!$A$5:$E$10,3,FALSE),"待映射")</x:f>
        <x:v>Apple Music</x:v>
      </x:c>
      <x:c r="AA61" s="24" t="str">
        <x:f>IFERROR(VLOOKUP(F61,'07_字典与参数'!$A$5:$E$10,2,FALSE),"待映射")</x:f>
        <x:v>热门歌曲排行</x:v>
      </x:c>
      <x:c r="AB61" s="24" t="str">
        <x:f>IFERROR(VLOOKUP(F61,'07_字典与参数'!$A$5:$E$10,4,FALSE),"待映射")</x:f>
        <x:v>每日公开快照</x:v>
      </x:c>
      <x:c r="AC61" s="24" t="str">
        <x:f>D61&amp;"|"&amp;F61&amp;"|"&amp;L61</x:f>
        <x:v>apple_music|cn_top_100|1443346107</x:v>
      </x:c>
      <x:c r="AD61" s="24" t="str">
        <x:f>IF(J61&lt;=10,"是","否")</x:f>
        <x:v>否</x:v>
      </x:c>
      <x:c r="AE61" s="24" t="n">
        <x:f>IFERROR(YEAR(R61),"缺失")</x:f>
        <x:v>2006</x:v>
      </x:c>
    </x:row>
    <x:row r="62">
      <x:c r="A62" t="str">
        <x:v>20260812T132133+0800</x:v>
      </x:c>
      <x:c r="B62" t="n">
        <x:v>46246.22329861111</x:v>
      </x:c>
      <x:c r="C62" t="str">
        <x:v>2026-08-12</x:v>
      </x:c>
      <x:c r="D62" t="str">
        <x:v>apple_music</x:v>
      </x:c>
      <x:c r="E62" t="str">
        <x:v>CN</x:v>
      </x:c>
      <x:c r="F62" t="str">
        <x:v>cn_top_100</x:v>
      </x:c>
      <x:c r="G62" t="str">
        <x:v>热门歌曲排行</x:v>
      </x:c>
      <x:c r="H62" t="str">
        <x:v>apple_music_cn_most_played_100</x:v>
      </x:c>
      <x:c r="I62" t="n">
        <x:v>100</x:v>
      </x:c>
      <x:c r="J62" t="n">
        <x:v>58</x:v>
      </x:c>
      <x:c r="K62" t="n">
        <x:v>43</x:v>
      </x:c>
      <x:c r="L62" t="str">
        <x:v>1811349432</x:v>
      </x:c>
      <x:c r="M62" t="str">
        <x:v>颜色</x:v>
      </x:c>
      <x:c r="N62" t="str">
        <x:v>1330022393</x:v>
      </x:c>
      <x:c r="O62" t="str">
        <x:v>Gareth.T</x:v>
      </x:c>
      <x:c r="P62" t="str"/>
      <x:c r="Q62" t="str"/>
      <x:c r="R62" t="str">
        <x:v>2025-05-06</x:v>
      </x:c>
      <x:c r="S62" t="str">
        <x:v>音乐 | 国际流行</x:v>
      </x:c>
      <x:c r="T62"/>
      <x:c r="U62"/>
      <x:c r="V62" t="str">
        <x:v>https://music.apple.com/cn/album/%E9%A2%9C%E8%89%B2/1811349431?i=1811349432</x:v>
      </x:c>
      <x:c r="W62" t="str">
        <x:v>https://is1-ssl.mzstatic.com/image/thumb/Music221/v4/b1/f1/df/b1f1df63-980f-21e4-df18-3b76cba6f263/5021732785671.jpg/100x100bb.jpg</x:v>
      </x:c>
      <x:c r="X62" t="str">
        <x:v>https://music.apple.com/cn/new/top-charts</x:v>
      </x:c>
      <x:c r="Y62" t="str">
        <x:v>https://rss.marketingtools.apple.com/api/v2/cn/music/most-played/100/songs.json</x:v>
      </x:c>
      <x:c r="Z62" s="24" t="str">
        <x:f>IFERROR(VLOOKUP(F62,'07_字典与参数'!$A$5:$E$10,3,FALSE),"待映射")</x:f>
        <x:v>Apple Music</x:v>
      </x:c>
      <x:c r="AA62" s="24" t="str">
        <x:f>IFERROR(VLOOKUP(F62,'07_字典与参数'!$A$5:$E$10,2,FALSE),"待映射")</x:f>
        <x:v>热门歌曲排行</x:v>
      </x:c>
      <x:c r="AB62" s="24" t="str">
        <x:f>IFERROR(VLOOKUP(F62,'07_字典与参数'!$A$5:$E$10,4,FALSE),"待映射")</x:f>
        <x:v>每日公开快照</x:v>
      </x:c>
      <x:c r="AC62" s="24" t="str">
        <x:f>D62&amp;"|"&amp;F62&amp;"|"&amp;L62</x:f>
        <x:v>apple_music|cn_top_100|1811349432</x:v>
      </x:c>
      <x:c r="AD62" s="24" t="str">
        <x:f>IF(J62&lt;=10,"是","否")</x:f>
        <x:v>否</x:v>
      </x:c>
      <x:c r="AE62" s="24" t="n">
        <x:f>IFERROR(YEAR(R62),"缺失")</x:f>
        <x:v>2025</x:v>
      </x:c>
    </x:row>
    <x:row r="63">
      <x:c r="A63" t="str">
        <x:v>20260812T132133+0800</x:v>
      </x:c>
      <x:c r="B63" t="n">
        <x:v>46246.22329861111</x:v>
      </x:c>
      <x:c r="C63" t="str">
        <x:v>2026-08-12</x:v>
      </x:c>
      <x:c r="D63" t="str">
        <x:v>apple_music</x:v>
      </x:c>
      <x:c r="E63" t="str">
        <x:v>CN</x:v>
      </x:c>
      <x:c r="F63" t="str">
        <x:v>cn_top_100</x:v>
      </x:c>
      <x:c r="G63" t="str">
        <x:v>热门歌曲排行</x:v>
      </x:c>
      <x:c r="H63" t="str">
        <x:v>apple_music_cn_most_played_100</x:v>
      </x:c>
      <x:c r="I63" t="n">
        <x:v>100</x:v>
      </x:c>
      <x:c r="J63" t="n">
        <x:v>59</x:v>
      </x:c>
      <x:c r="K63" t="n">
        <x:v>42</x:v>
      </x:c>
      <x:c r="L63" t="str">
        <x:v>536162080</x:v>
      </x:c>
      <x:c r="M63" t="str">
        <x:v>暗号</x:v>
      </x:c>
      <x:c r="N63" t="str">
        <x:v>300117743</x:v>
      </x:c>
      <x:c r="O63" t="str">
        <x:v>周杰伦</x:v>
      </x:c>
      <x:c r="P63" t="str"/>
      <x:c r="Q63" t="str"/>
      <x:c r="R63" t="str">
        <x:v>2002-07-18</x:v>
      </x:c>
      <x:c r="S63" t="str">
        <x:v>音乐 | 国际流行</x:v>
      </x:c>
      <x:c r="T63"/>
      <x:c r="U63"/>
      <x:c r="V63" t="str">
        <x:v>https://music.apple.com/cn/album/%E6%9A%97%E5%8F%B7/536161722?i=536162080</x:v>
      </x:c>
      <x:c r="W63" t="str">
        <x:v>https://is1-ssl.mzstatic.com/image/thumb/Music115/v4/96/c8/a1/96c8a1d8-8077-b8a7-8600-80b2abf1fe20/JAY.jpg/100x113bb.jpg</x:v>
      </x:c>
      <x:c r="X63" t="str">
        <x:v>https://music.apple.com/cn/new/top-charts</x:v>
      </x:c>
      <x:c r="Y63" t="str">
        <x:v>https://rss.marketingtools.apple.com/api/v2/cn/music/most-played/100/songs.json</x:v>
      </x:c>
      <x:c r="Z63" s="24" t="str">
        <x:f>IFERROR(VLOOKUP(F63,'07_字典与参数'!$A$5:$E$10,3,FALSE),"待映射")</x:f>
        <x:v>Apple Music</x:v>
      </x:c>
      <x:c r="AA63" s="24" t="str">
        <x:f>IFERROR(VLOOKUP(F63,'07_字典与参数'!$A$5:$E$10,2,FALSE),"待映射")</x:f>
        <x:v>热门歌曲排行</x:v>
      </x:c>
      <x:c r="AB63" s="24" t="str">
        <x:f>IFERROR(VLOOKUP(F63,'07_字典与参数'!$A$5:$E$10,4,FALSE),"待映射")</x:f>
        <x:v>每日公开快照</x:v>
      </x:c>
      <x:c r="AC63" s="24" t="str">
        <x:f>D63&amp;"|"&amp;F63&amp;"|"&amp;L63</x:f>
        <x:v>apple_music|cn_top_100|536162080</x:v>
      </x:c>
      <x:c r="AD63" s="24" t="str">
        <x:f>IF(J63&lt;=10,"是","否")</x:f>
        <x:v>否</x:v>
      </x:c>
      <x:c r="AE63" s="24" t="n">
        <x:f>IFERROR(YEAR(R63),"缺失")</x:f>
        <x:v>2002</x:v>
      </x:c>
    </x:row>
    <x:row r="64">
      <x:c r="A64" t="str">
        <x:v>20260812T132133+0800</x:v>
      </x:c>
      <x:c r="B64" t="n">
        <x:v>46246.22329861111</x:v>
      </x:c>
      <x:c r="C64" t="str">
        <x:v>2026-08-12</x:v>
      </x:c>
      <x:c r="D64" t="str">
        <x:v>apple_music</x:v>
      </x:c>
      <x:c r="E64" t="str">
        <x:v>CN</x:v>
      </x:c>
      <x:c r="F64" t="str">
        <x:v>cn_top_100</x:v>
      </x:c>
      <x:c r="G64" t="str">
        <x:v>热门歌曲排行</x:v>
      </x:c>
      <x:c r="H64" t="str">
        <x:v>apple_music_cn_most_played_100</x:v>
      </x:c>
      <x:c r="I64" t="n">
        <x:v>100</x:v>
      </x:c>
      <x:c r="J64" t="n">
        <x:v>60</x:v>
      </x:c>
      <x:c r="K64" t="n">
        <x:v>41</x:v>
      </x:c>
      <x:c r="L64" t="str">
        <x:v>1624001319</x:v>
      </x:c>
      <x:c r="M64" t="str">
        <x:v>说好的幸福呢</x:v>
      </x:c>
      <x:c r="N64" t="str">
        <x:v>300117743</x:v>
      </x:c>
      <x:c r="O64" t="str">
        <x:v>周杰伦</x:v>
      </x:c>
      <x:c r="P64" t="str"/>
      <x:c r="Q64" t="str"/>
      <x:c r="R64" t="str">
        <x:v>2008-10-14</x:v>
      </x:c>
      <x:c r="S64" t="str">
        <x:v>音乐 | 国际流行</x:v>
      </x:c>
      <x:c r="T64"/>
      <x:c r="U64"/>
      <x:c r="V64" t="str">
        <x:v>https://music.apple.com/cn/album/%E8%AF%B4%E5%A5%BD%E7%9A%84%E5%B9%B8%E7%A6%8F%E5%91%A2/1624000713?i=1624001319</x:v>
      </x:c>
      <x:c r="W64" t="str">
        <x:v>https://is1-ssl.mzstatic.com/image/thumb/Music122/v4/1b/63/9e/1b639e5b-f8ca-a6e1-8612-6396bc9ff0eb/4711448407424.jpg/100x134bb.jpg</x:v>
      </x:c>
      <x:c r="X64" t="str">
        <x:v>https://music.apple.com/cn/new/top-charts</x:v>
      </x:c>
      <x:c r="Y64" t="str">
        <x:v>https://rss.marketingtools.apple.com/api/v2/cn/music/most-played/100/songs.json</x:v>
      </x:c>
      <x:c r="Z64" s="24" t="str">
        <x:f>IFERROR(VLOOKUP(F64,'07_字典与参数'!$A$5:$E$10,3,FALSE),"待映射")</x:f>
        <x:v>Apple Music</x:v>
      </x:c>
      <x:c r="AA64" s="24" t="str">
        <x:f>IFERROR(VLOOKUP(F64,'07_字典与参数'!$A$5:$E$10,2,FALSE),"待映射")</x:f>
        <x:v>热门歌曲排行</x:v>
      </x:c>
      <x:c r="AB64" s="24" t="str">
        <x:f>IFERROR(VLOOKUP(F64,'07_字典与参数'!$A$5:$E$10,4,FALSE),"待映射")</x:f>
        <x:v>每日公开快照</x:v>
      </x:c>
      <x:c r="AC64" s="24" t="str">
        <x:f>D64&amp;"|"&amp;F64&amp;"|"&amp;L64</x:f>
        <x:v>apple_music|cn_top_100|1624001319</x:v>
      </x:c>
      <x:c r="AD64" s="24" t="str">
        <x:f>IF(J64&lt;=10,"是","否")</x:f>
        <x:v>否</x:v>
      </x:c>
      <x:c r="AE64" s="24" t="n">
        <x:f>IFERROR(YEAR(R64),"缺失")</x:f>
        <x:v>2008</x:v>
      </x:c>
    </x:row>
    <x:row r="65">
      <x:c r="A65" t="str">
        <x:v>20260812T132133+0800</x:v>
      </x:c>
      <x:c r="B65" t="n">
        <x:v>46246.22329861111</x:v>
      </x:c>
      <x:c r="C65" t="str">
        <x:v>2026-08-12</x:v>
      </x:c>
      <x:c r="D65" t="str">
        <x:v>apple_music</x:v>
      </x:c>
      <x:c r="E65" t="str">
        <x:v>CN</x:v>
      </x:c>
      <x:c r="F65" t="str">
        <x:v>cn_top_100</x:v>
      </x:c>
      <x:c r="G65" t="str">
        <x:v>热门歌曲排行</x:v>
      </x:c>
      <x:c r="H65" t="str">
        <x:v>apple_music_cn_most_played_100</x:v>
      </x:c>
      <x:c r="I65" t="n">
        <x:v>100</x:v>
      </x:c>
      <x:c r="J65" t="n">
        <x:v>61</x:v>
      </x:c>
      <x:c r="K65" t="n">
        <x:v>40</x:v>
      </x:c>
      <x:c r="L65" t="str">
        <x:v>535791118</x:v>
      </x:c>
      <x:c r="M65" t="str">
        <x:v>反方向的钟</x:v>
      </x:c>
      <x:c r="N65" t="str">
        <x:v>300117743</x:v>
      </x:c>
      <x:c r="O65" t="str">
        <x:v>周杰伦</x:v>
      </x:c>
      <x:c r="P65" t="str"/>
      <x:c r="Q65" t="str"/>
      <x:c r="R65" t="str">
        <x:v>2000-11-06</x:v>
      </x:c>
      <x:c r="S65" t="str">
        <x:v>音乐 | 国际流行</x:v>
      </x:c>
      <x:c r="T65"/>
      <x:c r="U65"/>
      <x:c r="V65" t="str">
        <x:v>https://music.apple.com/cn/album/%E5%8F%8D%E6%96%B9%E5%90%91%E7%9A%84%E9%92%9F/535790918?i=535791118</x:v>
      </x:c>
      <x:c r="W65" t="str">
        <x:v>https://is1-ssl.mzstatic.com/image/thumb/Music125/v4/60/4c/f3/604cf3da-2be3-f55e-9b6d-cf0792d9d870/JAY.jpg/100x114bb.jpg</x:v>
      </x:c>
      <x:c r="X65" t="str">
        <x:v>https://music.apple.com/cn/new/top-charts</x:v>
      </x:c>
      <x:c r="Y65" t="str">
        <x:v>https://rss.marketingtools.apple.com/api/v2/cn/music/most-played/100/songs.json</x:v>
      </x:c>
      <x:c r="Z65" s="24" t="str">
        <x:f>IFERROR(VLOOKUP(F65,'07_字典与参数'!$A$5:$E$10,3,FALSE),"待映射")</x:f>
        <x:v>Apple Music</x:v>
      </x:c>
      <x:c r="AA65" s="24" t="str">
        <x:f>IFERROR(VLOOKUP(F65,'07_字典与参数'!$A$5:$E$10,2,FALSE),"待映射")</x:f>
        <x:v>热门歌曲排行</x:v>
      </x:c>
      <x:c r="AB65" s="24" t="str">
        <x:f>IFERROR(VLOOKUP(F65,'07_字典与参数'!$A$5:$E$10,4,FALSE),"待映射")</x:f>
        <x:v>每日公开快照</x:v>
      </x:c>
      <x:c r="AC65" s="24" t="str">
        <x:f>D65&amp;"|"&amp;F65&amp;"|"&amp;L65</x:f>
        <x:v>apple_music|cn_top_100|535791118</x:v>
      </x:c>
      <x:c r="AD65" s="24" t="str">
        <x:f>IF(J65&lt;=10,"是","否")</x:f>
        <x:v>否</x:v>
      </x:c>
      <x:c r="AE65" s="24" t="n">
        <x:f>IFERROR(YEAR(R65),"缺失")</x:f>
        <x:v>2000</x:v>
      </x:c>
    </x:row>
    <x:row r="66">
      <x:c r="A66" t="str">
        <x:v>20260812T132133+0800</x:v>
      </x:c>
      <x:c r="B66" t="n">
        <x:v>46246.22329861111</x:v>
      </x:c>
      <x:c r="C66" t="str">
        <x:v>2026-08-12</x:v>
      </x:c>
      <x:c r="D66" t="str">
        <x:v>apple_music</x:v>
      </x:c>
      <x:c r="E66" t="str">
        <x:v>CN</x:v>
      </x:c>
      <x:c r="F66" t="str">
        <x:v>cn_top_100</x:v>
      </x:c>
      <x:c r="G66" t="str">
        <x:v>热门歌曲排行</x:v>
      </x:c>
      <x:c r="H66" t="str">
        <x:v>apple_music_cn_most_played_100</x:v>
      </x:c>
      <x:c r="I66" t="n">
        <x:v>100</x:v>
      </x:c>
      <x:c r="J66" t="n">
        <x:v>62</x:v>
      </x:c>
      <x:c r="K66" t="n">
        <x:v>39</x:v>
      </x:c>
      <x:c r="L66" t="str">
        <x:v>1871400637</x:v>
      </x:c>
      <x:c r="M66" t="str">
        <x:v>不为谁而作的歌</x:v>
      </x:c>
      <x:c r="N66" t="str">
        <x:v>216635866</x:v>
      </x:c>
      <x:c r="O66" t="str">
        <x:v>林俊杰</x:v>
      </x:c>
      <x:c r="P66" t="str"/>
      <x:c r="Q66" t="str"/>
      <x:c r="R66" t="str">
        <x:v>2015-12-03</x:v>
      </x:c>
      <x:c r="S66" t="str">
        <x:v>音乐 | 国际流行</x:v>
      </x:c>
      <x:c r="T66"/>
      <x:c r="U66"/>
      <x:c r="V66" t="str">
        <x:v>https://music.apple.com/cn/album/%E4%B8%8D%E4%B8%BA%E8%B0%81%E8%80%8C%E4%BD%9C%E7%9A%84%E6%AD%8C/1871400633?i=1871400637</x:v>
      </x:c>
      <x:c r="W66" t="str">
        <x:v>https://is1-ssl.mzstatic.com/image/thumb/Music221/v4/3d/d8/71/3dd8711e-41ec-29ee-72b6-0a2a480031d0/4711720281483.jpg/100x100bb.jpg</x:v>
      </x:c>
      <x:c r="X66" t="str">
        <x:v>https://music.apple.com/cn/new/top-charts</x:v>
      </x:c>
      <x:c r="Y66" t="str">
        <x:v>https://rss.marketingtools.apple.com/api/v2/cn/music/most-played/100/songs.json</x:v>
      </x:c>
      <x:c r="Z66" s="24" t="str">
        <x:f>IFERROR(VLOOKUP(F66,'07_字典与参数'!$A$5:$E$10,3,FALSE),"待映射")</x:f>
        <x:v>Apple Music</x:v>
      </x:c>
      <x:c r="AA66" s="24" t="str">
        <x:f>IFERROR(VLOOKUP(F66,'07_字典与参数'!$A$5:$E$10,2,FALSE),"待映射")</x:f>
        <x:v>热门歌曲排行</x:v>
      </x:c>
      <x:c r="AB66" s="24" t="str">
        <x:f>IFERROR(VLOOKUP(F66,'07_字典与参数'!$A$5:$E$10,4,FALSE),"待映射")</x:f>
        <x:v>每日公开快照</x:v>
      </x:c>
      <x:c r="AC66" s="24" t="str">
        <x:f>D66&amp;"|"&amp;F66&amp;"|"&amp;L66</x:f>
        <x:v>apple_music|cn_top_100|1871400637</x:v>
      </x:c>
      <x:c r="AD66" s="24" t="str">
        <x:f>IF(J66&lt;=10,"是","否")</x:f>
        <x:v>否</x:v>
      </x:c>
      <x:c r="AE66" s="24" t="n">
        <x:f>IFERROR(YEAR(R66),"缺失")</x:f>
        <x:v>2015</x:v>
      </x:c>
    </x:row>
    <x:row r="67">
      <x:c r="A67" t="str">
        <x:v>20260812T132133+0800</x:v>
      </x:c>
      <x:c r="B67" t="n">
        <x:v>46246.22329861111</x:v>
      </x:c>
      <x:c r="C67" t="str">
        <x:v>2026-08-12</x:v>
      </x:c>
      <x:c r="D67" t="str">
        <x:v>apple_music</x:v>
      </x:c>
      <x:c r="E67" t="str">
        <x:v>CN</x:v>
      </x:c>
      <x:c r="F67" t="str">
        <x:v>cn_top_100</x:v>
      </x:c>
      <x:c r="G67" t="str">
        <x:v>热门歌曲排行</x:v>
      </x:c>
      <x:c r="H67" t="str">
        <x:v>apple_music_cn_most_played_100</x:v>
      </x:c>
      <x:c r="I67" t="n">
        <x:v>100</x:v>
      </x:c>
      <x:c r="J67" t="n">
        <x:v>63</x:v>
      </x:c>
      <x:c r="K67" t="n">
        <x:v>38</x:v>
      </x:c>
      <x:c r="L67" t="str">
        <x:v>1118757873</x:v>
      </x:c>
      <x:c r="M67" t="str">
        <x:v>不该 (with 张惠妹)</x:v>
      </x:c>
      <x:c r="N67" t="str">
        <x:v>300117743</x:v>
      </x:c>
      <x:c r="O67" t="str">
        <x:v>周杰伦</x:v>
      </x:c>
      <x:c r="P67" t="str"/>
      <x:c r="Q67" t="str"/>
      <x:c r="R67" t="str">
        <x:v>2016-06-24</x:v>
      </x:c>
      <x:c r="S67" t="str">
        <x:v>音乐 | 国际流行</x:v>
      </x:c>
      <x:c r="T67"/>
      <x:c r="U67"/>
      <x:c r="V67" t="str">
        <x:v>https://music.apple.com/cn/album/%E4%B8%8D%E8%AF%A5-with-%E5%BC%A0%E6%83%A0%E5%A6%B9/1118757859?i=1118757873</x:v>
      </x:c>
      <x:c r="W67" t="str">
        <x:v>https://is1-ssl.mzstatic.com/image/thumb/Music124/v4/58/28/f4/5828f491-62ab-61b6-25b4-23838e4f1dcf/dj.sxbqzong.jpg/100x100bb.jpg</x:v>
      </x:c>
      <x:c r="X67" t="str">
        <x:v>https://music.apple.com/cn/new/top-charts</x:v>
      </x:c>
      <x:c r="Y67" t="str">
        <x:v>https://rss.marketingtools.apple.com/api/v2/cn/music/most-played/100/songs.json</x:v>
      </x:c>
      <x:c r="Z67" s="24" t="str">
        <x:f>IFERROR(VLOOKUP(F67,'07_字典与参数'!$A$5:$E$10,3,FALSE),"待映射")</x:f>
        <x:v>Apple Music</x:v>
      </x:c>
      <x:c r="AA67" s="24" t="str">
        <x:f>IFERROR(VLOOKUP(F67,'07_字典与参数'!$A$5:$E$10,2,FALSE),"待映射")</x:f>
        <x:v>热门歌曲排行</x:v>
      </x:c>
      <x:c r="AB67" s="24" t="str">
        <x:f>IFERROR(VLOOKUP(F67,'07_字典与参数'!$A$5:$E$10,4,FALSE),"待映射")</x:f>
        <x:v>每日公开快照</x:v>
      </x:c>
      <x:c r="AC67" s="24" t="str">
        <x:f>D67&amp;"|"&amp;F67&amp;"|"&amp;L67</x:f>
        <x:v>apple_music|cn_top_100|1118757873</x:v>
      </x:c>
      <x:c r="AD67" s="24" t="str">
        <x:f>IF(J67&lt;=10,"是","否")</x:f>
        <x:v>否</x:v>
      </x:c>
      <x:c r="AE67" s="24" t="n">
        <x:f>IFERROR(YEAR(R67),"缺失")</x:f>
        <x:v>2016</x:v>
      </x:c>
    </x:row>
    <x:row r="68">
      <x:c r="A68" t="str">
        <x:v>20260812T132133+0800</x:v>
      </x:c>
      <x:c r="B68" t="n">
        <x:v>46246.22329861111</x:v>
      </x:c>
      <x:c r="C68" t="str">
        <x:v>2026-08-12</x:v>
      </x:c>
      <x:c r="D68" t="str">
        <x:v>apple_music</x:v>
      </x:c>
      <x:c r="E68" t="str">
        <x:v>CN</x:v>
      </x:c>
      <x:c r="F68" t="str">
        <x:v>cn_top_100</x:v>
      </x:c>
      <x:c r="G68" t="str">
        <x:v>热门歌曲排行</x:v>
      </x:c>
      <x:c r="H68" t="str">
        <x:v>apple_music_cn_most_played_100</x:v>
      </x:c>
      <x:c r="I68" t="n">
        <x:v>100</x:v>
      </x:c>
      <x:c r="J68" t="n">
        <x:v>64</x:v>
      </x:c>
      <x:c r="K68" t="n">
        <x:v>37</x:v>
      </x:c>
      <x:c r="L68" t="str">
        <x:v>536248196</x:v>
      </x:c>
      <x:c r="M68" t="str">
        <x:v>烟花易冷</x:v>
      </x:c>
      <x:c r="N68" t="str">
        <x:v>300117743</x:v>
      </x:c>
      <x:c r="O68" t="str">
        <x:v>周杰伦</x:v>
      </x:c>
      <x:c r="P68" t="str"/>
      <x:c r="Q68" t="str"/>
      <x:c r="R68" t="str">
        <x:v>2010-05-18</x:v>
      </x:c>
      <x:c r="S68" t="str">
        <x:v>音乐 | 国际流行</x:v>
      </x:c>
      <x:c r="T68"/>
      <x:c r="U68"/>
      <x:c r="V68" t="str">
        <x:v>https://music.apple.com/cn/album/%E7%83%9F%E8%8A%B1%E6%98%93%E5%86%B7/536247746?i=536248196</x:v>
      </x:c>
      <x:c r="W68" t="str">
        <x:v>https://is1-ssl.mzstatic.com/image/thumb/Music125/v4/53/2d/dd/532dddf0-87d7-b9eb-7d8b-4eb194c84252/asset.jpg/100x133bb.jpg</x:v>
      </x:c>
      <x:c r="X68" t="str">
        <x:v>https://music.apple.com/cn/new/top-charts</x:v>
      </x:c>
      <x:c r="Y68" t="str">
        <x:v>https://rss.marketingtools.apple.com/api/v2/cn/music/most-played/100/songs.json</x:v>
      </x:c>
      <x:c r="Z68" s="24" t="str">
        <x:f>IFERROR(VLOOKUP(F68,'07_字典与参数'!$A$5:$E$10,3,FALSE),"待映射")</x:f>
        <x:v>Apple Music</x:v>
      </x:c>
      <x:c r="AA68" s="24" t="str">
        <x:f>IFERROR(VLOOKUP(F68,'07_字典与参数'!$A$5:$E$10,2,FALSE),"待映射")</x:f>
        <x:v>热门歌曲排行</x:v>
      </x:c>
      <x:c r="AB68" s="24" t="str">
        <x:f>IFERROR(VLOOKUP(F68,'07_字典与参数'!$A$5:$E$10,4,FALSE),"待映射")</x:f>
        <x:v>每日公开快照</x:v>
      </x:c>
      <x:c r="AC68" s="24" t="str">
        <x:f>D68&amp;"|"&amp;F68&amp;"|"&amp;L68</x:f>
        <x:v>apple_music|cn_top_100|536248196</x:v>
      </x:c>
      <x:c r="AD68" s="24" t="str">
        <x:f>IF(J68&lt;=10,"是","否")</x:f>
        <x:v>否</x:v>
      </x:c>
      <x:c r="AE68" s="24" t="n">
        <x:f>IFERROR(YEAR(R68),"缺失")</x:f>
        <x:v>2010</x:v>
      </x:c>
    </x:row>
    <x:row r="69">
      <x:c r="A69" t="str">
        <x:v>20260812T132133+0800</x:v>
      </x:c>
      <x:c r="B69" t="n">
        <x:v>46246.22329861111</x:v>
      </x:c>
      <x:c r="C69" t="str">
        <x:v>2026-08-12</x:v>
      </x:c>
      <x:c r="D69" t="str">
        <x:v>apple_music</x:v>
      </x:c>
      <x:c r="E69" t="str">
        <x:v>CN</x:v>
      </x:c>
      <x:c r="F69" t="str">
        <x:v>cn_top_100</x:v>
      </x:c>
      <x:c r="G69" t="str">
        <x:v>热门歌曲排行</x:v>
      </x:c>
      <x:c r="H69" t="str">
        <x:v>apple_music_cn_most_played_100</x:v>
      </x:c>
      <x:c r="I69" t="n">
        <x:v>100</x:v>
      </x:c>
      <x:c r="J69" t="n">
        <x:v>65</x:v>
      </x:c>
      <x:c r="K69" t="n">
        <x:v>36</x:v>
      </x:c>
      <x:c r="L69" t="str">
        <x:v>152197590</x:v>
      </x:c>
      <x:c r="M69" t="str">
        <x:v>太聪明</x:v>
      </x:c>
      <x:c r="N69" t="str">
        <x:v>462564117</x:v>
      </x:c>
      <x:c r="O69" t="str">
        <x:v>陈绮贞</x:v>
      </x:c>
      <x:c r="P69" t="str"/>
      <x:c r="Q69" t="str"/>
      <x:c r="R69" t="str">
        <x:v>2002-08-02</x:v>
      </x:c>
      <x:c r="S69" t="str">
        <x:v>音乐 | 国际流行</x:v>
      </x:c>
      <x:c r="T69"/>
      <x:c r="U69"/>
      <x:c r="V69" t="str">
        <x:v>https://music.apple.com/cn/album/%E5%A4%AA%E8%81%AA%E6%98%8E/152197399?i=152197590</x:v>
      </x:c>
      <x:c r="W69" t="str">
        <x:v>https://is1-ssl.mzstatic.com/image/thumb/Music125/v4/3c/a2/21/3ca22123-14d6-57f4-9e52-aa4573a05b07/mzm.clkcarof.jpg/100x100bb.jpg</x:v>
      </x:c>
      <x:c r="X69" t="str">
        <x:v>https://music.apple.com/cn/new/top-charts</x:v>
      </x:c>
      <x:c r="Y69" t="str">
        <x:v>https://rss.marketingtools.apple.com/api/v2/cn/music/most-played/100/songs.json</x:v>
      </x:c>
      <x:c r="Z69" s="24" t="str">
        <x:f>IFERROR(VLOOKUP(F69,'07_字典与参数'!$A$5:$E$10,3,FALSE),"待映射")</x:f>
        <x:v>Apple Music</x:v>
      </x:c>
      <x:c r="AA69" s="24" t="str">
        <x:f>IFERROR(VLOOKUP(F69,'07_字典与参数'!$A$5:$E$10,2,FALSE),"待映射")</x:f>
        <x:v>热门歌曲排行</x:v>
      </x:c>
      <x:c r="AB69" s="24" t="str">
        <x:f>IFERROR(VLOOKUP(F69,'07_字典与参数'!$A$5:$E$10,4,FALSE),"待映射")</x:f>
        <x:v>每日公开快照</x:v>
      </x:c>
      <x:c r="AC69" s="24" t="str">
        <x:f>D69&amp;"|"&amp;F69&amp;"|"&amp;L69</x:f>
        <x:v>apple_music|cn_top_100|152197590</x:v>
      </x:c>
      <x:c r="AD69" s="24" t="str">
        <x:f>IF(J69&lt;=10,"是","否")</x:f>
        <x:v>否</x:v>
      </x:c>
      <x:c r="AE69" s="24" t="n">
        <x:f>IFERROR(YEAR(R69),"缺失")</x:f>
        <x:v>2002</x:v>
      </x:c>
    </x:row>
    <x:row r="70">
      <x:c r="A70" t="str">
        <x:v>20260812T132133+0800</x:v>
      </x:c>
      <x:c r="B70" t="n">
        <x:v>46246.22329861111</x:v>
      </x:c>
      <x:c r="C70" t="str">
        <x:v>2026-08-12</x:v>
      </x:c>
      <x:c r="D70" t="str">
        <x:v>apple_music</x:v>
      </x:c>
      <x:c r="E70" t="str">
        <x:v>CN</x:v>
      </x:c>
      <x:c r="F70" t="str">
        <x:v>cn_top_100</x:v>
      </x:c>
      <x:c r="G70" t="str">
        <x:v>热门歌曲排行</x:v>
      </x:c>
      <x:c r="H70" t="str">
        <x:v>apple_music_cn_most_played_100</x:v>
      </x:c>
      <x:c r="I70" t="n">
        <x:v>100</x:v>
      </x:c>
      <x:c r="J70" t="n">
        <x:v>66</x:v>
      </x:c>
      <x:c r="K70" t="n">
        <x:v>35</x:v>
      </x:c>
      <x:c r="L70" t="str">
        <x:v>1692291089</x:v>
      </x:c>
      <x:c r="M70" t="str">
        <x:v>勇气</x:v>
      </x:c>
      <x:c r="N70" t="str">
        <x:v>531134701</x:v>
      </x:c>
      <x:c r="O70" t="str">
        <x:v>梁静茹</x:v>
      </x:c>
      <x:c r="P70" t="str"/>
      <x:c r="Q70" t="str"/>
      <x:c r="R70" t="str">
        <x:v>2000-08-02</x:v>
      </x:c>
      <x:c r="S70" t="str">
        <x:v>音乐 | 国际流行</x:v>
      </x:c>
      <x:c r="T70"/>
      <x:c r="U70"/>
      <x:c r="V70" t="str">
        <x:v>https://music.apple.com/cn/album/%E5%8B%87%E6%B0%94/1692291088?i=1692291089</x:v>
      </x:c>
      <x:c r="W70" t="str">
        <x:v>https://is1-ssl.mzstatic.com/image/thumb/Music126/v4/55/d7/93/55d793f9-1cbd-51d2-780a-b14b085111d0/4710149701770_cover.jpg/100x100bb.jpg</x:v>
      </x:c>
      <x:c r="X70" t="str">
        <x:v>https://music.apple.com/cn/new/top-charts</x:v>
      </x:c>
      <x:c r="Y70" t="str">
        <x:v>https://rss.marketingtools.apple.com/api/v2/cn/music/most-played/100/songs.json</x:v>
      </x:c>
      <x:c r="Z70" s="24" t="str">
        <x:f>IFERROR(VLOOKUP(F70,'07_字典与参数'!$A$5:$E$10,3,FALSE),"待映射")</x:f>
        <x:v>Apple Music</x:v>
      </x:c>
      <x:c r="AA70" s="24" t="str">
        <x:f>IFERROR(VLOOKUP(F70,'07_字典与参数'!$A$5:$E$10,2,FALSE),"待映射")</x:f>
        <x:v>热门歌曲排行</x:v>
      </x:c>
      <x:c r="AB70" s="24" t="str">
        <x:f>IFERROR(VLOOKUP(F70,'07_字典与参数'!$A$5:$E$10,4,FALSE),"待映射")</x:f>
        <x:v>每日公开快照</x:v>
      </x:c>
      <x:c r="AC70" s="24" t="str">
        <x:f>D70&amp;"|"&amp;F70&amp;"|"&amp;L70</x:f>
        <x:v>apple_music|cn_top_100|1692291089</x:v>
      </x:c>
      <x:c r="AD70" s="24" t="str">
        <x:f>IF(J70&lt;=10,"是","否")</x:f>
        <x:v>否</x:v>
      </x:c>
      <x:c r="AE70" s="24" t="n">
        <x:f>IFERROR(YEAR(R70),"缺失")</x:f>
        <x:v>2000</x:v>
      </x:c>
    </x:row>
    <x:row r="71">
      <x:c r="A71" t="str">
        <x:v>20260812T132133+0800</x:v>
      </x:c>
      <x:c r="B71" t="n">
        <x:v>46246.22329861111</x:v>
      </x:c>
      <x:c r="C71" t="str">
        <x:v>2026-08-12</x:v>
      </x:c>
      <x:c r="D71" t="str">
        <x:v>apple_music</x:v>
      </x:c>
      <x:c r="E71" t="str">
        <x:v>CN</x:v>
      </x:c>
      <x:c r="F71" t="str">
        <x:v>cn_top_100</x:v>
      </x:c>
      <x:c r="G71" t="str">
        <x:v>热门歌曲排行</x:v>
      </x:c>
      <x:c r="H71" t="str">
        <x:v>apple_music_cn_most_played_100</x:v>
      </x:c>
      <x:c r="I71" t="n">
        <x:v>100</x:v>
      </x:c>
      <x:c r="J71" t="n">
        <x:v>67</x:v>
      </x:c>
      <x:c r="K71" t="n">
        <x:v>34</x:v>
      </x:c>
      <x:c r="L71" t="str">
        <x:v>1708358642</x:v>
      </x:c>
      <x:c r="M71" t="str">
        <x:v>慢冷</x:v>
      </x:c>
      <x:c r="N71" t="str">
        <x:v>531134701</x:v>
      </x:c>
      <x:c r="O71" t="str">
        <x:v>梁静茹</x:v>
      </x:c>
      <x:c r="P71" t="str"/>
      <x:c r="Q71" t="str"/>
      <x:c r="R71" t="str">
        <x:v>2019-05-16</x:v>
      </x:c>
      <x:c r="S71" t="str">
        <x:v>音乐 | 国际流行</x:v>
      </x:c>
      <x:c r="T71"/>
      <x:c r="U71"/>
      <x:c r="V71" t="str">
        <x:v>https://music.apple.com/cn/album/%E6%85%A2%E5%86%B7/1708358632?i=1708358642</x:v>
      </x:c>
      <x:c r="W71" t="str">
        <x:v>https://is1-ssl.mzstatic.com/image/thumb/Music116/v4/41/ed/71/41ed7185-f6ca-722c-5ecd-c3b6f9782ff4/6942360842927.jpg/100x100bb.jpg</x:v>
      </x:c>
      <x:c r="X71" t="str">
        <x:v>https://music.apple.com/cn/new/top-charts</x:v>
      </x:c>
      <x:c r="Y71" t="str">
        <x:v>https://rss.marketingtools.apple.com/api/v2/cn/music/most-played/100/songs.json</x:v>
      </x:c>
      <x:c r="Z71" s="24" t="str">
        <x:f>IFERROR(VLOOKUP(F71,'07_字典与参数'!$A$5:$E$10,3,FALSE),"待映射")</x:f>
        <x:v>Apple Music</x:v>
      </x:c>
      <x:c r="AA71" s="24" t="str">
        <x:f>IFERROR(VLOOKUP(F71,'07_字典与参数'!$A$5:$E$10,2,FALSE),"待映射")</x:f>
        <x:v>热门歌曲排行</x:v>
      </x:c>
      <x:c r="AB71" s="24" t="str">
        <x:f>IFERROR(VLOOKUP(F71,'07_字典与参数'!$A$5:$E$10,4,FALSE),"待映射")</x:f>
        <x:v>每日公开快照</x:v>
      </x:c>
      <x:c r="AC71" s="24" t="str">
        <x:f>D71&amp;"|"&amp;F71&amp;"|"&amp;L71</x:f>
        <x:v>apple_music|cn_top_100|1708358642</x:v>
      </x:c>
      <x:c r="AD71" s="24" t="str">
        <x:f>IF(J71&lt;=10,"是","否")</x:f>
        <x:v>否</x:v>
      </x:c>
      <x:c r="AE71" s="24" t="n">
        <x:f>IFERROR(YEAR(R71),"缺失")</x:f>
        <x:v>2019</x:v>
      </x:c>
    </x:row>
    <x:row r="72">
      <x:c r="A72" t="str">
        <x:v>20260812T132133+0800</x:v>
      </x:c>
      <x:c r="B72" t="n">
        <x:v>46246.22329861111</x:v>
      </x:c>
      <x:c r="C72" t="str">
        <x:v>2026-08-12</x:v>
      </x:c>
      <x:c r="D72" t="str">
        <x:v>apple_music</x:v>
      </x:c>
      <x:c r="E72" t="str">
        <x:v>CN</x:v>
      </x:c>
      <x:c r="F72" t="str">
        <x:v>cn_top_100</x:v>
      </x:c>
      <x:c r="G72" t="str">
        <x:v>热门歌曲排行</x:v>
      </x:c>
      <x:c r="H72" t="str">
        <x:v>apple_music_cn_most_played_100</x:v>
      </x:c>
      <x:c r="I72" t="n">
        <x:v>100</x:v>
      </x:c>
      <x:c r="J72" t="n">
        <x:v>68</x:v>
      </x:c>
      <x:c r="K72" t="n">
        <x:v>33</x:v>
      </x:c>
      <x:c r="L72" t="str">
        <x:v>541857036</x:v>
      </x:c>
      <x:c r="M72" t="str">
        <x:v>天黑黑</x:v>
      </x:c>
      <x:c r="N72" t="str">
        <x:v>83405200</x:v>
      </x:c>
      <x:c r="O72" t="str">
        <x:v>孙燕姿</x:v>
      </x:c>
      <x:c r="P72" t="str"/>
      <x:c r="Q72" t="str"/>
      <x:c r="R72" t="str">
        <x:v>2000-06-08</x:v>
      </x:c>
      <x:c r="S72" t="str">
        <x:v>音乐 | 国际流行</x:v>
      </x:c>
      <x:c r="T72"/>
      <x:c r="U72"/>
      <x:c r="V72" t="str">
        <x:v>https://music.apple.com/cn/album/%E5%A4%A9%E9%BB%91%E9%BB%91/541856819?i=541857036</x:v>
      </x:c>
      <x:c r="W72" t="str">
        <x:v>https://is1-ssl.mzstatic.com/image/thumb/Music124/v4/8a/91/d7/8a91d731-cdb1-01b5-17a9-c88cf66d6e01/5050466855725.jpg/100x90bb.jpg</x:v>
      </x:c>
      <x:c r="X72" t="str">
        <x:v>https://music.apple.com/cn/new/top-charts</x:v>
      </x:c>
      <x:c r="Y72" t="str">
        <x:v>https://rss.marketingtools.apple.com/api/v2/cn/music/most-played/100/songs.json</x:v>
      </x:c>
      <x:c r="Z72" s="24" t="str">
        <x:f>IFERROR(VLOOKUP(F72,'07_字典与参数'!$A$5:$E$10,3,FALSE),"待映射")</x:f>
        <x:v>Apple Music</x:v>
      </x:c>
      <x:c r="AA72" s="24" t="str">
        <x:f>IFERROR(VLOOKUP(F72,'07_字典与参数'!$A$5:$E$10,2,FALSE),"待映射")</x:f>
        <x:v>热门歌曲排行</x:v>
      </x:c>
      <x:c r="AB72" s="24" t="str">
        <x:f>IFERROR(VLOOKUP(F72,'07_字典与参数'!$A$5:$E$10,4,FALSE),"待映射")</x:f>
        <x:v>每日公开快照</x:v>
      </x:c>
      <x:c r="AC72" s="24" t="str">
        <x:f>D72&amp;"|"&amp;F72&amp;"|"&amp;L72</x:f>
        <x:v>apple_music|cn_top_100|541857036</x:v>
      </x:c>
      <x:c r="AD72" s="24" t="str">
        <x:f>IF(J72&lt;=10,"是","否")</x:f>
        <x:v>否</x:v>
      </x:c>
      <x:c r="AE72" s="24" t="n">
        <x:f>IFERROR(YEAR(R72),"缺失")</x:f>
        <x:v>2000</x:v>
      </x:c>
    </x:row>
    <x:row r="73">
      <x:c r="A73" t="str">
        <x:v>20260812T132133+0800</x:v>
      </x:c>
      <x:c r="B73" t="n">
        <x:v>46246.22329861111</x:v>
      </x:c>
      <x:c r="C73" t="str">
        <x:v>2026-08-12</x:v>
      </x:c>
      <x:c r="D73" t="str">
        <x:v>apple_music</x:v>
      </x:c>
      <x:c r="E73" t="str">
        <x:v>CN</x:v>
      </x:c>
      <x:c r="F73" t="str">
        <x:v>cn_top_100</x:v>
      </x:c>
      <x:c r="G73" t="str">
        <x:v>热门歌曲排行</x:v>
      </x:c>
      <x:c r="H73" t="str">
        <x:v>apple_music_cn_most_played_100</x:v>
      </x:c>
      <x:c r="I73" t="n">
        <x:v>100</x:v>
      </x:c>
      <x:c r="J73" t="n">
        <x:v>69</x:v>
      </x:c>
      <x:c r="K73" t="n">
        <x:v>32</x:v>
      </x:c>
      <x:c r="L73" t="str">
        <x:v>1531323101</x:v>
      </x:c>
      <x:c r="M73" t="str">
        <x:v>交换余生</x:v>
      </x:c>
      <x:c r="N73" t="str">
        <x:v>216635866</x:v>
      </x:c>
      <x:c r="O73" t="str">
        <x:v>林俊杰</x:v>
      </x:c>
      <x:c r="P73" t="str"/>
      <x:c r="Q73" t="str"/>
      <x:c r="R73" t="str">
        <x:v>2020-09-16</x:v>
      </x:c>
      <x:c r="S73" t="str">
        <x:v>音乐 | 国际流行</x:v>
      </x:c>
      <x:c r="T73"/>
      <x:c r="U73"/>
      <x:c r="V73" t="str">
        <x:v>https://music.apple.com/cn/album/%E4%BA%A4%E6%8D%A2%E4%BD%99%E7%94%9F/1531323100?i=1531323101</x:v>
      </x:c>
      <x:c r="W73" t="str">
        <x:v>https://is1-ssl.mzstatic.com/image/thumb/Music125/v4/8d/dd/ce/8dddceba-2a33-d936-680d-eb7c32aa54c6/190295140731.jpg/100x100bb.jpg</x:v>
      </x:c>
      <x:c r="X73" t="str">
        <x:v>https://music.apple.com/cn/new/top-charts</x:v>
      </x:c>
      <x:c r="Y73" t="str">
        <x:v>https://rss.marketingtools.apple.com/api/v2/cn/music/most-played/100/songs.json</x:v>
      </x:c>
      <x:c r="Z73" s="24" t="str">
        <x:f>IFERROR(VLOOKUP(F73,'07_字典与参数'!$A$5:$E$10,3,FALSE),"待映射")</x:f>
        <x:v>Apple Music</x:v>
      </x:c>
      <x:c r="AA73" s="24" t="str">
        <x:f>IFERROR(VLOOKUP(F73,'07_字典与参数'!$A$5:$E$10,2,FALSE),"待映射")</x:f>
        <x:v>热门歌曲排行</x:v>
      </x:c>
      <x:c r="AB73" s="24" t="str">
        <x:f>IFERROR(VLOOKUP(F73,'07_字典与参数'!$A$5:$E$10,4,FALSE),"待映射")</x:f>
        <x:v>每日公开快照</x:v>
      </x:c>
      <x:c r="AC73" s="24" t="str">
        <x:f>D73&amp;"|"&amp;F73&amp;"|"&amp;L73</x:f>
        <x:v>apple_music|cn_top_100|1531323101</x:v>
      </x:c>
      <x:c r="AD73" s="24" t="str">
        <x:f>IF(J73&lt;=10,"是","否")</x:f>
        <x:v>否</x:v>
      </x:c>
      <x:c r="AE73" s="24" t="n">
        <x:f>IFERROR(YEAR(R73),"缺失")</x:f>
        <x:v>2020</x:v>
      </x:c>
    </x:row>
    <x:row r="74">
      <x:c r="A74" t="str">
        <x:v>20260812T132133+0800</x:v>
      </x:c>
      <x:c r="B74" t="n">
        <x:v>46246.22329861111</x:v>
      </x:c>
      <x:c r="C74" t="str">
        <x:v>2026-08-12</x:v>
      </x:c>
      <x:c r="D74" t="str">
        <x:v>apple_music</x:v>
      </x:c>
      <x:c r="E74" t="str">
        <x:v>CN</x:v>
      </x:c>
      <x:c r="F74" t="str">
        <x:v>cn_top_100</x:v>
      </x:c>
      <x:c r="G74" t="str">
        <x:v>热门歌曲排行</x:v>
      </x:c>
      <x:c r="H74" t="str">
        <x:v>apple_music_cn_most_played_100</x:v>
      </x:c>
      <x:c r="I74" t="n">
        <x:v>100</x:v>
      </x:c>
      <x:c r="J74" t="n">
        <x:v>70</x:v>
      </x:c>
      <x:c r="K74" t="n">
        <x:v>31</x:v>
      </x:c>
      <x:c r="L74" t="str">
        <x:v>1487769993</x:v>
      </x:c>
      <x:c r="M74" t="str">
        <x:v>句号</x:v>
      </x:c>
      <x:c r="N74" t="str">
        <x:v>425208570</x:v>
      </x:c>
      <x:c r="O74" t="str">
        <x:v>邓紫棋</x:v>
      </x:c>
      <x:c r="P74" t="str"/>
      <x:c r="Q74" t="str"/>
      <x:c r="R74" t="str">
        <x:v>2019-11-22</x:v>
      </x:c>
      <x:c r="S74" t="str">
        <x:v>音乐 | 国际流行</x:v>
      </x:c>
      <x:c r="T74"/>
      <x:c r="U74"/>
      <x:c r="V74" t="str">
        <x:v>https://music.apple.com/cn/album/%E5%8F%A5%E5%8F%B7/1487769992?i=1487769993</x:v>
      </x:c>
      <x:c r="W74" t="str">
        <x:v>https://is1-ssl.mzstatic.com/image/thumb/Music113/v4/d0/dc/46/d0dc46cd-e4c5-c4e4-b2ac-057e356641eb/886448106159.jpg/100x100bb.jpg</x:v>
      </x:c>
      <x:c r="X74" t="str">
        <x:v>https://music.apple.com/cn/new/top-charts</x:v>
      </x:c>
      <x:c r="Y74" t="str">
        <x:v>https://rss.marketingtools.apple.com/api/v2/cn/music/most-played/100/songs.json</x:v>
      </x:c>
      <x:c r="Z74" s="24" t="str">
        <x:f>IFERROR(VLOOKUP(F74,'07_字典与参数'!$A$5:$E$10,3,FALSE),"待映射")</x:f>
        <x:v>Apple Music</x:v>
      </x:c>
      <x:c r="AA74" s="24" t="str">
        <x:f>IFERROR(VLOOKUP(F74,'07_字典与参数'!$A$5:$E$10,2,FALSE),"待映射")</x:f>
        <x:v>热门歌曲排行</x:v>
      </x:c>
      <x:c r="AB74" s="24" t="str">
        <x:f>IFERROR(VLOOKUP(F74,'07_字典与参数'!$A$5:$E$10,4,FALSE),"待映射")</x:f>
        <x:v>每日公开快照</x:v>
      </x:c>
      <x:c r="AC74" s="24" t="str">
        <x:f>D74&amp;"|"&amp;F74&amp;"|"&amp;L74</x:f>
        <x:v>apple_music|cn_top_100|1487769993</x:v>
      </x:c>
      <x:c r="AD74" s="24" t="str">
        <x:f>IF(J74&lt;=10,"是","否")</x:f>
        <x:v>否</x:v>
      </x:c>
      <x:c r="AE74" s="24" t="n">
        <x:f>IFERROR(YEAR(R74),"缺失")</x:f>
        <x:v>2019</x:v>
      </x:c>
    </x:row>
    <x:row r="75">
      <x:c r="A75" t="str">
        <x:v>20260812T132133+0800</x:v>
      </x:c>
      <x:c r="B75" t="n">
        <x:v>46246.22329861111</x:v>
      </x:c>
      <x:c r="C75" t="str">
        <x:v>2026-08-12</x:v>
      </x:c>
      <x:c r="D75" t="str">
        <x:v>apple_music</x:v>
      </x:c>
      <x:c r="E75" t="str">
        <x:v>CN</x:v>
      </x:c>
      <x:c r="F75" t="str">
        <x:v>cn_top_100</x:v>
      </x:c>
      <x:c r="G75" t="str">
        <x:v>热门歌曲排行</x:v>
      </x:c>
      <x:c r="H75" t="str">
        <x:v>apple_music_cn_most_played_100</x:v>
      </x:c>
      <x:c r="I75" t="n">
        <x:v>100</x:v>
      </x:c>
      <x:c r="J75" t="n">
        <x:v>71</x:v>
      </x:c>
      <x:c r="K75" t="n">
        <x:v>30</x:v>
      </x:c>
      <x:c r="L75" t="str">
        <x:v>536030695</x:v>
      </x:c>
      <x:c r="M75" t="str">
        <x:v>青花瓷</x:v>
      </x:c>
      <x:c r="N75" t="str">
        <x:v>300117743</x:v>
      </x:c>
      <x:c r="O75" t="str">
        <x:v>周杰伦</x:v>
      </x:c>
      <x:c r="P75" t="str"/>
      <x:c r="Q75" t="str"/>
      <x:c r="R75" t="str">
        <x:v>2007-11-02</x:v>
      </x:c>
      <x:c r="S75" t="str">
        <x:v>音乐 | 国际流行</x:v>
      </x:c>
      <x:c r="T75"/>
      <x:c r="U75"/>
      <x:c r="V75" t="str">
        <x:v>https://music.apple.com/cn/album/%E9%9D%92%E8%8A%B1%E7%93%B7/536030690?i=536030695</x:v>
      </x:c>
      <x:c r="W75" t="str">
        <x:v>https://is1-ssl.mzstatic.com/image/thumb/Music115/v4/b8/83/7f/b8837f2a-324a-f6ad-ff5a-0805e9210181/JAY.jpg/100x134bb.jpg</x:v>
      </x:c>
      <x:c r="X75" t="str">
        <x:v>https://music.apple.com/cn/new/top-charts</x:v>
      </x:c>
      <x:c r="Y75" t="str">
        <x:v>https://rss.marketingtools.apple.com/api/v2/cn/music/most-played/100/songs.json</x:v>
      </x:c>
      <x:c r="Z75" s="24" t="str">
        <x:f>IFERROR(VLOOKUP(F75,'07_字典与参数'!$A$5:$E$10,3,FALSE),"待映射")</x:f>
        <x:v>Apple Music</x:v>
      </x:c>
      <x:c r="AA75" s="24" t="str">
        <x:f>IFERROR(VLOOKUP(F75,'07_字典与参数'!$A$5:$E$10,2,FALSE),"待映射")</x:f>
        <x:v>热门歌曲排行</x:v>
      </x:c>
      <x:c r="AB75" s="24" t="str">
        <x:f>IFERROR(VLOOKUP(F75,'07_字典与参数'!$A$5:$E$10,4,FALSE),"待映射")</x:f>
        <x:v>每日公开快照</x:v>
      </x:c>
      <x:c r="AC75" s="24" t="str">
        <x:f>D75&amp;"|"&amp;F75&amp;"|"&amp;L75</x:f>
        <x:v>apple_music|cn_top_100|536030695</x:v>
      </x:c>
      <x:c r="AD75" s="24" t="str">
        <x:f>IF(J75&lt;=10,"是","否")</x:f>
        <x:v>否</x:v>
      </x:c>
      <x:c r="AE75" s="24" t="n">
        <x:f>IFERROR(YEAR(R75),"缺失")</x:f>
        <x:v>2007</x:v>
      </x:c>
    </x:row>
    <x:row r="76">
      <x:c r="A76" t="str">
        <x:v>20260812T132133+0800</x:v>
      </x:c>
      <x:c r="B76" t="n">
        <x:v>46246.22329861111</x:v>
      </x:c>
      <x:c r="C76" t="str">
        <x:v>2026-08-12</x:v>
      </x:c>
      <x:c r="D76" t="str">
        <x:v>apple_music</x:v>
      </x:c>
      <x:c r="E76" t="str">
        <x:v>CN</x:v>
      </x:c>
      <x:c r="F76" t="str">
        <x:v>cn_top_100</x:v>
      </x:c>
      <x:c r="G76" t="str">
        <x:v>热门歌曲排行</x:v>
      </x:c>
      <x:c r="H76" t="str">
        <x:v>apple_music_cn_most_played_100</x:v>
      </x:c>
      <x:c r="I76" t="n">
        <x:v>100</x:v>
      </x:c>
      <x:c r="J76" t="n">
        <x:v>72</x:v>
      </x:c>
      <x:c r="K76" t="n">
        <x:v>29</x:v>
      </x:c>
      <x:c r="L76" t="str">
        <x:v>1134353955</x:v>
      </x:c>
      <x:c r="M76" t="str">
        <x:v>大城小爱</x:v>
      </x:c>
      <x:c r="N76" t="str">
        <x:v>117741179</x:v>
      </x:c>
      <x:c r="O76" t="str">
        <x:v>王力宏</x:v>
      </x:c>
      <x:c r="P76" t="str"/>
      <x:c r="Q76" t="str"/>
      <x:c r="R76" t="str">
        <x:v>2005-12-30</x:v>
      </x:c>
      <x:c r="S76" t="str">
        <x:v>音乐 | 国际流行</x:v>
      </x:c>
      <x:c r="T76"/>
      <x:c r="U76"/>
      <x:c r="V76" t="str">
        <x:v>https://music.apple.com/cn/album/%E5%A4%A7%E5%9F%8E%E5%B0%8F%E7%88%B1/1134353291?i=1134353955</x:v>
      </x:c>
      <x:c r="W76" t="str">
        <x:v>https://is1-ssl.mzstatic.com/image/thumb/Music124/v4/f9/82/88/f98288eb-ea32-6c8c-7919-357c31a4b437/1400X1400.jpg/100x100bb.jpg</x:v>
      </x:c>
      <x:c r="X76" t="str">
        <x:v>https://music.apple.com/cn/new/top-charts</x:v>
      </x:c>
      <x:c r="Y76" t="str">
        <x:v>https://rss.marketingtools.apple.com/api/v2/cn/music/most-played/100/songs.json</x:v>
      </x:c>
      <x:c r="Z76" s="24" t="str">
        <x:f>IFERROR(VLOOKUP(F76,'07_字典与参数'!$A$5:$E$10,3,FALSE),"待映射")</x:f>
        <x:v>Apple Music</x:v>
      </x:c>
      <x:c r="AA76" s="24" t="str">
        <x:f>IFERROR(VLOOKUP(F76,'07_字典与参数'!$A$5:$E$10,2,FALSE),"待映射")</x:f>
        <x:v>热门歌曲排行</x:v>
      </x:c>
      <x:c r="AB76" s="24" t="str">
        <x:f>IFERROR(VLOOKUP(F76,'07_字典与参数'!$A$5:$E$10,4,FALSE),"待映射")</x:f>
        <x:v>每日公开快照</x:v>
      </x:c>
      <x:c r="AC76" s="24" t="str">
        <x:f>D76&amp;"|"&amp;F76&amp;"|"&amp;L76</x:f>
        <x:v>apple_music|cn_top_100|1134353955</x:v>
      </x:c>
      <x:c r="AD76" s="24" t="str">
        <x:f>IF(J76&lt;=10,"是","否")</x:f>
        <x:v>否</x:v>
      </x:c>
      <x:c r="AE76" s="24" t="n">
        <x:f>IFERROR(YEAR(R76),"缺失")</x:f>
        <x:v>2005</x:v>
      </x:c>
    </x:row>
    <x:row r="77">
      <x:c r="A77" t="str">
        <x:v>20260812T132133+0800</x:v>
      </x:c>
      <x:c r="B77" t="n">
        <x:v>46246.22329861111</x:v>
      </x:c>
      <x:c r="C77" t="str">
        <x:v>2026-08-12</x:v>
      </x:c>
      <x:c r="D77" t="str">
        <x:v>apple_music</x:v>
      </x:c>
      <x:c r="E77" t="str">
        <x:v>CN</x:v>
      </x:c>
      <x:c r="F77" t="str">
        <x:v>cn_top_100</x:v>
      </x:c>
      <x:c r="G77" t="str">
        <x:v>热门歌曲排行</x:v>
      </x:c>
      <x:c r="H77" t="str">
        <x:v>apple_music_cn_most_played_100</x:v>
      </x:c>
      <x:c r="I77" t="n">
        <x:v>100</x:v>
      </x:c>
      <x:c r="J77" t="n">
        <x:v>73</x:v>
      </x:c>
      <x:c r="K77" t="n">
        <x:v>28</x:v>
      </x:c>
      <x:c r="L77" t="str">
        <x:v>1053567928</x:v>
      </x:c>
      <x:c r="M77" t="str">
        <x:v>多远都要在一起</x:v>
      </x:c>
      <x:c r="N77" t="str">
        <x:v>425208570</x:v>
      </x:c>
      <x:c r="O77" t="str">
        <x:v>邓紫棋</x:v>
      </x:c>
      <x:c r="P77" t="str"/>
      <x:c r="Q77" t="str"/>
      <x:c r="R77" t="str">
        <x:v>2015-02-19</x:v>
      </x:c>
      <x:c r="S77" t="str">
        <x:v>音乐 | 国际流行</x:v>
      </x:c>
      <x:c r="T77"/>
      <x:c r="U77"/>
      <x:c r="V77" t="str">
        <x:v>https://music.apple.com/cn/album/%E5%A4%9A%E8%BF%9C%E9%83%BD%E8%A6%81%E5%9C%A8%E4%B8%80%E8%B5%B7/1053567923?i=1053567928</x:v>
      </x:c>
      <x:c r="W77" t="str">
        <x:v>https://is1-ssl.mzstatic.com/image/thumb/Music124/v4/55/bb/c7/55bbc782-299e-7f24-bc4a-ae129e6d8030/mzm.rpqttxch.jpg/100x100bb.jpg</x:v>
      </x:c>
      <x:c r="X77" t="str">
        <x:v>https://music.apple.com/cn/new/top-charts</x:v>
      </x:c>
      <x:c r="Y77" t="str">
        <x:v>https://rss.marketingtools.apple.com/api/v2/cn/music/most-played/100/songs.json</x:v>
      </x:c>
      <x:c r="Z77" s="24" t="str">
        <x:f>IFERROR(VLOOKUP(F77,'07_字典与参数'!$A$5:$E$10,3,FALSE),"待映射")</x:f>
        <x:v>Apple Music</x:v>
      </x:c>
      <x:c r="AA77" s="24" t="str">
        <x:f>IFERROR(VLOOKUP(F77,'07_字典与参数'!$A$5:$E$10,2,FALSE),"待映射")</x:f>
        <x:v>热门歌曲排行</x:v>
      </x:c>
      <x:c r="AB77" s="24" t="str">
        <x:f>IFERROR(VLOOKUP(F77,'07_字典与参数'!$A$5:$E$10,4,FALSE),"待映射")</x:f>
        <x:v>每日公开快照</x:v>
      </x:c>
      <x:c r="AC77" s="24" t="str">
        <x:f>D77&amp;"|"&amp;F77&amp;"|"&amp;L77</x:f>
        <x:v>apple_music|cn_top_100|1053567928</x:v>
      </x:c>
      <x:c r="AD77" s="24" t="str">
        <x:f>IF(J77&lt;=10,"是","否")</x:f>
        <x:v>否</x:v>
      </x:c>
      <x:c r="AE77" s="24" t="n">
        <x:f>IFERROR(YEAR(R77),"缺失")</x:f>
        <x:v>2015</x:v>
      </x:c>
    </x:row>
    <x:row r="78">
      <x:c r="A78" t="str">
        <x:v>20260812T132133+0800</x:v>
      </x:c>
      <x:c r="B78" t="n">
        <x:v>46246.22329861111</x:v>
      </x:c>
      <x:c r="C78" t="str">
        <x:v>2026-08-12</x:v>
      </x:c>
      <x:c r="D78" t="str">
        <x:v>apple_music</x:v>
      </x:c>
      <x:c r="E78" t="str">
        <x:v>CN</x:v>
      </x:c>
      <x:c r="F78" t="str">
        <x:v>cn_top_100</x:v>
      </x:c>
      <x:c r="G78" t="str">
        <x:v>热门歌曲排行</x:v>
      </x:c>
      <x:c r="H78" t="str">
        <x:v>apple_music_cn_most_played_100</x:v>
      </x:c>
      <x:c r="I78" t="n">
        <x:v>100</x:v>
      </x:c>
      <x:c r="J78" t="n">
        <x:v>74</x:v>
      </x:c>
      <x:c r="K78" t="n">
        <x:v>27</x:v>
      </x:c>
      <x:c r="L78" t="str">
        <x:v>1416149929</x:v>
      </x:c>
      <x:c r="M78" t="str">
        <x:v>飞机场的10:30</x:v>
      </x:c>
      <x:c r="N78" t="str">
        <x:v>16789930</x:v>
      </x:c>
      <x:c r="O78" t="str">
        <x:v>陶喆</x:v>
      </x:c>
      <x:c r="P78" t="str"/>
      <x:c r="Q78" t="str"/>
      <x:c r="R78" t="str">
        <x:v>1997-01-01</x:v>
      </x:c>
      <x:c r="S78" t="str">
        <x:v>音乐 | 国际流行</x:v>
      </x:c>
      <x:c r="T78"/>
      <x:c r="U78"/>
      <x:c r="V78" t="str">
        <x:v>https://music.apple.com/cn/album/%E9%A3%9E%E6%9C%BA%E5%9C%BA%E7%9A%8410-30/1416149926?i=1416149929</x:v>
      </x:c>
      <x:c r="W78" t="str">
        <x:v>https://is1-ssl.mzstatic.com/image/thumb/Music125/v4/dd/bb/bd/ddbbbda1-9408-72b2-4c0b-943e648be6c1/190295574086.jpg/100x100bb.jpg</x:v>
      </x:c>
      <x:c r="X78" t="str">
        <x:v>https://music.apple.com/cn/new/top-charts</x:v>
      </x:c>
      <x:c r="Y78" t="str">
        <x:v>https://rss.marketingtools.apple.com/api/v2/cn/music/most-played/100/songs.json</x:v>
      </x:c>
      <x:c r="Z78" s="24" t="str">
        <x:f>IFERROR(VLOOKUP(F78,'07_字典与参数'!$A$5:$E$10,3,FALSE),"待映射")</x:f>
        <x:v>Apple Music</x:v>
      </x:c>
      <x:c r="AA78" s="24" t="str">
        <x:f>IFERROR(VLOOKUP(F78,'07_字典与参数'!$A$5:$E$10,2,FALSE),"待映射")</x:f>
        <x:v>热门歌曲排行</x:v>
      </x:c>
      <x:c r="AB78" s="24" t="str">
        <x:f>IFERROR(VLOOKUP(F78,'07_字典与参数'!$A$5:$E$10,4,FALSE),"待映射")</x:f>
        <x:v>每日公开快照</x:v>
      </x:c>
      <x:c r="AC78" s="24" t="str">
        <x:f>D78&amp;"|"&amp;F78&amp;"|"&amp;L78</x:f>
        <x:v>apple_music|cn_top_100|1416149929</x:v>
      </x:c>
      <x:c r="AD78" s="24" t="str">
        <x:f>IF(J78&lt;=10,"是","否")</x:f>
        <x:v>否</x:v>
      </x:c>
      <x:c r="AE78" s="24" t="n">
        <x:f>IFERROR(YEAR(R78),"缺失")</x:f>
        <x:v>1997</x:v>
      </x:c>
    </x:row>
    <x:row r="79">
      <x:c r="A79" t="str">
        <x:v>20260812T132133+0800</x:v>
      </x:c>
      <x:c r="B79" t="n">
        <x:v>46246.22329861111</x:v>
      </x:c>
      <x:c r="C79" t="str">
        <x:v>2026-08-12</x:v>
      </x:c>
      <x:c r="D79" t="str">
        <x:v>apple_music</x:v>
      </x:c>
      <x:c r="E79" t="str">
        <x:v>CN</x:v>
      </x:c>
      <x:c r="F79" t="str">
        <x:v>cn_top_100</x:v>
      </x:c>
      <x:c r="G79" t="str">
        <x:v>热门歌曲排行</x:v>
      </x:c>
      <x:c r="H79" t="str">
        <x:v>apple_music_cn_most_played_100</x:v>
      </x:c>
      <x:c r="I79" t="n">
        <x:v>100</x:v>
      </x:c>
      <x:c r="J79" t="n">
        <x:v>75</x:v>
      </x:c>
      <x:c r="K79" t="n">
        <x:v>26</x:v>
      </x:c>
      <x:c r="L79" t="str">
        <x:v>1071752119</x:v>
      </x:c>
      <x:c r="M79" t="str">
        <x:v>Always Online</x:v>
      </x:c>
      <x:c r="N79" t="str">
        <x:v>216635866</x:v>
      </x:c>
      <x:c r="O79" t="str">
        <x:v>林俊杰</x:v>
      </x:c>
      <x:c r="P79" t="str"/>
      <x:c r="Q79" t="str"/>
      <x:c r="R79" t="str">
        <x:v>2007-03-09</x:v>
      </x:c>
      <x:c r="S79" t="str">
        <x:v>音乐 | 国际流行</x:v>
      </x:c>
      <x:c r="T79"/>
      <x:c r="U79"/>
      <x:c r="V79" t="str">
        <x:v>https://music.apple.com/cn/album/always-online/1071752047?i=1071752119</x:v>
      </x:c>
      <x:c r="W79" t="str">
        <x:v>https://is1-ssl.mzstatic.com/image/thumb/Music124/v4/99/e8/4f/99e84f72-3c26-0617-86a7-8e3f250f8c98/fengmain.jpg/100x100bb.jpg</x:v>
      </x:c>
      <x:c r="X79" t="str">
        <x:v>https://music.apple.com/cn/new/top-charts</x:v>
      </x:c>
      <x:c r="Y79" t="str">
        <x:v>https://rss.marketingtools.apple.com/api/v2/cn/music/most-played/100/songs.json</x:v>
      </x:c>
      <x:c r="Z79" s="24" t="str">
        <x:f>IFERROR(VLOOKUP(F79,'07_字典与参数'!$A$5:$E$10,3,FALSE),"待映射")</x:f>
        <x:v>Apple Music</x:v>
      </x:c>
      <x:c r="AA79" s="24" t="str">
        <x:f>IFERROR(VLOOKUP(F79,'07_字典与参数'!$A$5:$E$10,2,FALSE),"待映射")</x:f>
        <x:v>热门歌曲排行</x:v>
      </x:c>
      <x:c r="AB79" s="24" t="str">
        <x:f>IFERROR(VLOOKUP(F79,'07_字典与参数'!$A$5:$E$10,4,FALSE),"待映射")</x:f>
        <x:v>每日公开快照</x:v>
      </x:c>
      <x:c r="AC79" s="24" t="str">
        <x:f>D79&amp;"|"&amp;F79&amp;"|"&amp;L79</x:f>
        <x:v>apple_music|cn_top_100|1071752119</x:v>
      </x:c>
      <x:c r="AD79" s="24" t="str">
        <x:f>IF(J79&lt;=10,"是","否")</x:f>
        <x:v>否</x:v>
      </x:c>
      <x:c r="AE79" s="24" t="n">
        <x:f>IFERROR(YEAR(R79),"缺失")</x:f>
        <x:v>2007</x:v>
      </x:c>
    </x:row>
    <x:row r="80">
      <x:c r="A80" t="str">
        <x:v>20260812T132133+0800</x:v>
      </x:c>
      <x:c r="B80" t="n">
        <x:v>46246.22329861111</x:v>
      </x:c>
      <x:c r="C80" t="str">
        <x:v>2026-08-12</x:v>
      </x:c>
      <x:c r="D80" t="str">
        <x:v>apple_music</x:v>
      </x:c>
      <x:c r="E80" t="str">
        <x:v>CN</x:v>
      </x:c>
      <x:c r="F80" t="str">
        <x:v>cn_top_100</x:v>
      </x:c>
      <x:c r="G80" t="str">
        <x:v>热门歌曲排行</x:v>
      </x:c>
      <x:c r="H80" t="str">
        <x:v>apple_music_cn_most_played_100</x:v>
      </x:c>
      <x:c r="I80" t="n">
        <x:v>100</x:v>
      </x:c>
      <x:c r="J80" t="n">
        <x:v>76</x:v>
      </x:c>
      <x:c r="K80" t="n">
        <x:v>25</x:v>
      </x:c>
      <x:c r="L80" t="str">
        <x:v>1071506929</x:v>
      </x:c>
      <x:c r="M80" t="str">
        <x:v>她说</x:v>
      </x:c>
      <x:c r="N80" t="str">
        <x:v>216635866</x:v>
      </x:c>
      <x:c r="O80" t="str">
        <x:v>林俊杰</x:v>
      </x:c>
      <x:c r="P80" t="str"/>
      <x:c r="Q80" t="str"/>
      <x:c r="R80" t="str">
        <x:v>2010-12-08</x:v>
      </x:c>
      <x:c r="S80" t="str">
        <x:v>音乐 | 国际流行</x:v>
      </x:c>
      <x:c r="T80"/>
      <x:c r="U80"/>
      <x:c r="V80" t="str">
        <x:v>https://music.apple.com/cn/album/%E5%A5%B9%E8%AF%B4/1071506928?i=1071506929</x:v>
      </x:c>
      <x:c r="W80" t="str">
        <x:v>https://is1-ssl.mzstatic.com/image/thumb/Music125/v4/4f/55/6d/4f556da8-f58c-982d-6dd9-3515d33b354f/mzm.awewpcjt.jpg/100x100bb.jpg</x:v>
      </x:c>
      <x:c r="X80" t="str">
        <x:v>https://music.apple.com/cn/new/top-charts</x:v>
      </x:c>
      <x:c r="Y80" t="str">
        <x:v>https://rss.marketingtools.apple.com/api/v2/cn/music/most-played/100/songs.json</x:v>
      </x:c>
      <x:c r="Z80" s="24" t="str">
        <x:f>IFERROR(VLOOKUP(F80,'07_字典与参数'!$A$5:$E$10,3,FALSE),"待映射")</x:f>
        <x:v>Apple Music</x:v>
      </x:c>
      <x:c r="AA80" s="24" t="str">
        <x:f>IFERROR(VLOOKUP(F80,'07_字典与参数'!$A$5:$E$10,2,FALSE),"待映射")</x:f>
        <x:v>热门歌曲排行</x:v>
      </x:c>
      <x:c r="AB80" s="24" t="str">
        <x:f>IFERROR(VLOOKUP(F80,'07_字典与参数'!$A$5:$E$10,4,FALSE),"待映射")</x:f>
        <x:v>每日公开快照</x:v>
      </x:c>
      <x:c r="AC80" s="24" t="str">
        <x:f>D80&amp;"|"&amp;F80&amp;"|"&amp;L80</x:f>
        <x:v>apple_music|cn_top_100|1071506929</x:v>
      </x:c>
      <x:c r="AD80" s="24" t="str">
        <x:f>IF(J80&lt;=10,"是","否")</x:f>
        <x:v>否</x:v>
      </x:c>
      <x:c r="AE80" s="24" t="n">
        <x:f>IFERROR(YEAR(R80),"缺失")</x:f>
        <x:v>2010</x:v>
      </x:c>
    </x:row>
    <x:row r="81">
      <x:c r="A81" t="str">
        <x:v>20260812T132133+0800</x:v>
      </x:c>
      <x:c r="B81" t="n">
        <x:v>46246.22329861111</x:v>
      </x:c>
      <x:c r="C81" t="str">
        <x:v>2026-08-12</x:v>
      </x:c>
      <x:c r="D81" t="str">
        <x:v>apple_music</x:v>
      </x:c>
      <x:c r="E81" t="str">
        <x:v>CN</x:v>
      </x:c>
      <x:c r="F81" t="str">
        <x:v>cn_top_100</x:v>
      </x:c>
      <x:c r="G81" t="str">
        <x:v>热门歌曲排行</x:v>
      </x:c>
      <x:c r="H81" t="str">
        <x:v>apple_music_cn_most_played_100</x:v>
      </x:c>
      <x:c r="I81" t="n">
        <x:v>100</x:v>
      </x:c>
      <x:c r="J81" t="n">
        <x:v>77</x:v>
      </x:c>
      <x:c r="K81" t="n">
        <x:v>24</x:v>
      </x:c>
      <x:c r="L81" t="str">
        <x:v>577983297</x:v>
      </x:c>
      <x:c r="M81" t="str">
        <x:v>麦恩莉</x:v>
      </x:c>
      <x:c r="N81" t="str">
        <x:v>201549024</x:v>
      </x:c>
      <x:c r="O81" t="str">
        <x:v>方大同</x:v>
      </x:c>
      <x:c r="P81" t="str"/>
      <x:c r="Q81" t="str"/>
      <x:c r="R81" t="str">
        <x:v>2012-12-12</x:v>
      </x:c>
      <x:c r="S81" t="str">
        <x:v>音乐 | 国际流行</x:v>
      </x:c>
      <x:c r="T81"/>
      <x:c r="U81"/>
      <x:c r="V81" t="str">
        <x:v>https://music.apple.com/cn/album/%E9%BA%A6%E6%81%A9%E8%8E%89/577983280?i=577983297</x:v>
      </x:c>
      <x:c r="W81" t="str">
        <x:v>https://is1-ssl.mzstatic.com/image/thumb/Features115/v4/91/41/8c/91418cce-4b5b-a7a7-cf54-858af87966e3/dj.munrszcb.jpg/100x93bb.jpg</x:v>
      </x:c>
      <x:c r="X81" t="str">
        <x:v>https://music.apple.com/cn/new/top-charts</x:v>
      </x:c>
      <x:c r="Y81" t="str">
        <x:v>https://rss.marketingtools.apple.com/api/v2/cn/music/most-played/100/songs.json</x:v>
      </x:c>
      <x:c r="Z81" s="24" t="str">
        <x:f>IFERROR(VLOOKUP(F81,'07_字典与参数'!$A$5:$E$10,3,FALSE),"待映射")</x:f>
        <x:v>Apple Music</x:v>
      </x:c>
      <x:c r="AA81" s="24" t="str">
        <x:f>IFERROR(VLOOKUP(F81,'07_字典与参数'!$A$5:$E$10,2,FALSE),"待映射")</x:f>
        <x:v>热门歌曲排行</x:v>
      </x:c>
      <x:c r="AB81" s="24" t="str">
        <x:f>IFERROR(VLOOKUP(F81,'07_字典与参数'!$A$5:$E$10,4,FALSE),"待映射")</x:f>
        <x:v>每日公开快照</x:v>
      </x:c>
      <x:c r="AC81" s="24" t="str">
        <x:f>D81&amp;"|"&amp;F81&amp;"|"&amp;L81</x:f>
        <x:v>apple_music|cn_top_100|577983297</x:v>
      </x:c>
      <x:c r="AD81" s="24" t="str">
        <x:f>IF(J81&lt;=10,"是","否")</x:f>
        <x:v>否</x:v>
      </x:c>
      <x:c r="AE81" s="24" t="n">
        <x:f>IFERROR(YEAR(R81),"缺失")</x:f>
        <x:v>2012</x:v>
      </x:c>
    </x:row>
    <x:row r="82">
      <x:c r="A82" t="str">
        <x:v>20260812T132133+0800</x:v>
      </x:c>
      <x:c r="B82" t="n">
        <x:v>46246.22329861111</x:v>
      </x:c>
      <x:c r="C82" t="str">
        <x:v>2026-08-12</x:v>
      </x:c>
      <x:c r="D82" t="str">
        <x:v>apple_music</x:v>
      </x:c>
      <x:c r="E82" t="str">
        <x:v>CN</x:v>
      </x:c>
      <x:c r="F82" t="str">
        <x:v>cn_top_100</x:v>
      </x:c>
      <x:c r="G82" t="str">
        <x:v>热门歌曲排行</x:v>
      </x:c>
      <x:c r="H82" t="str">
        <x:v>apple_music_cn_most_played_100</x:v>
      </x:c>
      <x:c r="I82" t="n">
        <x:v>100</x:v>
      </x:c>
      <x:c r="J82" t="n">
        <x:v>78</x:v>
      </x:c>
      <x:c r="K82" t="n">
        <x:v>23</x:v>
      </x:c>
      <x:c r="L82" t="str">
        <x:v>905206485</x:v>
      </x:c>
      <x:c r="M82" t="str">
        <x:v>天天</x:v>
      </x:c>
      <x:c r="N82" t="str">
        <x:v>16789930</x:v>
      </x:c>
      <x:c r="O82" t="str">
        <x:v>陶喆</x:v>
      </x:c>
      <x:c r="P82" t="str"/>
      <x:c r="Q82" t="str"/>
      <x:c r="R82" t="str">
        <x:v>1999-08-24</x:v>
      </x:c>
      <x:c r="S82" t="str">
        <x:v>音乐 | 国际流行</x:v>
      </x:c>
      <x:c r="T82"/>
      <x:c r="U82"/>
      <x:c r="V82" t="str">
        <x:v>https://music.apple.com/cn/album/%E5%A4%A9%E5%A4%A9/905206471?i=905206485</x:v>
      </x:c>
      <x:c r="W82" t="str">
        <x:v>https://is1-ssl.mzstatic.com/image/thumb/Music115/v4/d0/77/fc/d077fcf8-6a17-e7ea-6c91-6cf40ad39d81/825646245383.jpg/100x98bb.jpg</x:v>
      </x:c>
      <x:c r="X82" t="str">
        <x:v>https://music.apple.com/cn/new/top-charts</x:v>
      </x:c>
      <x:c r="Y82" t="str">
        <x:v>https://rss.marketingtools.apple.com/api/v2/cn/music/most-played/100/songs.json</x:v>
      </x:c>
      <x:c r="Z82" s="24" t="str">
        <x:f>IFERROR(VLOOKUP(F82,'07_字典与参数'!$A$5:$E$10,3,FALSE),"待映射")</x:f>
        <x:v>Apple Music</x:v>
      </x:c>
      <x:c r="AA82" s="24" t="str">
        <x:f>IFERROR(VLOOKUP(F82,'07_字典与参数'!$A$5:$E$10,2,FALSE),"待映射")</x:f>
        <x:v>热门歌曲排行</x:v>
      </x:c>
      <x:c r="AB82" s="24" t="str">
        <x:f>IFERROR(VLOOKUP(F82,'07_字典与参数'!$A$5:$E$10,4,FALSE),"待映射")</x:f>
        <x:v>每日公开快照</x:v>
      </x:c>
      <x:c r="AC82" s="24" t="str">
        <x:f>D82&amp;"|"&amp;F82&amp;"|"&amp;L82</x:f>
        <x:v>apple_music|cn_top_100|905206485</x:v>
      </x:c>
      <x:c r="AD82" s="24" t="str">
        <x:f>IF(J82&lt;=10,"是","否")</x:f>
        <x:v>否</x:v>
      </x:c>
      <x:c r="AE82" s="24" t="n">
        <x:f>IFERROR(YEAR(R82),"缺失")</x:f>
        <x:v>1999</x:v>
      </x:c>
    </x:row>
    <x:row r="83">
      <x:c r="A83" t="str">
        <x:v>20260812T132133+0800</x:v>
      </x:c>
      <x:c r="B83" t="n">
        <x:v>46246.22329861111</x:v>
      </x:c>
      <x:c r="C83" t="str">
        <x:v>2026-08-12</x:v>
      </x:c>
      <x:c r="D83" t="str">
        <x:v>apple_music</x:v>
      </x:c>
      <x:c r="E83" t="str">
        <x:v>CN</x:v>
      </x:c>
      <x:c r="F83" t="str">
        <x:v>cn_top_100</x:v>
      </x:c>
      <x:c r="G83" t="str">
        <x:v>热门歌曲排行</x:v>
      </x:c>
      <x:c r="H83" t="str">
        <x:v>apple_music_cn_most_played_100</x:v>
      </x:c>
      <x:c r="I83" t="n">
        <x:v>100</x:v>
      </x:c>
      <x:c r="J83" t="n">
        <x:v>79</x:v>
      </x:c>
      <x:c r="K83" t="n">
        <x:v>22</x:v>
      </x:c>
      <x:c r="L83" t="str">
        <x:v>1694849138</x:v>
      </x:c>
      <x:c r="M83" t="str">
        <x:v>修炼爱情</x:v>
      </x:c>
      <x:c r="N83" t="str">
        <x:v>216635866</x:v>
      </x:c>
      <x:c r="O83" t="str">
        <x:v>林俊杰</x:v>
      </x:c>
      <x:c r="P83" t="str"/>
      <x:c r="Q83" t="str"/>
      <x:c r="R83" t="str">
        <x:v>2013-02-20</x:v>
      </x:c>
      <x:c r="S83" t="str">
        <x:v>音乐 | 国际流行</x:v>
      </x:c>
      <x:c r="T83"/>
      <x:c r="U83"/>
      <x:c r="V83" t="str">
        <x:v>https://music.apple.com/cn/album/%E4%BF%AE%E7%82%BC%E7%88%B1%E6%83%85/1694849133?i=1694849138</x:v>
      </x:c>
      <x:c r="W83" t="str">
        <x:v>https://is1-ssl.mzstatic.com/image/thumb/Music116/v4/86/80/48/86804834-eb90-62a1-2170-cd96f9963cac/4711099729722.jpg/100x100bb.jpg</x:v>
      </x:c>
      <x:c r="X83" t="str">
        <x:v>https://music.apple.com/cn/new/top-charts</x:v>
      </x:c>
      <x:c r="Y83" t="str">
        <x:v>https://rss.marketingtools.apple.com/api/v2/cn/music/most-played/100/songs.json</x:v>
      </x:c>
      <x:c r="Z83" s="24" t="str">
        <x:f>IFERROR(VLOOKUP(F83,'07_字典与参数'!$A$5:$E$10,3,FALSE),"待映射")</x:f>
        <x:v>Apple Music</x:v>
      </x:c>
      <x:c r="AA83" s="24" t="str">
        <x:f>IFERROR(VLOOKUP(F83,'07_字典与参数'!$A$5:$E$10,2,FALSE),"待映射")</x:f>
        <x:v>热门歌曲排行</x:v>
      </x:c>
      <x:c r="AB83" s="24" t="str">
        <x:f>IFERROR(VLOOKUP(F83,'07_字典与参数'!$A$5:$E$10,4,FALSE),"待映射")</x:f>
        <x:v>每日公开快照</x:v>
      </x:c>
      <x:c r="AC83" s="24" t="str">
        <x:f>D83&amp;"|"&amp;F83&amp;"|"&amp;L83</x:f>
        <x:v>apple_music|cn_top_100|1694849138</x:v>
      </x:c>
      <x:c r="AD83" s="24" t="str">
        <x:f>IF(J83&lt;=10,"是","否")</x:f>
        <x:v>否</x:v>
      </x:c>
      <x:c r="AE83" s="24" t="n">
        <x:f>IFERROR(YEAR(R83),"缺失")</x:f>
        <x:v>2013</x:v>
      </x:c>
    </x:row>
    <x:row r="84">
      <x:c r="A84" t="str">
        <x:v>20260812T132133+0800</x:v>
      </x:c>
      <x:c r="B84" t="n">
        <x:v>46246.22329861111</x:v>
      </x:c>
      <x:c r="C84" t="str">
        <x:v>2026-08-12</x:v>
      </x:c>
      <x:c r="D84" t="str">
        <x:v>apple_music</x:v>
      </x:c>
      <x:c r="E84" t="str">
        <x:v>CN</x:v>
      </x:c>
      <x:c r="F84" t="str">
        <x:v>cn_top_100</x:v>
      </x:c>
      <x:c r="G84" t="str">
        <x:v>热门歌曲排行</x:v>
      </x:c>
      <x:c r="H84" t="str">
        <x:v>apple_music_cn_most_played_100</x:v>
      </x:c>
      <x:c r="I84" t="n">
        <x:v>100</x:v>
      </x:c>
      <x:c r="J84" t="n">
        <x:v>80</x:v>
      </x:c>
      <x:c r="K84" t="n">
        <x:v>21</x:v>
      </x:c>
      <x:c r="L84" t="str">
        <x:v>1041127302</x:v>
      </x:c>
      <x:c r="M84" t="str">
        <x:v>We Don’t Talk Anymore (feat. Selena Gomez)</x:v>
      </x:c>
      <x:c r="N84" t="str">
        <x:v>336249253</x:v>
      </x:c>
      <x:c r="O84" t="str">
        <x:v>Charlie Puth</x:v>
      </x:c>
      <x:c r="P84" t="str"/>
      <x:c r="Q84" t="str"/>
      <x:c r="R84" t="str">
        <x:v>2016-01-29</x:v>
      </x:c>
      <x:c r="S84" t="str">
        <x:v>国际流行 | 音乐</x:v>
      </x:c>
      <x:c r="T84"/>
      <x:c r="U84"/>
      <x:c r="V84" t="str">
        <x:v>https://music.apple.com/cn/album/we-dont-talk-anymore-feat-selena-gomez/1041127262?i=1041127302</x:v>
      </x:c>
      <x:c r="W84" t="str">
        <x:v>https://is1-ssl.mzstatic.com/image/thumb/Music124/v4/68/24/6d/68246d01-179c-72e2-6caa-6490c86a4e79/075679920836.jpg/100x100bb.jpg</x:v>
      </x:c>
      <x:c r="X84" t="str">
        <x:v>https://music.apple.com/cn/new/top-charts</x:v>
      </x:c>
      <x:c r="Y84" t="str">
        <x:v>https://rss.marketingtools.apple.com/api/v2/cn/music/most-played/100/songs.json</x:v>
      </x:c>
      <x:c r="Z84" s="24" t="str">
        <x:f>IFERROR(VLOOKUP(F84,'07_字典与参数'!$A$5:$E$10,3,FALSE),"待映射")</x:f>
        <x:v>Apple Music</x:v>
      </x:c>
      <x:c r="AA84" s="24" t="str">
        <x:f>IFERROR(VLOOKUP(F84,'07_字典与参数'!$A$5:$E$10,2,FALSE),"待映射")</x:f>
        <x:v>热门歌曲排行</x:v>
      </x:c>
      <x:c r="AB84" s="24" t="str">
        <x:f>IFERROR(VLOOKUP(F84,'07_字典与参数'!$A$5:$E$10,4,FALSE),"待映射")</x:f>
        <x:v>每日公开快照</x:v>
      </x:c>
      <x:c r="AC84" s="24" t="str">
        <x:f>D84&amp;"|"&amp;F84&amp;"|"&amp;L84</x:f>
        <x:v>apple_music|cn_top_100|1041127302</x:v>
      </x:c>
      <x:c r="AD84" s="24" t="str">
        <x:f>IF(J84&lt;=10,"是","否")</x:f>
        <x:v>否</x:v>
      </x:c>
      <x:c r="AE84" s="24" t="n">
        <x:f>IFERROR(YEAR(R84),"缺失")</x:f>
        <x:v>2016</x:v>
      </x:c>
    </x:row>
    <x:row r="85">
      <x:c r="A85" t="str">
        <x:v>20260812T132133+0800</x:v>
      </x:c>
      <x:c r="B85" t="n">
        <x:v>46246.22329861111</x:v>
      </x:c>
      <x:c r="C85" t="str">
        <x:v>2026-08-12</x:v>
      </x:c>
      <x:c r="D85" t="str">
        <x:v>apple_music</x:v>
      </x:c>
      <x:c r="E85" t="str">
        <x:v>CN</x:v>
      </x:c>
      <x:c r="F85" t="str">
        <x:v>cn_top_100</x:v>
      </x:c>
      <x:c r="G85" t="str">
        <x:v>热门歌曲排行</x:v>
      </x:c>
      <x:c r="H85" t="str">
        <x:v>apple_music_cn_most_played_100</x:v>
      </x:c>
      <x:c r="I85" t="n">
        <x:v>100</x:v>
      </x:c>
      <x:c r="J85" t="n">
        <x:v>81</x:v>
      </x:c>
      <x:c r="K85" t="n">
        <x:v>20</x:v>
      </x:c>
      <x:c r="L85" t="str">
        <x:v>1788007693</x:v>
      </x:c>
      <x:c r="M85" t="str">
        <x:v>手心的蔷薇 (feat. 邓紫棋)</x:v>
      </x:c>
      <x:c r="N85" t="str">
        <x:v>216635866</x:v>
      </x:c>
      <x:c r="O85" t="str">
        <x:v>林俊杰</x:v>
      </x:c>
      <x:c r="P85" t="str"/>
      <x:c r="Q85" t="str"/>
      <x:c r="R85" t="str">
        <x:v>2014-12-27</x:v>
      </x:c>
      <x:c r="S85" t="str">
        <x:v>音乐 | 国际流行</x:v>
      </x:c>
      <x:c r="T85"/>
      <x:c r="U85"/>
      <x:c r="V85" t="str">
        <x:v>https://music.apple.com/cn/album/%E6%89%8B%E5%BF%83%E7%9A%84%E8%94%B7%E8%96%87-feat-%E9%82%93%E7%B4%AB%E6%A3%8B/1788007687?i=1788007693</x:v>
      </x:c>
      <x:c r="W85" t="str">
        <x:v>https://is1-ssl.mzstatic.com/image/thumb/Music211/v4/57/5a/1b/575a1bc9-ca86-7549-e873-b55663ba6276/4711508105925.jpg/100x100bb.jpg</x:v>
      </x:c>
      <x:c r="X85" t="str">
        <x:v>https://music.apple.com/cn/new/top-charts</x:v>
      </x:c>
      <x:c r="Y85" t="str">
        <x:v>https://rss.marketingtools.apple.com/api/v2/cn/music/most-played/100/songs.json</x:v>
      </x:c>
      <x:c r="Z85" s="24" t="str">
        <x:f>IFERROR(VLOOKUP(F85,'07_字典与参数'!$A$5:$E$10,3,FALSE),"待映射")</x:f>
        <x:v>Apple Music</x:v>
      </x:c>
      <x:c r="AA85" s="24" t="str">
        <x:f>IFERROR(VLOOKUP(F85,'07_字典与参数'!$A$5:$E$10,2,FALSE),"待映射")</x:f>
        <x:v>热门歌曲排行</x:v>
      </x:c>
      <x:c r="AB85" s="24" t="str">
        <x:f>IFERROR(VLOOKUP(F85,'07_字典与参数'!$A$5:$E$10,4,FALSE),"待映射")</x:f>
        <x:v>每日公开快照</x:v>
      </x:c>
      <x:c r="AC85" s="24" t="str">
        <x:f>D85&amp;"|"&amp;F85&amp;"|"&amp;L85</x:f>
        <x:v>apple_music|cn_top_100|1788007693</x:v>
      </x:c>
      <x:c r="AD85" s="24" t="str">
        <x:f>IF(J85&lt;=10,"是","否")</x:f>
        <x:v>否</x:v>
      </x:c>
      <x:c r="AE85" s="24" t="n">
        <x:f>IFERROR(YEAR(R85),"缺失")</x:f>
        <x:v>2014</x:v>
      </x:c>
    </x:row>
    <x:row r="86">
      <x:c r="A86" t="str">
        <x:v>20260812T132133+0800</x:v>
      </x:c>
      <x:c r="B86" t="n">
        <x:v>46246.22329861111</x:v>
      </x:c>
      <x:c r="C86" t="str">
        <x:v>2026-08-12</x:v>
      </x:c>
      <x:c r="D86" t="str">
        <x:v>apple_music</x:v>
      </x:c>
      <x:c r="E86" t="str">
        <x:v>CN</x:v>
      </x:c>
      <x:c r="F86" t="str">
        <x:v>cn_top_100</x:v>
      </x:c>
      <x:c r="G86" t="str">
        <x:v>热门歌曲排行</x:v>
      </x:c>
      <x:c r="H86" t="str">
        <x:v>apple_music_cn_most_played_100</x:v>
      </x:c>
      <x:c r="I86" t="n">
        <x:v>100</x:v>
      </x:c>
      <x:c r="J86" t="n">
        <x:v>82</x:v>
      </x:c>
      <x:c r="K86" t="n">
        <x:v>19</x:v>
      </x:c>
      <x:c r="L86" t="str">
        <x:v>944321446</x:v>
      </x:c>
      <x:c r="M86" t="str">
        <x:v>手写的从前</x:v>
      </x:c>
      <x:c r="N86" t="str">
        <x:v>300117743</x:v>
      </x:c>
      <x:c r="O86" t="str">
        <x:v>周杰伦</x:v>
      </x:c>
      <x:c r="P86" t="str"/>
      <x:c r="Q86" t="str"/>
      <x:c r="R86" t="str">
        <x:v>2014-12-26</x:v>
      </x:c>
      <x:c r="S86" t="str">
        <x:v>音乐 | 国际流行</x:v>
      </x:c>
      <x:c r="T86"/>
      <x:c r="U86"/>
      <x:c r="V86" t="str">
        <x:v>https://music.apple.com/cn/album/%E6%89%8B%E5%86%99%E7%9A%84%E4%BB%8E%E5%89%8D/944321428?i=944321446</x:v>
      </x:c>
      <x:c r="W86" t="str">
        <x:v>https://is1-ssl.mzstatic.com/image/thumb/Music115/v4/16/db/ff/16dbff09-0750-29b0-07b7-3fa44f8a556e/dj.nzqvfsza.jpg/100x100bb.jpg</x:v>
      </x:c>
      <x:c r="X86" t="str">
        <x:v>https://music.apple.com/cn/new/top-charts</x:v>
      </x:c>
      <x:c r="Y86" t="str">
        <x:v>https://rss.marketingtools.apple.com/api/v2/cn/music/most-played/100/songs.json</x:v>
      </x:c>
      <x:c r="Z86" s="24" t="str">
        <x:f>IFERROR(VLOOKUP(F86,'07_字典与参数'!$A$5:$E$10,3,FALSE),"待映射")</x:f>
        <x:v>Apple Music</x:v>
      </x:c>
      <x:c r="AA86" s="24" t="str">
        <x:f>IFERROR(VLOOKUP(F86,'07_字典与参数'!$A$5:$E$10,2,FALSE),"待映射")</x:f>
        <x:v>热门歌曲排行</x:v>
      </x:c>
      <x:c r="AB86" s="24" t="str">
        <x:f>IFERROR(VLOOKUP(F86,'07_字典与参数'!$A$5:$E$10,4,FALSE),"待映射")</x:f>
        <x:v>每日公开快照</x:v>
      </x:c>
      <x:c r="AC86" s="24" t="str">
        <x:f>D86&amp;"|"&amp;F86&amp;"|"&amp;L86</x:f>
        <x:v>apple_music|cn_top_100|944321446</x:v>
      </x:c>
      <x:c r="AD86" s="24" t="str">
        <x:f>IF(J86&lt;=10,"是","否")</x:f>
        <x:v>否</x:v>
      </x:c>
      <x:c r="AE86" s="24" t="n">
        <x:f>IFERROR(YEAR(R86),"缺失")</x:f>
        <x:v>2014</x:v>
      </x:c>
    </x:row>
    <x:row r="87">
      <x:c r="A87" t="str">
        <x:v>20260812T132133+0800</x:v>
      </x:c>
      <x:c r="B87" t="n">
        <x:v>46246.22329861111</x:v>
      </x:c>
      <x:c r="C87" t="str">
        <x:v>2026-08-12</x:v>
      </x:c>
      <x:c r="D87" t="str">
        <x:v>apple_music</x:v>
      </x:c>
      <x:c r="E87" t="str">
        <x:v>CN</x:v>
      </x:c>
      <x:c r="F87" t="str">
        <x:v>cn_top_100</x:v>
      </x:c>
      <x:c r="G87" t="str">
        <x:v>热门歌曲排行</x:v>
      </x:c>
      <x:c r="H87" t="str">
        <x:v>apple_music_cn_most_played_100</x:v>
      </x:c>
      <x:c r="I87" t="n">
        <x:v>100</x:v>
      </x:c>
      <x:c r="J87" t="n">
        <x:v>83</x:v>
      </x:c>
      <x:c r="K87" t="n">
        <x:v>18</x:v>
      </x:c>
      <x:c r="L87" t="str">
        <x:v>1887671067</x:v>
      </x:c>
      <x:c r="M87" t="str">
        <x:v>REDRED</x:v>
      </x:c>
      <x:c r="N87" t="str">
        <x:v>1831651635</x:v>
      </x:c>
      <x:c r="O87" t="str">
        <x:v>CORTIS</x:v>
      </x:c>
      <x:c r="P87" t="str"/>
      <x:c r="Q87" t="str"/>
      <x:c r="R87" t="str">
        <x:v>2026-04-20</x:v>
      </x:c>
      <x:c r="S87" t="str">
        <x:v>K-Pop | 音乐 | 国际流行</x:v>
      </x:c>
      <x:c r="T87"/>
      <x:c r="U87"/>
      <x:c r="V87" t="str">
        <x:v>https://music.apple.com/cn/album/redred/1887671065?i=1887671067</x:v>
      </x:c>
      <x:c r="W87" t="str">
        <x:v>https://is1-ssl.mzstatic.com/image/thumb/Music221/v4/9b/5f/47/9b5f4711-dc78-2dea-6721-d06709ea5121/198704992810_Cover.jpg/100x100bb.jpg</x:v>
      </x:c>
      <x:c r="X87" t="str">
        <x:v>https://music.apple.com/cn/new/top-charts</x:v>
      </x:c>
      <x:c r="Y87" t="str">
        <x:v>https://rss.marketingtools.apple.com/api/v2/cn/music/most-played/100/songs.json</x:v>
      </x:c>
      <x:c r="Z87" s="24" t="str">
        <x:f>IFERROR(VLOOKUP(F87,'07_字典与参数'!$A$5:$E$10,3,FALSE),"待映射")</x:f>
        <x:v>Apple Music</x:v>
      </x:c>
      <x:c r="AA87" s="24" t="str">
        <x:f>IFERROR(VLOOKUP(F87,'07_字典与参数'!$A$5:$E$10,2,FALSE),"待映射")</x:f>
        <x:v>热门歌曲排行</x:v>
      </x:c>
      <x:c r="AB87" s="24" t="str">
        <x:f>IFERROR(VLOOKUP(F87,'07_字典与参数'!$A$5:$E$10,4,FALSE),"待映射")</x:f>
        <x:v>每日公开快照</x:v>
      </x:c>
      <x:c r="AC87" s="24" t="str">
        <x:f>D87&amp;"|"&amp;F87&amp;"|"&amp;L87</x:f>
        <x:v>apple_music|cn_top_100|1887671067</x:v>
      </x:c>
      <x:c r="AD87" s="24" t="str">
        <x:f>IF(J87&lt;=10,"是","否")</x:f>
        <x:v>否</x:v>
      </x:c>
      <x:c r="AE87" s="24" t="n">
        <x:f>IFERROR(YEAR(R87),"缺失")</x:f>
        <x:v>2026</x:v>
      </x:c>
    </x:row>
    <x:row r="88">
      <x:c r="A88" t="str">
        <x:v>20260812T132133+0800</x:v>
      </x:c>
      <x:c r="B88" t="n">
        <x:v>46246.22329861111</x:v>
      </x:c>
      <x:c r="C88" t="str">
        <x:v>2026-08-12</x:v>
      </x:c>
      <x:c r="D88" t="str">
        <x:v>apple_music</x:v>
      </x:c>
      <x:c r="E88" t="str">
        <x:v>CN</x:v>
      </x:c>
      <x:c r="F88" t="str">
        <x:v>cn_top_100</x:v>
      </x:c>
      <x:c r="G88" t="str">
        <x:v>热门歌曲排行</x:v>
      </x:c>
      <x:c r="H88" t="str">
        <x:v>apple_music_cn_most_played_100</x:v>
      </x:c>
      <x:c r="I88" t="n">
        <x:v>100</x:v>
      </x:c>
      <x:c r="J88" t="n">
        <x:v>84</x:v>
      </x:c>
      <x:c r="K88" t="n">
        <x:v>17</x:v>
      </x:c>
      <x:c r="L88" t="str">
        <x:v>1772644601</x:v>
      </x:c>
      <x:c r="M88" t="str">
        <x:v>Whiplash</x:v>
      </x:c>
      <x:c r="N88" t="str">
        <x:v>1540251304</x:v>
      </x:c>
      <x:c r="O88" t="str">
        <x:v>aespa</x:v>
      </x:c>
      <x:c r="P88" t="str"/>
      <x:c r="Q88" t="str"/>
      <x:c r="R88" t="str">
        <x:v>2024-10-21</x:v>
      </x:c>
      <x:c r="S88" t="str">
        <x:v>K-Pop | 音乐 | 国际流行</x:v>
      </x:c>
      <x:c r="T88"/>
      <x:c r="U88"/>
      <x:c r="V88" t="str">
        <x:v>https://music.apple.com/cn/album/whiplash/1772644600?i=1772644601</x:v>
      </x:c>
      <x:c r="W88" t="str">
        <x:v>https://is1-ssl.mzstatic.com/image/thumb/Music221/v4/1a/26/5d/1a265da7-ff45-8df0-ee94-7b79becfc7d9/888735949562.png/100x100bb.jpg</x:v>
      </x:c>
      <x:c r="X88" t="str">
        <x:v>https://music.apple.com/cn/new/top-charts</x:v>
      </x:c>
      <x:c r="Y88" t="str">
        <x:v>https://rss.marketingtools.apple.com/api/v2/cn/music/most-played/100/songs.json</x:v>
      </x:c>
      <x:c r="Z88" s="24" t="str">
        <x:f>IFERROR(VLOOKUP(F88,'07_字典与参数'!$A$5:$E$10,3,FALSE),"待映射")</x:f>
        <x:v>Apple Music</x:v>
      </x:c>
      <x:c r="AA88" s="24" t="str">
        <x:f>IFERROR(VLOOKUP(F88,'07_字典与参数'!$A$5:$E$10,2,FALSE),"待映射")</x:f>
        <x:v>热门歌曲排行</x:v>
      </x:c>
      <x:c r="AB88" s="24" t="str">
        <x:f>IFERROR(VLOOKUP(F88,'07_字典与参数'!$A$5:$E$10,4,FALSE),"待映射")</x:f>
        <x:v>每日公开快照</x:v>
      </x:c>
      <x:c r="AC88" s="24" t="str">
        <x:f>D88&amp;"|"&amp;F88&amp;"|"&amp;L88</x:f>
        <x:v>apple_music|cn_top_100|1772644601</x:v>
      </x:c>
      <x:c r="AD88" s="24" t="str">
        <x:f>IF(J88&lt;=10,"是","否")</x:f>
        <x:v>否</x:v>
      </x:c>
      <x:c r="AE88" s="24" t="n">
        <x:f>IFERROR(YEAR(R88),"缺失")</x:f>
        <x:v>2024</x:v>
      </x:c>
    </x:row>
    <x:row r="89">
      <x:c r="A89" t="str">
        <x:v>20260812T132133+0800</x:v>
      </x:c>
      <x:c r="B89" t="n">
        <x:v>46246.22329861111</x:v>
      </x:c>
      <x:c r="C89" t="str">
        <x:v>2026-08-12</x:v>
      </x:c>
      <x:c r="D89" t="str">
        <x:v>apple_music</x:v>
      </x:c>
      <x:c r="E89" t="str">
        <x:v>CN</x:v>
      </x:c>
      <x:c r="F89" t="str">
        <x:v>cn_top_100</x:v>
      </x:c>
      <x:c r="G89" t="str">
        <x:v>热门歌曲排行</x:v>
      </x:c>
      <x:c r="H89" t="str">
        <x:v>apple_music_cn_most_played_100</x:v>
      </x:c>
      <x:c r="I89" t="n">
        <x:v>100</x:v>
      </x:c>
      <x:c r="J89" t="n">
        <x:v>85</x:v>
      </x:c>
      <x:c r="K89" t="n">
        <x:v>16</x:v>
      </x:c>
      <x:c r="L89" t="str">
        <x:v>536009751</x:v>
      </x:c>
      <x:c r="M89" t="str">
        <x:v>珊瑚海 (feat. 梁心颐)</x:v>
      </x:c>
      <x:c r="N89" t="str">
        <x:v>300117743</x:v>
      </x:c>
      <x:c r="O89" t="str">
        <x:v>周杰伦</x:v>
      </x:c>
      <x:c r="P89" t="str"/>
      <x:c r="Q89" t="str"/>
      <x:c r="R89" t="str">
        <x:v>2005-11-01</x:v>
      </x:c>
      <x:c r="S89" t="str">
        <x:v>音乐 | 国际流行</x:v>
      </x:c>
      <x:c r="T89"/>
      <x:c r="U89"/>
      <x:c r="V89" t="str">
        <x:v>https://music.apple.com/cn/album/%E7%8F%8A%E7%91%9A%E6%B5%B7-feat-%E6%A2%81%E5%BF%83%E9%A2%90/536009641?i=536009751</x:v>
      </x:c>
      <x:c r="W89" t="str">
        <x:v>https://is1-ssl.mzstatic.com/image/thumb/Music115/v4/9e/35/ad/9e35ad1e-749e-75b6-0539-1e80cea1817b/JAY11.jpg/100x109bb.jpg</x:v>
      </x:c>
      <x:c r="X89" t="str">
        <x:v>https://music.apple.com/cn/new/top-charts</x:v>
      </x:c>
      <x:c r="Y89" t="str">
        <x:v>https://rss.marketingtools.apple.com/api/v2/cn/music/most-played/100/songs.json</x:v>
      </x:c>
      <x:c r="Z89" s="24" t="str">
        <x:f>IFERROR(VLOOKUP(F89,'07_字典与参数'!$A$5:$E$10,3,FALSE),"待映射")</x:f>
        <x:v>Apple Music</x:v>
      </x:c>
      <x:c r="AA89" s="24" t="str">
        <x:f>IFERROR(VLOOKUP(F89,'07_字典与参数'!$A$5:$E$10,2,FALSE),"待映射")</x:f>
        <x:v>热门歌曲排行</x:v>
      </x:c>
      <x:c r="AB89" s="24" t="str">
        <x:f>IFERROR(VLOOKUP(F89,'07_字典与参数'!$A$5:$E$10,4,FALSE),"待映射")</x:f>
        <x:v>每日公开快照</x:v>
      </x:c>
      <x:c r="AC89" s="24" t="str">
        <x:f>D89&amp;"|"&amp;F89&amp;"|"&amp;L89</x:f>
        <x:v>apple_music|cn_top_100|536009751</x:v>
      </x:c>
      <x:c r="AD89" s="24" t="str">
        <x:f>IF(J89&lt;=10,"是","否")</x:f>
        <x:v>否</x:v>
      </x:c>
      <x:c r="AE89" s="24" t="n">
        <x:f>IFERROR(YEAR(R89),"缺失")</x:f>
        <x:v>2005</x:v>
      </x:c>
    </x:row>
    <x:row r="90">
      <x:c r="A90" t="str">
        <x:v>20260812T132133+0800</x:v>
      </x:c>
      <x:c r="B90" t="n">
        <x:v>46246.22329861111</x:v>
      </x:c>
      <x:c r="C90" t="str">
        <x:v>2026-08-12</x:v>
      </x:c>
      <x:c r="D90" t="str">
        <x:v>apple_music</x:v>
      </x:c>
      <x:c r="E90" t="str">
        <x:v>CN</x:v>
      </x:c>
      <x:c r="F90" t="str">
        <x:v>cn_top_100</x:v>
      </x:c>
      <x:c r="G90" t="str">
        <x:v>热门歌曲排行</x:v>
      </x:c>
      <x:c r="H90" t="str">
        <x:v>apple_music_cn_most_played_100</x:v>
      </x:c>
      <x:c r="I90" t="n">
        <x:v>100</x:v>
      </x:c>
      <x:c r="J90" t="n">
        <x:v>86</x:v>
      </x:c>
      <x:c r="K90" t="n">
        <x:v>15</x:v>
      </x:c>
      <x:c r="L90" t="str">
        <x:v>1071517710</x:v>
      </x:c>
      <x:c r="M90" t="str">
        <x:v>背对背拥抱</x:v>
      </x:c>
      <x:c r="N90" t="str">
        <x:v>216635866</x:v>
      </x:c>
      <x:c r="O90" t="str">
        <x:v>林俊杰</x:v>
      </x:c>
      <x:c r="P90" t="str"/>
      <x:c r="Q90" t="str"/>
      <x:c r="R90" t="str">
        <x:v>2009-03-09</x:v>
      </x:c>
      <x:c r="S90" t="str">
        <x:v>音乐 | 国际流行</x:v>
      </x:c>
      <x:c r="T90"/>
      <x:c r="U90"/>
      <x:c r="V90" t="str">
        <x:v>https://music.apple.com/cn/album/%E8%83%8C%E5%AF%B9%E8%83%8C%E6%8B%A5%E6%8A%B1/1071517704?i=1071517710</x:v>
      </x:c>
      <x:c r="W90" t="str">
        <x:v>https://is1-ssl.mzstatic.com/image/thumb/Music124/v4/4a/84/a2/4a84a274-3678-533c-c1e1-5fd9216b7f1d/dj.kxuxixwe.jpg/100x100bb.jpg</x:v>
      </x:c>
      <x:c r="X90" t="str">
        <x:v>https://music.apple.com/cn/new/top-charts</x:v>
      </x:c>
      <x:c r="Y90" t="str">
        <x:v>https://rss.marketingtools.apple.com/api/v2/cn/music/most-played/100/songs.json</x:v>
      </x:c>
      <x:c r="Z90" s="24" t="str">
        <x:f>IFERROR(VLOOKUP(F90,'07_字典与参数'!$A$5:$E$10,3,FALSE),"待映射")</x:f>
        <x:v>Apple Music</x:v>
      </x:c>
      <x:c r="AA90" s="24" t="str">
        <x:f>IFERROR(VLOOKUP(F90,'07_字典与参数'!$A$5:$E$10,2,FALSE),"待映射")</x:f>
        <x:v>热门歌曲排行</x:v>
      </x:c>
      <x:c r="AB90" s="24" t="str">
        <x:f>IFERROR(VLOOKUP(F90,'07_字典与参数'!$A$5:$E$10,4,FALSE),"待映射")</x:f>
        <x:v>每日公开快照</x:v>
      </x:c>
      <x:c r="AC90" s="24" t="str">
        <x:f>D90&amp;"|"&amp;F90&amp;"|"&amp;L90</x:f>
        <x:v>apple_music|cn_top_100|1071517710</x:v>
      </x:c>
      <x:c r="AD90" s="24" t="str">
        <x:f>IF(J90&lt;=10,"是","否")</x:f>
        <x:v>否</x:v>
      </x:c>
      <x:c r="AE90" s="24" t="n">
        <x:f>IFERROR(YEAR(R90),"缺失")</x:f>
        <x:v>2009</x:v>
      </x:c>
    </x:row>
    <x:row r="91">
      <x:c r="A91" t="str">
        <x:v>20260812T132133+0800</x:v>
      </x:c>
      <x:c r="B91" t="n">
        <x:v>46246.22329861111</x:v>
      </x:c>
      <x:c r="C91" t="str">
        <x:v>2026-08-12</x:v>
      </x:c>
      <x:c r="D91" t="str">
        <x:v>apple_music</x:v>
      </x:c>
      <x:c r="E91" t="str">
        <x:v>CN</x:v>
      </x:c>
      <x:c r="F91" t="str">
        <x:v>cn_top_100</x:v>
      </x:c>
      <x:c r="G91" t="str">
        <x:v>热门歌曲排行</x:v>
      </x:c>
      <x:c r="H91" t="str">
        <x:v>apple_music_cn_most_played_100</x:v>
      </x:c>
      <x:c r="I91" t="n">
        <x:v>100</x:v>
      </x:c>
      <x:c r="J91" t="n">
        <x:v>87</x:v>
      </x:c>
      <x:c r="K91" t="n">
        <x:v>14</x:v>
      </x:c>
      <x:c r="L91" t="str">
        <x:v>1072339996</x:v>
      </x:c>
      <x:c r="M91" t="str">
        <x:v>不将就 (电影《何以笙箫默》片尾曲)</x:v>
      </x:c>
      <x:c r="N91" t="str">
        <x:v>307674970</x:v>
      </x:c>
      <x:c r="O91" t="str">
        <x:v>李荣浩</x:v>
      </x:c>
      <x:c r="P91" t="str"/>
      <x:c r="Q91" t="str"/>
      <x:c r="R91" t="str">
        <x:v>2015-04-28</x:v>
      </x:c>
      <x:c r="S91" t="str">
        <x:v>音乐 | 国际流行</x:v>
      </x:c>
      <x:c r="T91"/>
      <x:c r="U91"/>
      <x:c r="V91" t="str">
        <x:v>https://music.apple.com/cn/album/%E4%B8%8D%E5%B0%86%E5%B0%B1-%E7%94%B5%E5%BD%B1-%E4%BD%95%E4%BB%A5%E7%AC%99%E7%AE%AB%E9%BB%98-%E7%89%87%E5%B0%BE%E6%9B%B2/1072339647?i=1072339996</x:v>
      </x:c>
      <x:c r="W91" t="str">
        <x:v>https://is1-ssl.mzstatic.com/image/thumb/Music125/v4/4c/17/4a/4c174aec-80a7-c039-54cd-4be73cb090d3/dj.fagjndon.jpg/100x100bb.jpg</x:v>
      </x:c>
      <x:c r="X91" t="str">
        <x:v>https://music.apple.com/cn/new/top-charts</x:v>
      </x:c>
      <x:c r="Y91" t="str">
        <x:v>https://rss.marketingtools.apple.com/api/v2/cn/music/most-played/100/songs.json</x:v>
      </x:c>
      <x:c r="Z91" s="24" t="str">
        <x:f>IFERROR(VLOOKUP(F91,'07_字典与参数'!$A$5:$E$10,3,FALSE),"待映射")</x:f>
        <x:v>Apple Music</x:v>
      </x:c>
      <x:c r="AA91" s="24" t="str">
        <x:f>IFERROR(VLOOKUP(F91,'07_字典与参数'!$A$5:$E$10,2,FALSE),"待映射")</x:f>
        <x:v>热门歌曲排行</x:v>
      </x:c>
      <x:c r="AB91" s="24" t="str">
        <x:f>IFERROR(VLOOKUP(F91,'07_字典与参数'!$A$5:$E$10,4,FALSE),"待映射")</x:f>
        <x:v>每日公开快照</x:v>
      </x:c>
      <x:c r="AC91" s="24" t="str">
        <x:f>D91&amp;"|"&amp;F91&amp;"|"&amp;L91</x:f>
        <x:v>apple_music|cn_top_100|1072339996</x:v>
      </x:c>
      <x:c r="AD91" s="24" t="str">
        <x:f>IF(J91&lt;=10,"是","否")</x:f>
        <x:v>否</x:v>
      </x:c>
      <x:c r="AE91" s="24" t="n">
        <x:f>IFERROR(YEAR(R91),"缺失")</x:f>
        <x:v>2015</x:v>
      </x:c>
    </x:row>
    <x:row r="92">
      <x:c r="A92" t="str">
        <x:v>20260812T132133+0800</x:v>
      </x:c>
      <x:c r="B92" t="n">
        <x:v>46246.22329861111</x:v>
      </x:c>
      <x:c r="C92" t="str">
        <x:v>2026-08-12</x:v>
      </x:c>
      <x:c r="D92" t="str">
        <x:v>apple_music</x:v>
      </x:c>
      <x:c r="E92" t="str">
        <x:v>CN</x:v>
      </x:c>
      <x:c r="F92" t="str">
        <x:v>cn_top_100</x:v>
      </x:c>
      <x:c r="G92" t="str">
        <x:v>热门歌曲排行</x:v>
      </x:c>
      <x:c r="H92" t="str">
        <x:v>apple_music_cn_most_played_100</x:v>
      </x:c>
      <x:c r="I92" t="n">
        <x:v>100</x:v>
      </x:c>
      <x:c r="J92" t="n">
        <x:v>88</x:v>
      </x:c>
      <x:c r="K92" t="n">
        <x:v>13</x:v>
      </x:c>
      <x:c r="L92" t="str">
        <x:v>536285261</x:v>
      </x:c>
      <x:c r="M92" t="str">
        <x:v>退后</x:v>
      </x:c>
      <x:c r="N92" t="str">
        <x:v>300117743</x:v>
      </x:c>
      <x:c r="O92" t="str">
        <x:v>周杰伦</x:v>
      </x:c>
      <x:c r="P92" t="str"/>
      <x:c r="Q92" t="str"/>
      <x:c r="R92" t="str">
        <x:v>2006-09-05</x:v>
      </x:c>
      <x:c r="S92" t="str">
        <x:v>音乐 | 国际流行</x:v>
      </x:c>
      <x:c r="T92"/>
      <x:c r="U92"/>
      <x:c r="V92" t="str">
        <x:v>https://music.apple.com/cn/album/%E9%80%80%E5%90%8E/536285027?i=536285261</x:v>
      </x:c>
      <x:c r="W92" t="str">
        <x:v>https://is1-ssl.mzstatic.com/image/thumb/Music115/v4/6a/a3/8d/6aa38da9-3fc1-427c-59a7-fcd0cf21832d/JAY.jpg/100x134bb.jpg</x:v>
      </x:c>
      <x:c r="X92" t="str">
        <x:v>https://music.apple.com/cn/new/top-charts</x:v>
      </x:c>
      <x:c r="Y92" t="str">
        <x:v>https://rss.marketingtools.apple.com/api/v2/cn/music/most-played/100/songs.json</x:v>
      </x:c>
      <x:c r="Z92" s="24" t="str">
        <x:f>IFERROR(VLOOKUP(F92,'07_字典与参数'!$A$5:$E$10,3,FALSE),"待映射")</x:f>
        <x:v>Apple Music</x:v>
      </x:c>
      <x:c r="AA92" s="24" t="str">
        <x:f>IFERROR(VLOOKUP(F92,'07_字典与参数'!$A$5:$E$10,2,FALSE),"待映射")</x:f>
        <x:v>热门歌曲排行</x:v>
      </x:c>
      <x:c r="AB92" s="24" t="str">
        <x:f>IFERROR(VLOOKUP(F92,'07_字典与参数'!$A$5:$E$10,4,FALSE),"待映射")</x:f>
        <x:v>每日公开快照</x:v>
      </x:c>
      <x:c r="AC92" s="24" t="str">
        <x:f>D92&amp;"|"&amp;F92&amp;"|"&amp;L92</x:f>
        <x:v>apple_music|cn_top_100|536285261</x:v>
      </x:c>
      <x:c r="AD92" s="24" t="str">
        <x:f>IF(J92&lt;=10,"是","否")</x:f>
        <x:v>否</x:v>
      </x:c>
      <x:c r="AE92" s="24" t="n">
        <x:f>IFERROR(YEAR(R92),"缺失")</x:f>
        <x:v>2006</x:v>
      </x:c>
    </x:row>
    <x:row r="93">
      <x:c r="A93" t="str">
        <x:v>20260812T132133+0800</x:v>
      </x:c>
      <x:c r="B93" t="n">
        <x:v>46246.22329861111</x:v>
      </x:c>
      <x:c r="C93" t="str">
        <x:v>2026-08-12</x:v>
      </x:c>
      <x:c r="D93" t="str">
        <x:v>apple_music</x:v>
      </x:c>
      <x:c r="E93" t="str">
        <x:v>CN</x:v>
      </x:c>
      <x:c r="F93" t="str">
        <x:v>cn_top_100</x:v>
      </x:c>
      <x:c r="G93" t="str">
        <x:v>热门歌曲排行</x:v>
      </x:c>
      <x:c r="H93" t="str">
        <x:v>apple_music_cn_most_played_100</x:v>
      </x:c>
      <x:c r="I93" t="n">
        <x:v>100</x:v>
      </x:c>
      <x:c r="J93" t="n">
        <x:v>89</x:v>
      </x:c>
      <x:c r="K93" t="n">
        <x:v>12</x:v>
      </x:c>
      <x:c r="L93" t="str">
        <x:v>536248195</x:v>
      </x:c>
      <x:c r="M93" t="str">
        <x:v>说了再见</x:v>
      </x:c>
      <x:c r="N93" t="str">
        <x:v>300117743</x:v>
      </x:c>
      <x:c r="O93" t="str">
        <x:v>周杰伦</x:v>
      </x:c>
      <x:c r="P93" t="str"/>
      <x:c r="Q93" t="str"/>
      <x:c r="R93" t="str">
        <x:v>2010-05-18</x:v>
      </x:c>
      <x:c r="S93" t="str">
        <x:v>音乐 | 国际流行</x:v>
      </x:c>
      <x:c r="T93"/>
      <x:c r="U93"/>
      <x:c r="V93" t="str">
        <x:v>https://music.apple.com/cn/album/%E8%AF%B4%E4%BA%86%E5%86%8D%E8%A7%81/536247746?i=536248195</x:v>
      </x:c>
      <x:c r="W93" t="str">
        <x:v>https://is1-ssl.mzstatic.com/image/thumb/Music125/v4/53/2d/dd/532dddf0-87d7-b9eb-7d8b-4eb194c84252/asset.jpg/100x133bb.jpg</x:v>
      </x:c>
      <x:c r="X93" t="str">
        <x:v>https://music.apple.com/cn/new/top-charts</x:v>
      </x:c>
      <x:c r="Y93" t="str">
        <x:v>https://rss.marketingtools.apple.com/api/v2/cn/music/most-played/100/songs.json</x:v>
      </x:c>
      <x:c r="Z93" s="24" t="str">
        <x:f>IFERROR(VLOOKUP(F93,'07_字典与参数'!$A$5:$E$10,3,FALSE),"待映射")</x:f>
        <x:v>Apple Music</x:v>
      </x:c>
      <x:c r="AA93" s="24" t="str">
        <x:f>IFERROR(VLOOKUP(F93,'07_字典与参数'!$A$5:$E$10,2,FALSE),"待映射")</x:f>
        <x:v>热门歌曲排行</x:v>
      </x:c>
      <x:c r="AB93" s="24" t="str">
        <x:f>IFERROR(VLOOKUP(F93,'07_字典与参数'!$A$5:$E$10,4,FALSE),"待映射")</x:f>
        <x:v>每日公开快照</x:v>
      </x:c>
      <x:c r="AC93" s="24" t="str">
        <x:f>D93&amp;"|"&amp;F93&amp;"|"&amp;L93</x:f>
        <x:v>apple_music|cn_top_100|536248195</x:v>
      </x:c>
      <x:c r="AD93" s="24" t="str">
        <x:f>IF(J93&lt;=10,"是","否")</x:f>
        <x:v>否</x:v>
      </x:c>
      <x:c r="AE93" s="24" t="n">
        <x:f>IFERROR(YEAR(R93),"缺失")</x:f>
        <x:v>2010</x:v>
      </x:c>
    </x:row>
    <x:row r="94">
      <x:c r="A94" t="str">
        <x:v>20260812T132133+0800</x:v>
      </x:c>
      <x:c r="B94" t="n">
        <x:v>46246.22329861111</x:v>
      </x:c>
      <x:c r="C94" t="str">
        <x:v>2026-08-12</x:v>
      </x:c>
      <x:c r="D94" t="str">
        <x:v>apple_music</x:v>
      </x:c>
      <x:c r="E94" t="str">
        <x:v>CN</x:v>
      </x:c>
      <x:c r="F94" t="str">
        <x:v>cn_top_100</x:v>
      </x:c>
      <x:c r="G94" t="str">
        <x:v>热门歌曲排行</x:v>
      </x:c>
      <x:c r="H94" t="str">
        <x:v>apple_music_cn_most_played_100</x:v>
      </x:c>
      <x:c r="I94" t="n">
        <x:v>100</x:v>
      </x:c>
      <x:c r="J94" t="n">
        <x:v>90</x:v>
      </x:c>
      <x:c r="K94" t="n">
        <x:v>11</x:v>
      </x:c>
      <x:c r="L94" t="str">
        <x:v>1869229365</x:v>
      </x:c>
      <x:c r="M94" t="str">
        <x:v>雨过后的风景</x:v>
      </x:c>
      <x:c r="N94" t="str">
        <x:v>509508968</x:v>
      </x:c>
      <x:c r="O94" t="str">
        <x:v>蔡诗芸</x:v>
      </x:c>
      <x:c r="P94" t="str"/>
      <x:c r="Q94" t="str"/>
      <x:c r="R94" t="str">
        <x:v>2012-03-09</x:v>
      </x:c>
      <x:c r="S94" t="str">
        <x:v>音乐 | 国际流行</x:v>
      </x:c>
      <x:c r="T94"/>
      <x:c r="U94"/>
      <x:c r="V94" t="str">
        <x:v>https://music.apple.com/cn/album/%E9%9B%A8%E8%BF%87%E5%90%8E%E7%9A%84%E9%A3%8E%E6%99%AF/1869229214?i=1869229365</x:v>
      </x:c>
      <x:c r="W94" t="str">
        <x:v>https://is1-ssl.mzstatic.com/image/thumb/Music221/v4/60/1c/ef/601cefd9-79e0-e9f1-29ff-6d396601bfb5/3614979000106.jpg/100x100bb.jpg</x:v>
      </x:c>
      <x:c r="X94" t="str">
        <x:v>https://music.apple.com/cn/new/top-charts</x:v>
      </x:c>
      <x:c r="Y94" t="str">
        <x:v>https://rss.marketingtools.apple.com/api/v2/cn/music/most-played/100/songs.json</x:v>
      </x:c>
      <x:c r="Z94" s="24" t="str">
        <x:f>IFERROR(VLOOKUP(F94,'07_字典与参数'!$A$5:$E$10,3,FALSE),"待映射")</x:f>
        <x:v>Apple Music</x:v>
      </x:c>
      <x:c r="AA94" s="24" t="str">
        <x:f>IFERROR(VLOOKUP(F94,'07_字典与参数'!$A$5:$E$10,2,FALSE),"待映射")</x:f>
        <x:v>热门歌曲排行</x:v>
      </x:c>
      <x:c r="AB94" s="24" t="str">
        <x:f>IFERROR(VLOOKUP(F94,'07_字典与参数'!$A$5:$E$10,4,FALSE),"待映射")</x:f>
        <x:v>每日公开快照</x:v>
      </x:c>
      <x:c r="AC94" s="24" t="str">
        <x:f>D94&amp;"|"&amp;F94&amp;"|"&amp;L94</x:f>
        <x:v>apple_music|cn_top_100|1869229365</x:v>
      </x:c>
      <x:c r="AD94" s="24" t="str">
        <x:f>IF(J94&lt;=10,"是","否")</x:f>
        <x:v>否</x:v>
      </x:c>
      <x:c r="AE94" s="24" t="n">
        <x:f>IFERROR(YEAR(R94),"缺失")</x:f>
        <x:v>2012</x:v>
      </x:c>
    </x:row>
    <x:row r="95">
      <x:c r="A95" t="str">
        <x:v>20260812T132133+0800</x:v>
      </x:c>
      <x:c r="B95" t="n">
        <x:v>46246.22329861111</x:v>
      </x:c>
      <x:c r="C95" t="str">
        <x:v>2026-08-12</x:v>
      </x:c>
      <x:c r="D95" t="str">
        <x:v>apple_music</x:v>
      </x:c>
      <x:c r="E95" t="str">
        <x:v>CN</x:v>
      </x:c>
      <x:c r="F95" t="str">
        <x:v>cn_top_100</x:v>
      </x:c>
      <x:c r="G95" t="str">
        <x:v>热门歌曲排行</x:v>
      </x:c>
      <x:c r="H95" t="str">
        <x:v>apple_music_cn_most_played_100</x:v>
      </x:c>
      <x:c r="I95" t="n">
        <x:v>100</x:v>
      </x:c>
      <x:c r="J95" t="n">
        <x:v>91</x:v>
      </x:c>
      <x:c r="K95" t="n">
        <x:v>10</x:v>
      </x:c>
      <x:c r="L95" t="str">
        <x:v>200476123</x:v>
      </x:c>
      <x:c r="M95" t="str">
        <x:v>盛夏的果实</x:v>
      </x:c>
      <x:c r="N95" t="str">
        <x:v>162585630</x:v>
      </x:c>
      <x:c r="O95" t="str">
        <x:v>莫文蔚</x:v>
      </x:c>
      <x:c r="P95" t="str"/>
      <x:c r="Q95" t="str"/>
      <x:c r="R95" t="str">
        <x:v>2000-06-16</x:v>
      </x:c>
      <x:c r="S95" t="str">
        <x:v>音乐 | 国际流行</x:v>
      </x:c>
      <x:c r="T95"/>
      <x:c r="U95"/>
      <x:c r="V95" t="str">
        <x:v>https://music.apple.com/cn/album/%E7%9B%9B%E5%A4%8F%E7%9A%84%E6%9E%9C%E5%AE%9E/200469374?i=200476123</x:v>
      </x:c>
      <x:c r="W95" t="str">
        <x:v>https://is1-ssl.mzstatic.com/image/thumb/Music124/v4/81/cc/52/81cc5224-3ace-5e3c-468a-17b4b71da831/dj.aqolbuce.jpg/100x100bb.jpg</x:v>
      </x:c>
      <x:c r="X95" t="str">
        <x:v>https://music.apple.com/cn/new/top-charts</x:v>
      </x:c>
      <x:c r="Y95" t="str">
        <x:v>https://rss.marketingtools.apple.com/api/v2/cn/music/most-played/100/songs.json</x:v>
      </x:c>
      <x:c r="Z95" s="24" t="str">
        <x:f>IFERROR(VLOOKUP(F95,'07_字典与参数'!$A$5:$E$10,3,FALSE),"待映射")</x:f>
        <x:v>Apple Music</x:v>
      </x:c>
      <x:c r="AA95" s="24" t="str">
        <x:f>IFERROR(VLOOKUP(F95,'07_字典与参数'!$A$5:$E$10,2,FALSE),"待映射")</x:f>
        <x:v>热门歌曲排行</x:v>
      </x:c>
      <x:c r="AB95" s="24" t="str">
        <x:f>IFERROR(VLOOKUP(F95,'07_字典与参数'!$A$5:$E$10,4,FALSE),"待映射")</x:f>
        <x:v>每日公开快照</x:v>
      </x:c>
      <x:c r="AC95" s="24" t="str">
        <x:f>D95&amp;"|"&amp;F95&amp;"|"&amp;L95</x:f>
        <x:v>apple_music|cn_top_100|200476123</x:v>
      </x:c>
      <x:c r="AD95" s="24" t="str">
        <x:f>IF(J95&lt;=10,"是","否")</x:f>
        <x:v>否</x:v>
      </x:c>
      <x:c r="AE95" s="24" t="n">
        <x:f>IFERROR(YEAR(R95),"缺失")</x:f>
        <x:v>2000</x:v>
      </x:c>
    </x:row>
    <x:row r="96">
      <x:c r="A96" t="str">
        <x:v>20260812T132133+0800</x:v>
      </x:c>
      <x:c r="B96" t="n">
        <x:v>46246.22329861111</x:v>
      </x:c>
      <x:c r="C96" t="str">
        <x:v>2026-08-12</x:v>
      </x:c>
      <x:c r="D96" t="str">
        <x:v>apple_music</x:v>
      </x:c>
      <x:c r="E96" t="str">
        <x:v>CN</x:v>
      </x:c>
      <x:c r="F96" t="str">
        <x:v>cn_top_100</x:v>
      </x:c>
      <x:c r="G96" t="str">
        <x:v>热门歌曲排行</x:v>
      </x:c>
      <x:c r="H96" t="str">
        <x:v>apple_music_cn_most_played_100</x:v>
      </x:c>
      <x:c r="I96" t="n">
        <x:v>100</x:v>
      </x:c>
      <x:c r="J96" t="n">
        <x:v>92</x:v>
      </x:c>
      <x:c r="K96" t="n">
        <x:v>9</x:v>
      </x:c>
      <x:c r="L96" t="str">
        <x:v>280798617</x:v>
      </x:c>
      <x:c r="M96" t="str">
        <x:v>雨天</x:v>
      </x:c>
      <x:c r="N96" t="str">
        <x:v>83405200</x:v>
      </x:c>
      <x:c r="O96" t="str">
        <x:v>孙燕姿</x:v>
      </x:c>
      <x:c r="P96" t="str"/>
      <x:c r="Q96" t="str"/>
      <x:c r="R96" t="str">
        <x:v>2006-09-21</x:v>
      </x:c>
      <x:c r="S96" t="str">
        <x:v>音乐 | 国际流行</x:v>
      </x:c>
      <x:c r="T96"/>
      <x:c r="U96"/>
      <x:c r="V96" t="str">
        <x:v>https://music.apple.com/cn/album/%E9%9B%A8%E5%A4%A9/280798610?i=280798617</x:v>
      </x:c>
      <x:c r="W96" t="str">
        <x:v>https://is1-ssl.mzstatic.com/image/thumb/Music/70/8f/21/mzi.buxkpipq.jpg/100x100bb.jpg</x:v>
      </x:c>
      <x:c r="X96" t="str">
        <x:v>https://music.apple.com/cn/new/top-charts</x:v>
      </x:c>
      <x:c r="Y96" t="str">
        <x:v>https://rss.marketingtools.apple.com/api/v2/cn/music/most-played/100/songs.json</x:v>
      </x:c>
      <x:c r="Z96" s="24" t="str">
        <x:f>IFERROR(VLOOKUP(F96,'07_字典与参数'!$A$5:$E$10,3,FALSE),"待映射")</x:f>
        <x:v>Apple Music</x:v>
      </x:c>
      <x:c r="AA96" s="24" t="str">
        <x:f>IFERROR(VLOOKUP(F96,'07_字典与参数'!$A$5:$E$10,2,FALSE),"待映射")</x:f>
        <x:v>热门歌曲排行</x:v>
      </x:c>
      <x:c r="AB96" s="24" t="str">
        <x:f>IFERROR(VLOOKUP(F96,'07_字典与参数'!$A$5:$E$10,4,FALSE),"待映射")</x:f>
        <x:v>每日公开快照</x:v>
      </x:c>
      <x:c r="AC96" s="24" t="str">
        <x:f>D96&amp;"|"&amp;F96&amp;"|"&amp;L96</x:f>
        <x:v>apple_music|cn_top_100|280798617</x:v>
      </x:c>
      <x:c r="AD96" s="24" t="str">
        <x:f>IF(J96&lt;=10,"是","否")</x:f>
        <x:v>否</x:v>
      </x:c>
      <x:c r="AE96" s="24" t="n">
        <x:f>IFERROR(YEAR(R96),"缺失")</x:f>
        <x:v>2006</x:v>
      </x:c>
    </x:row>
    <x:row r="97">
      <x:c r="A97" t="str">
        <x:v>20260812T132133+0800</x:v>
      </x:c>
      <x:c r="B97" t="n">
        <x:v>46246.22329861111</x:v>
      </x:c>
      <x:c r="C97" t="str">
        <x:v>2026-08-12</x:v>
      </x:c>
      <x:c r="D97" t="str">
        <x:v>apple_music</x:v>
      </x:c>
      <x:c r="E97" t="str">
        <x:v>CN</x:v>
      </x:c>
      <x:c r="F97" t="str">
        <x:v>cn_top_100</x:v>
      </x:c>
      <x:c r="G97" t="str">
        <x:v>热门歌曲排行</x:v>
      </x:c>
      <x:c r="H97" t="str">
        <x:v>apple_music_cn_most_played_100</x:v>
      </x:c>
      <x:c r="I97" t="n">
        <x:v>100</x:v>
      </x:c>
      <x:c r="J97" t="n">
        <x:v>93</x:v>
      </x:c>
      <x:c r="K97" t="n">
        <x:v>8</x:v>
      </x:c>
      <x:c r="L97" t="str">
        <x:v>535391944</x:v>
      </x:c>
      <x:c r="M97" t="str">
        <x:v>下一个天亮</x:v>
      </x:c>
      <x:c r="N97" t="str">
        <x:v>535054776</x:v>
      </x:c>
      <x:c r="O97" t="str">
        <x:v>郭静</x:v>
      </x:c>
      <x:c r="P97" t="str"/>
      <x:c r="Q97" t="str"/>
      <x:c r="R97" t="str">
        <x:v>2008-01-01</x:v>
      </x:c>
      <x:c r="S97" t="str">
        <x:v>音乐 | 国际流行</x:v>
      </x:c>
      <x:c r="T97"/>
      <x:c r="U97"/>
      <x:c r="V97" t="str">
        <x:v>https://music.apple.com/cn/album/%E4%B8%8B%E4%B8%80%E4%B8%AA%E5%A4%A9%E4%BA%AE/535391943?i=535391944</x:v>
      </x:c>
      <x:c r="W97" t="str">
        <x:v>https://is1-ssl.mzstatic.com/image/thumb/Music211/v4/05/49/46/054946ac-9e38-f5b0-9778-cbcd4d844687/4717398702336.jpg/100x115bb.jpg</x:v>
      </x:c>
      <x:c r="X97" t="str">
        <x:v>https://music.apple.com/cn/new/top-charts</x:v>
      </x:c>
      <x:c r="Y97" t="str">
        <x:v>https://rss.marketingtools.apple.com/api/v2/cn/music/most-played/100/songs.json</x:v>
      </x:c>
      <x:c r="Z97" s="24" t="str">
        <x:f>IFERROR(VLOOKUP(F97,'07_字典与参数'!$A$5:$E$10,3,FALSE),"待映射")</x:f>
        <x:v>Apple Music</x:v>
      </x:c>
      <x:c r="AA97" s="24" t="str">
        <x:f>IFERROR(VLOOKUP(F97,'07_字典与参数'!$A$5:$E$10,2,FALSE),"待映射")</x:f>
        <x:v>热门歌曲排行</x:v>
      </x:c>
      <x:c r="AB97" s="24" t="str">
        <x:f>IFERROR(VLOOKUP(F97,'07_字典与参数'!$A$5:$E$10,4,FALSE),"待映射")</x:f>
        <x:v>每日公开快照</x:v>
      </x:c>
      <x:c r="AC97" s="24" t="str">
        <x:f>D97&amp;"|"&amp;F97&amp;"|"&amp;L97</x:f>
        <x:v>apple_music|cn_top_100|535391944</x:v>
      </x:c>
      <x:c r="AD97" s="24" t="str">
        <x:f>IF(J97&lt;=10,"是","否")</x:f>
        <x:v>否</x:v>
      </x:c>
      <x:c r="AE97" s="24" t="n">
        <x:f>IFERROR(YEAR(R97),"缺失")</x:f>
        <x:v>2008</x:v>
      </x:c>
    </x:row>
    <x:row r="98">
      <x:c r="A98" t="str">
        <x:v>20260812T132133+0800</x:v>
      </x:c>
      <x:c r="B98" t="n">
        <x:v>46246.22329861111</x:v>
      </x:c>
      <x:c r="C98" t="str">
        <x:v>2026-08-12</x:v>
      </x:c>
      <x:c r="D98" t="str">
        <x:v>apple_music</x:v>
      </x:c>
      <x:c r="E98" t="str">
        <x:v>CN</x:v>
      </x:c>
      <x:c r="F98" t="str">
        <x:v>cn_top_100</x:v>
      </x:c>
      <x:c r="G98" t="str">
        <x:v>热门歌曲排行</x:v>
      </x:c>
      <x:c r="H98" t="str">
        <x:v>apple_music_cn_most_played_100</x:v>
      </x:c>
      <x:c r="I98" t="n">
        <x:v>100</x:v>
      </x:c>
      <x:c r="J98" t="n">
        <x:v>94</x:v>
      </x:c>
      <x:c r="K98" t="n">
        <x:v>7</x:v>
      </x:c>
      <x:c r="L98" t="str">
        <x:v>536030697</x:v>
      </x:c>
      <x:c r="M98" t="str">
        <x:v>蒲公英的约定</x:v>
      </x:c>
      <x:c r="N98" t="str">
        <x:v>300117743</x:v>
      </x:c>
      <x:c r="O98" t="str">
        <x:v>周杰伦</x:v>
      </x:c>
      <x:c r="P98" t="str"/>
      <x:c r="Q98" t="str"/>
      <x:c r="R98" t="str">
        <x:v>2007-11-02</x:v>
      </x:c>
      <x:c r="S98" t="str">
        <x:v>音乐 | 国际流行</x:v>
      </x:c>
      <x:c r="T98"/>
      <x:c r="U98"/>
      <x:c r="V98" t="str">
        <x:v>https://music.apple.com/cn/album/%E8%92%B2%E5%85%AC%E8%8B%B1%E7%9A%84%E7%BA%A6%E5%AE%9A/536030690?i=536030697</x:v>
      </x:c>
      <x:c r="W98" t="str">
        <x:v>https://is1-ssl.mzstatic.com/image/thumb/Music115/v4/b8/83/7f/b8837f2a-324a-f6ad-ff5a-0805e9210181/JAY.jpg/100x134bb.jpg</x:v>
      </x:c>
      <x:c r="X98" t="str">
        <x:v>https://music.apple.com/cn/new/top-charts</x:v>
      </x:c>
      <x:c r="Y98" t="str">
        <x:v>https://rss.marketingtools.apple.com/api/v2/cn/music/most-played/100/songs.json</x:v>
      </x:c>
      <x:c r="Z98" s="24" t="str">
        <x:f>IFERROR(VLOOKUP(F98,'07_字典与参数'!$A$5:$E$10,3,FALSE),"待映射")</x:f>
        <x:v>Apple Music</x:v>
      </x:c>
      <x:c r="AA98" s="24" t="str">
        <x:f>IFERROR(VLOOKUP(F98,'07_字典与参数'!$A$5:$E$10,2,FALSE),"待映射")</x:f>
        <x:v>热门歌曲排行</x:v>
      </x:c>
      <x:c r="AB98" s="24" t="str">
        <x:f>IFERROR(VLOOKUP(F98,'07_字典与参数'!$A$5:$E$10,4,FALSE),"待映射")</x:f>
        <x:v>每日公开快照</x:v>
      </x:c>
      <x:c r="AC98" s="24" t="str">
        <x:f>D98&amp;"|"&amp;F98&amp;"|"&amp;L98</x:f>
        <x:v>apple_music|cn_top_100|536030697</x:v>
      </x:c>
      <x:c r="AD98" s="24" t="str">
        <x:f>IF(J98&lt;=10,"是","否")</x:f>
        <x:v>否</x:v>
      </x:c>
      <x:c r="AE98" s="24" t="n">
        <x:f>IFERROR(YEAR(R98),"缺失")</x:f>
        <x:v>2007</x:v>
      </x:c>
    </x:row>
    <x:row r="99">
      <x:c r="A99" t="str">
        <x:v>20260812T132133+0800</x:v>
      </x:c>
      <x:c r="B99" t="n">
        <x:v>46246.22329861111</x:v>
      </x:c>
      <x:c r="C99" t="str">
        <x:v>2026-08-12</x:v>
      </x:c>
      <x:c r="D99" t="str">
        <x:v>apple_music</x:v>
      </x:c>
      <x:c r="E99" t="str">
        <x:v>CN</x:v>
      </x:c>
      <x:c r="F99" t="str">
        <x:v>cn_top_100</x:v>
      </x:c>
      <x:c r="G99" t="str">
        <x:v>热门歌曲排行</x:v>
      </x:c>
      <x:c r="H99" t="str">
        <x:v>apple_music_cn_most_played_100</x:v>
      </x:c>
      <x:c r="I99" t="n">
        <x:v>100</x:v>
      </x:c>
      <x:c r="J99" t="n">
        <x:v>95</x:v>
      </x:c>
      <x:c r="K99" t="n">
        <x:v>6</x:v>
      </x:c>
      <x:c r="L99" t="str">
        <x:v>541862768</x:v>
      </x:c>
      <x:c r="M99" t="str">
        <x:v>泡沫</x:v>
      </x:c>
      <x:c r="N99" t="str">
        <x:v>425208570</x:v>
      </x:c>
      <x:c r="O99" t="str">
        <x:v>邓紫棋</x:v>
      </x:c>
      <x:c r="P99" t="str"/>
      <x:c r="Q99" t="str"/>
      <x:c r="R99" t="str">
        <x:v>2012-06-27</x:v>
      </x:c>
      <x:c r="S99" t="str">
        <x:v>音乐 | 国际流行</x:v>
      </x:c>
      <x:c r="T99"/>
      <x:c r="U99"/>
      <x:c r="V99" t="str">
        <x:v>https://music.apple.com/cn/album/%E6%B3%A1%E6%B2%AB/541862703?i=541862768</x:v>
      </x:c>
      <x:c r="W99" t="str">
        <x:v>https://is1-ssl.mzstatic.com/image/thumb/Music/v4/4e/cc/a4/4ecca477-ac72-2100-a688-5d5e8f31c1fe/Cover.jpg/100x100bb.jpg</x:v>
      </x:c>
      <x:c r="X99" t="str">
        <x:v>https://music.apple.com/cn/new/top-charts</x:v>
      </x:c>
      <x:c r="Y99" t="str">
        <x:v>https://rss.marketingtools.apple.com/api/v2/cn/music/most-played/100/songs.json</x:v>
      </x:c>
      <x:c r="Z99" s="24" t="str">
        <x:f>IFERROR(VLOOKUP(F99,'07_字典与参数'!$A$5:$E$10,3,FALSE),"待映射")</x:f>
        <x:v>Apple Music</x:v>
      </x:c>
      <x:c r="AA99" s="24" t="str">
        <x:f>IFERROR(VLOOKUP(F99,'07_字典与参数'!$A$5:$E$10,2,FALSE),"待映射")</x:f>
        <x:v>热门歌曲排行</x:v>
      </x:c>
      <x:c r="AB99" s="24" t="str">
        <x:f>IFERROR(VLOOKUP(F99,'07_字典与参数'!$A$5:$E$10,4,FALSE),"待映射")</x:f>
        <x:v>每日公开快照</x:v>
      </x:c>
      <x:c r="AC99" s="24" t="str">
        <x:f>D99&amp;"|"&amp;F99&amp;"|"&amp;L99</x:f>
        <x:v>apple_music|cn_top_100|541862768</x:v>
      </x:c>
      <x:c r="AD99" s="24" t="str">
        <x:f>IF(J99&lt;=10,"是","否")</x:f>
        <x:v>否</x:v>
      </x:c>
      <x:c r="AE99" s="24" t="n">
        <x:f>IFERROR(YEAR(R99),"缺失")</x:f>
        <x:v>2012</x:v>
      </x:c>
    </x:row>
    <x:row r="100">
      <x:c r="A100" t="str">
        <x:v>20260812T132133+0800</x:v>
      </x:c>
      <x:c r="B100" t="n">
        <x:v>46246.22329861111</x:v>
      </x:c>
      <x:c r="C100" t="str">
        <x:v>2026-08-12</x:v>
      </x:c>
      <x:c r="D100" t="str">
        <x:v>apple_music</x:v>
      </x:c>
      <x:c r="E100" t="str">
        <x:v>CN</x:v>
      </x:c>
      <x:c r="F100" t="str">
        <x:v>cn_top_100</x:v>
      </x:c>
      <x:c r="G100" t="str">
        <x:v>热门歌曲排行</x:v>
      </x:c>
      <x:c r="H100" t="str">
        <x:v>apple_music_cn_most_played_100</x:v>
      </x:c>
      <x:c r="I100" t="n">
        <x:v>100</x:v>
      </x:c>
      <x:c r="J100" t="n">
        <x:v>96</x:v>
      </x:c>
      <x:c r="K100" t="n">
        <x:v>5</x:v>
      </x:c>
      <x:c r="L100" t="str">
        <x:v>6763657122</x:v>
      </x:c>
      <x:c r="M100" t="str">
        <x:v>oh well</x:v>
      </x:c>
      <x:c r="N100" t="str">
        <x:v>412778295</x:v>
      </x:c>
      <x:c r="O100" t="str">
        <x:v>Ariana Grande</x:v>
      </x:c>
      <x:c r="P100" t="str"/>
      <x:c r="Q100" t="str"/>
      <x:c r="R100" t="str">
        <x:v>2026-07-31</x:v>
      </x:c>
      <x:c r="S100" t="str">
        <x:v>国际流行 | 音乐</x:v>
      </x:c>
      <x:c r="T100"/>
      <x:c r="U100"/>
      <x:c r="V100" t="str">
        <x:v>https://music.apple.com/cn/album/oh-well/1895420989?i=6763657122</x:v>
      </x:c>
      <x:c r="W100" t="str">
        <x:v>https://is1-ssl.mzstatic.com/image/thumb/Music211/v4/7e/e6/82/7ee682bd-1b17-6adc-be63-b5af1bdff369/26UMGIM51126.rgb.jpg/100x100bb.jpg</x:v>
      </x:c>
      <x:c r="X100" t="str">
        <x:v>https://music.apple.com/cn/new/top-charts</x:v>
      </x:c>
      <x:c r="Y100" t="str">
        <x:v>https://rss.marketingtools.apple.com/api/v2/cn/music/most-played/100/songs.json</x:v>
      </x:c>
      <x:c r="Z100" s="24" t="str">
        <x:f>IFERROR(VLOOKUP(F100,'07_字典与参数'!$A$5:$E$10,3,FALSE),"待映射")</x:f>
        <x:v>Apple Music</x:v>
      </x:c>
      <x:c r="AA100" s="24" t="str">
        <x:f>IFERROR(VLOOKUP(F100,'07_字典与参数'!$A$5:$E$10,2,FALSE),"待映射")</x:f>
        <x:v>热门歌曲排行</x:v>
      </x:c>
      <x:c r="AB100" s="24" t="str">
        <x:f>IFERROR(VLOOKUP(F100,'07_字典与参数'!$A$5:$E$10,4,FALSE),"待映射")</x:f>
        <x:v>每日公开快照</x:v>
      </x:c>
      <x:c r="AC100" s="24" t="str">
        <x:f>D100&amp;"|"&amp;F100&amp;"|"&amp;L100</x:f>
        <x:v>apple_music|cn_top_100|6763657122</x:v>
      </x:c>
      <x:c r="AD100" s="24" t="str">
        <x:f>IF(J100&lt;=10,"是","否")</x:f>
        <x:v>否</x:v>
      </x:c>
      <x:c r="AE100" s="24" t="n">
        <x:f>IFERROR(YEAR(R100),"缺失")</x:f>
        <x:v>2026</x:v>
      </x:c>
    </x:row>
    <x:row r="101">
      <x:c r="A101" t="str">
        <x:v>20260812T132133+0800</x:v>
      </x:c>
      <x:c r="B101" t="n">
        <x:v>46246.22329861111</x:v>
      </x:c>
      <x:c r="C101" t="str">
        <x:v>2026-08-12</x:v>
      </x:c>
      <x:c r="D101" t="str">
        <x:v>apple_music</x:v>
      </x:c>
      <x:c r="E101" t="str">
        <x:v>CN</x:v>
      </x:c>
      <x:c r="F101" t="str">
        <x:v>cn_top_100</x:v>
      </x:c>
      <x:c r="G101" t="str">
        <x:v>热门歌曲排行</x:v>
      </x:c>
      <x:c r="H101" t="str">
        <x:v>apple_music_cn_most_played_100</x:v>
      </x:c>
      <x:c r="I101" t="n">
        <x:v>100</x:v>
      </x:c>
      <x:c r="J101" t="n">
        <x:v>97</x:v>
      </x:c>
      <x:c r="K101" t="n">
        <x:v>4</x:v>
      </x:c>
      <x:c r="L101" t="str">
        <x:v>536248201</x:v>
      </x:c>
      <x:c r="M101" t="str">
        <x:v>我落泪 . 情绪零碎</x:v>
      </x:c>
      <x:c r="N101" t="str">
        <x:v>300117743</x:v>
      </x:c>
      <x:c r="O101" t="str">
        <x:v>周杰伦</x:v>
      </x:c>
      <x:c r="P101" t="str"/>
      <x:c r="Q101" t="str"/>
      <x:c r="R101" t="str">
        <x:v>2010-05-18</x:v>
      </x:c>
      <x:c r="S101" t="str">
        <x:v>音乐 | 国际流行</x:v>
      </x:c>
      <x:c r="T101"/>
      <x:c r="U101"/>
      <x:c r="V101" t="str">
        <x:v>https://music.apple.com/cn/album/%E6%88%91%E8%90%BD%E6%B3%AA-%E6%83%85%E7%BB%AA%E9%9B%B6%E7%A2%8E/536247746?i=536248201</x:v>
      </x:c>
      <x:c r="W101" t="str">
        <x:v>https://is1-ssl.mzstatic.com/image/thumb/Music125/v4/53/2d/dd/532dddf0-87d7-b9eb-7d8b-4eb194c84252/asset.jpg/100x133bb.jpg</x:v>
      </x:c>
      <x:c r="X101" t="str">
        <x:v>https://music.apple.com/cn/new/top-charts</x:v>
      </x:c>
      <x:c r="Y101" t="str">
        <x:v>https://rss.marketingtools.apple.com/api/v2/cn/music/most-played/100/songs.json</x:v>
      </x:c>
      <x:c r="Z101" s="24" t="str">
        <x:f>IFERROR(VLOOKUP(F101,'07_字典与参数'!$A$5:$E$10,3,FALSE),"待映射")</x:f>
        <x:v>Apple Music</x:v>
      </x:c>
      <x:c r="AA101" s="24" t="str">
        <x:f>IFERROR(VLOOKUP(F101,'07_字典与参数'!$A$5:$E$10,2,FALSE),"待映射")</x:f>
        <x:v>热门歌曲排行</x:v>
      </x:c>
      <x:c r="AB101" s="24" t="str">
        <x:f>IFERROR(VLOOKUP(F101,'07_字典与参数'!$A$5:$E$10,4,FALSE),"待映射")</x:f>
        <x:v>每日公开快照</x:v>
      </x:c>
      <x:c r="AC101" s="24" t="str">
        <x:f>D101&amp;"|"&amp;F101&amp;"|"&amp;L101</x:f>
        <x:v>apple_music|cn_top_100|536248201</x:v>
      </x:c>
      <x:c r="AD101" s="24" t="str">
        <x:f>IF(J101&lt;=10,"是","否")</x:f>
        <x:v>否</x:v>
      </x:c>
      <x:c r="AE101" s="24" t="n">
        <x:f>IFERROR(YEAR(R101),"缺失")</x:f>
        <x:v>2010</x:v>
      </x:c>
    </x:row>
    <x:row r="102">
      <x:c r="A102" t="str">
        <x:v>20260812T132133+0800</x:v>
      </x:c>
      <x:c r="B102" t="n">
        <x:v>46246.22329861111</x:v>
      </x:c>
      <x:c r="C102" t="str">
        <x:v>2026-08-12</x:v>
      </x:c>
      <x:c r="D102" t="str">
        <x:v>apple_music</x:v>
      </x:c>
      <x:c r="E102" t="str">
        <x:v>CN</x:v>
      </x:c>
      <x:c r="F102" t="str">
        <x:v>cn_top_100</x:v>
      </x:c>
      <x:c r="G102" t="str">
        <x:v>热门歌曲排行</x:v>
      </x:c>
      <x:c r="H102" t="str">
        <x:v>apple_music_cn_most_played_100</x:v>
      </x:c>
      <x:c r="I102" t="n">
        <x:v>100</x:v>
      </x:c>
      <x:c r="J102" t="n">
        <x:v>98</x:v>
      </x:c>
      <x:c r="K102" t="n">
        <x:v>3</x:v>
      </x:c>
      <x:c r="L102" t="str">
        <x:v>6799886696</x:v>
      </x:c>
      <x:c r="M102" t="str">
        <x:v>Pop Off Pop Off</x:v>
      </x:c>
      <x:c r="N102" t="str">
        <x:v>1795471746</x:v>
      </x:c>
      <x:c r="O102" t="str">
        <x:v>KiiiKiii</x:v>
      </x:c>
      <x:c r="P102" t="str"/>
      <x:c r="Q102" t="str"/>
      <x:c r="R102" t="str">
        <x:v>2026-08-10</x:v>
      </x:c>
      <x:c r="S102" t="str">
        <x:v>K-Pop | 音乐 | 国际流行</x:v>
      </x:c>
      <x:c r="T102"/>
      <x:c r="U102"/>
      <x:c r="V102" t="str">
        <x:v>https://music.apple.com/cn/album/pop-off-pop-off/6799886470?i=6799886696</x:v>
      </x:c>
      <x:c r="W102" t="str">
        <x:v>https://is1-ssl.mzstatic.com/image/thumb/Music221/v4/f1/e9/50/f1e95095-3226-fdb7-6c44-043e7d095ef5/885288015478.jpg/100x100bb.jpg</x:v>
      </x:c>
      <x:c r="X102" t="str">
        <x:v>https://music.apple.com/cn/new/top-charts</x:v>
      </x:c>
      <x:c r="Y102" t="str">
        <x:v>https://rss.marketingtools.apple.com/api/v2/cn/music/most-played/100/songs.json</x:v>
      </x:c>
      <x:c r="Z102" s="24" t="str">
        <x:f>IFERROR(VLOOKUP(F102,'07_字典与参数'!$A$5:$E$10,3,FALSE),"待映射")</x:f>
        <x:v>Apple Music</x:v>
      </x:c>
      <x:c r="AA102" s="24" t="str">
        <x:f>IFERROR(VLOOKUP(F102,'07_字典与参数'!$A$5:$E$10,2,FALSE),"待映射")</x:f>
        <x:v>热门歌曲排行</x:v>
      </x:c>
      <x:c r="AB102" s="24" t="str">
        <x:f>IFERROR(VLOOKUP(F102,'07_字典与参数'!$A$5:$E$10,4,FALSE),"待映射")</x:f>
        <x:v>每日公开快照</x:v>
      </x:c>
      <x:c r="AC102" s="24" t="str">
        <x:f>D102&amp;"|"&amp;F102&amp;"|"&amp;L102</x:f>
        <x:v>apple_music|cn_top_100|6799886696</x:v>
      </x:c>
      <x:c r="AD102" s="24" t="str">
        <x:f>IF(J102&lt;=10,"是","否")</x:f>
        <x:v>否</x:v>
      </x:c>
      <x:c r="AE102" s="24" t="n">
        <x:f>IFERROR(YEAR(R102),"缺失")</x:f>
        <x:v>2026</x:v>
      </x:c>
    </x:row>
    <x:row r="103">
      <x:c r="A103" t="str">
        <x:v>20260812T132133+0800</x:v>
      </x:c>
      <x:c r="B103" t="n">
        <x:v>46246.22329861111</x:v>
      </x:c>
      <x:c r="C103" t="str">
        <x:v>2026-08-12</x:v>
      </x:c>
      <x:c r="D103" t="str">
        <x:v>apple_music</x:v>
      </x:c>
      <x:c r="E103" t="str">
        <x:v>CN</x:v>
      </x:c>
      <x:c r="F103" t="str">
        <x:v>cn_top_100</x:v>
      </x:c>
      <x:c r="G103" t="str">
        <x:v>热门歌曲排行</x:v>
      </x:c>
      <x:c r="H103" t="str">
        <x:v>apple_music_cn_most_played_100</x:v>
      </x:c>
      <x:c r="I103" t="n">
        <x:v>100</x:v>
      </x:c>
      <x:c r="J103" t="n">
        <x:v>99</x:v>
      </x:c>
      <x:c r="K103" t="n">
        <x:v>2</x:v>
      </x:c>
      <x:c r="L103" t="str">
        <x:v>535391947</x:v>
      </x:c>
      <x:c r="M103" t="str">
        <x:v>爱情讯息</x:v>
      </x:c>
      <x:c r="N103" t="str">
        <x:v>535054776</x:v>
      </x:c>
      <x:c r="O103" t="str">
        <x:v>郭静</x:v>
      </x:c>
      <x:c r="P103" t="str"/>
      <x:c r="Q103" t="str"/>
      <x:c r="R103" t="str">
        <x:v>2008-05-09</x:v>
      </x:c>
      <x:c r="S103" t="str">
        <x:v>音乐 | 国际流行</x:v>
      </x:c>
      <x:c r="T103"/>
      <x:c r="U103"/>
      <x:c r="V103" t="str">
        <x:v>https://music.apple.com/cn/album/%E7%88%B1%E6%83%85%E8%AE%AF%E6%81%AF/535391943?i=535391947</x:v>
      </x:c>
      <x:c r="W103" t="str">
        <x:v>https://is1-ssl.mzstatic.com/image/thumb/Music211/v4/05/49/46/054946ac-9e38-f5b0-9778-cbcd4d844687/4717398702336.jpg/100x115bb.jpg</x:v>
      </x:c>
      <x:c r="X103" t="str">
        <x:v>https://music.apple.com/cn/new/top-charts</x:v>
      </x:c>
      <x:c r="Y103" t="str">
        <x:v>https://rss.marketingtools.apple.com/api/v2/cn/music/most-played/100/songs.json</x:v>
      </x:c>
      <x:c r="Z103" s="24" t="str">
        <x:f>IFERROR(VLOOKUP(F103,'07_字典与参数'!$A$5:$E$10,3,FALSE),"待映射")</x:f>
        <x:v>Apple Music</x:v>
      </x:c>
      <x:c r="AA103" s="24" t="str">
        <x:f>IFERROR(VLOOKUP(F103,'07_字典与参数'!$A$5:$E$10,2,FALSE),"待映射")</x:f>
        <x:v>热门歌曲排行</x:v>
      </x:c>
      <x:c r="AB103" s="24" t="str">
        <x:f>IFERROR(VLOOKUP(F103,'07_字典与参数'!$A$5:$E$10,4,FALSE),"待映射")</x:f>
        <x:v>每日公开快照</x:v>
      </x:c>
      <x:c r="AC103" s="24" t="str">
        <x:f>D103&amp;"|"&amp;F103&amp;"|"&amp;L103</x:f>
        <x:v>apple_music|cn_top_100|535391947</x:v>
      </x:c>
      <x:c r="AD103" s="24" t="str">
        <x:f>IF(J103&lt;=10,"是","否")</x:f>
        <x:v>否</x:v>
      </x:c>
      <x:c r="AE103" s="24" t="n">
        <x:f>IFERROR(YEAR(R103),"缺失")</x:f>
        <x:v>2008</x:v>
      </x:c>
    </x:row>
    <x:row r="104">
      <x:c r="A104" t="str">
        <x:v>20260812T132133+0800</x:v>
      </x:c>
      <x:c r="B104" t="n">
        <x:v>46246.22329861111</x:v>
      </x:c>
      <x:c r="C104" t="str">
        <x:v>2026-08-12</x:v>
      </x:c>
      <x:c r="D104" t="str">
        <x:v>apple_music</x:v>
      </x:c>
      <x:c r="E104" t="str">
        <x:v>CN</x:v>
      </x:c>
      <x:c r="F104" t="str">
        <x:v>cn_top_100</x:v>
      </x:c>
      <x:c r="G104" t="str">
        <x:v>热门歌曲排行</x:v>
      </x:c>
      <x:c r="H104" t="str">
        <x:v>apple_music_cn_most_played_100</x:v>
      </x:c>
      <x:c r="I104" t="n">
        <x:v>100</x:v>
      </x:c>
      <x:c r="J104" t="n">
        <x:v>100</x:v>
      </x:c>
      <x:c r="K104" t="n">
        <x:v>1</x:v>
      </x:c>
      <x:c r="L104" t="str">
        <x:v>1321045197</x:v>
      </x:c>
      <x:c r="M104" t="str">
        <x:v>黑夜问白天</x:v>
      </x:c>
      <x:c r="N104" t="str">
        <x:v>216635866</x:v>
      </x:c>
      <x:c r="O104" t="str">
        <x:v>林俊杰</x:v>
      </x:c>
      <x:c r="P104" t="str"/>
      <x:c r="Q104" t="str"/>
      <x:c r="R104" t="str">
        <x:v>2017-12-29</x:v>
      </x:c>
      <x:c r="S104" t="str">
        <x:v>音乐 | 国际流行</x:v>
      </x:c>
      <x:c r="T104"/>
      <x:c r="U104"/>
      <x:c r="V104" t="str">
        <x:v>https://music.apple.com/cn/album/%E9%BB%91%E5%A4%9C%E9%97%AE%E7%99%BD%E5%A4%A9/1321044887?i=1321045197</x:v>
      </x:c>
      <x:c r="W104" t="str">
        <x:v>https://is1-ssl.mzstatic.com/image/thumb/Music115/v4/4e/44/6b/4e446b65-5d35-b9ab-f585-b438f3892541/190295706760.jpg/100x100bb.jpg</x:v>
      </x:c>
      <x:c r="X104" t="str">
        <x:v>https://music.apple.com/cn/new/top-charts</x:v>
      </x:c>
      <x:c r="Y104" t="str">
        <x:v>https://rss.marketingtools.apple.com/api/v2/cn/music/most-played/100/songs.json</x:v>
      </x:c>
      <x:c r="Z104" s="24" t="str">
        <x:f>IFERROR(VLOOKUP(F104,'07_字典与参数'!$A$5:$E$10,3,FALSE),"待映射")</x:f>
        <x:v>Apple Music</x:v>
      </x:c>
      <x:c r="AA104" s="24" t="str">
        <x:f>IFERROR(VLOOKUP(F104,'07_字典与参数'!$A$5:$E$10,2,FALSE),"待映射")</x:f>
        <x:v>热门歌曲排行</x:v>
      </x:c>
      <x:c r="AB104" s="24" t="str">
        <x:f>IFERROR(VLOOKUP(F104,'07_字典与参数'!$A$5:$E$10,4,FALSE),"待映射")</x:f>
        <x:v>每日公开快照</x:v>
      </x:c>
      <x:c r="AC104" s="24" t="str">
        <x:f>D104&amp;"|"&amp;F104&amp;"|"&amp;L104</x:f>
        <x:v>apple_music|cn_top_100|1321045197</x:v>
      </x:c>
      <x:c r="AD104" s="24" t="str">
        <x:f>IF(J104&lt;=10,"是","否")</x:f>
        <x:v>否</x:v>
      </x:c>
      <x:c r="AE104" s="24" t="n">
        <x:f>IFERROR(YEAR(R104),"缺失")</x:f>
        <x:v>2017</x:v>
      </x:c>
    </x:row>
    <x:row r="105">
      <x:c r="A105" t="str">
        <x:v>20260812T132133+0800</x:v>
      </x:c>
      <x:c r="B105" t="n">
        <x:v>46246.22329861111</x:v>
      </x:c>
      <x:c r="C105" t="str">
        <x:v>2026-08-12</x:v>
      </x:c>
      <x:c r="D105" t="str">
        <x:v>netease_cloud_music</x:v>
      </x:c>
      <x:c r="E105" t="str">
        <x:v>CN</x:v>
      </x:c>
      <x:c r="F105" t="str">
        <x:v>rising</x:v>
      </x:c>
      <x:c r="G105" t="str">
        <x:v>飙升榜</x:v>
      </x:c>
      <x:c r="H105" t="str">
        <x:v>19723756</x:v>
      </x:c>
      <x:c r="I105" t="n">
        <x:v>100</x:v>
      </x:c>
      <x:c r="J105" t="n">
        <x:v>1</x:v>
      </x:c>
      <x:c r="K105" t="n">
        <x:v>100</x:v>
      </x:c>
      <x:c r="L105" t="str">
        <x:v>108965</x:v>
      </x:c>
      <x:c r="M105" t="str">
        <x:v>冻结</x:v>
      </x:c>
      <x:c r="N105" t="str">
        <x:v>3684</x:v>
      </x:c>
      <x:c r="O105" t="str">
        <x:v>林俊杰</x:v>
      </x:c>
      <x:c r="P105" t="str">
        <x:v>10808</x:v>
      </x:c>
      <x:c r="Q105" t="str">
        <x:v>乐行者</x:v>
      </x:c>
      <x:c r="R105" t="str">
        <x:v>2003-04-01</x:v>
      </x:c>
      <x:c r="S105" t="str"/>
      <x:c r="T105" t="n">
        <x:v>3</x:v>
      </x:c>
      <x:c r="U105" t="n">
        <x:v>2</x:v>
      </x:c>
      <x:c r="V105" t="str">
        <x:v>https://music.163.com/song?id=108965</x:v>
      </x:c>
      <x:c r="W105" t="str">
        <x:v>http://p2.music.126.net/BU26yl8XSsV4g1_eYYTCWg==/109951172002804127.jpg</x:v>
      </x:c>
      <x:c r="X105" t="str">
        <x:v>https://music.163.com/discover/toplist?id=19723756</x:v>
      </x:c>
      <x:c r="Y105" t="str">
        <x:v>https://music.163.com/api/playlist/detail?id=19723756&amp;n=100</x:v>
      </x:c>
      <x:c r="Z105" s="24" t="str">
        <x:f>IFERROR(VLOOKUP(F105,'07_字典与参数'!$A$5:$E$10,3,FALSE),"待映射")</x:f>
        <x:v>网易云音乐</x:v>
      </x:c>
      <x:c r="AA105" s="24" t="str">
        <x:f>IFERROR(VLOOKUP(F105,'07_字典与参数'!$A$5:$E$10,2,FALSE),"待映射")</x:f>
        <x:v>飙升榜</x:v>
      </x:c>
      <x:c r="AB105" s="24" t="str">
        <x:f>IFERROR(VLOOKUP(F105,'07_字典与参数'!$A$5:$E$10,4,FALSE),"待映射")</x:f>
        <x:v>每日</x:v>
      </x:c>
      <x:c r="AC105" s="24" t="str">
        <x:f>D105&amp;"|"&amp;F105&amp;"|"&amp;L105</x:f>
        <x:v>netease_cloud_music|rising|108965</x:v>
      </x:c>
      <x:c r="AD105" s="24" t="str">
        <x:f>IF(J105&lt;=10,"是","否")</x:f>
        <x:v>是</x:v>
      </x:c>
      <x:c r="AE105" s="24" t="n">
        <x:f>IFERROR(YEAR(R105),"缺失")</x:f>
        <x:v>2003</x:v>
      </x:c>
    </x:row>
    <x:row r="106">
      <x:c r="A106" t="str">
        <x:v>20260812T132133+0800</x:v>
      </x:c>
      <x:c r="B106" t="n">
        <x:v>46246.22329861111</x:v>
      </x:c>
      <x:c r="C106" t="str">
        <x:v>2026-08-12</x:v>
      </x:c>
      <x:c r="D106" t="str">
        <x:v>netease_cloud_music</x:v>
      </x:c>
      <x:c r="E106" t="str">
        <x:v>CN</x:v>
      </x:c>
      <x:c r="F106" t="str">
        <x:v>rising</x:v>
      </x:c>
      <x:c r="G106" t="str">
        <x:v>飙升榜</x:v>
      </x:c>
      <x:c r="H106" t="str">
        <x:v>19723756</x:v>
      </x:c>
      <x:c r="I106" t="n">
        <x:v>100</x:v>
      </x:c>
      <x:c r="J106" t="n">
        <x:v>2</x:v>
      </x:c>
      <x:c r="K106" t="n">
        <x:v>99</x:v>
      </x:c>
      <x:c r="L106" t="str">
        <x:v>3416093943</x:v>
      </x:c>
      <x:c r="M106" t="str">
        <x:v>代偿</x:v>
      </x:c>
      <x:c r="N106" t="str">
        <x:v>99641900</x:v>
      </x:c>
      <x:c r="O106" t="str">
        <x:v>巧莫</x:v>
      </x:c>
      <x:c r="P106" t="str">
        <x:v>390563690</x:v>
      </x:c>
      <x:c r="Q106" t="str">
        <x:v>代偿</x:v>
      </x:c>
      <x:c r="R106" t="str"/>
      <x:c r="S106" t="str"/>
      <x:c r="T106"/>
      <x:c r="U106"/>
      <x:c r="V106" t="str">
        <x:v>https://music.163.com/song?id=3416093943</x:v>
      </x:c>
      <x:c r="W106" t="str">
        <x:v>http://p2.music.126.net/uC4ek_6_frLyXayYEF7y8g==/109951173690218295.jpg</x:v>
      </x:c>
      <x:c r="X106" t="str">
        <x:v>https://music.163.com/discover/toplist?id=19723756</x:v>
      </x:c>
      <x:c r="Y106" t="str">
        <x:v>https://music.163.com/api/playlist/detail?id=19723756&amp;n=100</x:v>
      </x:c>
      <x:c r="Z106" s="24" t="str">
        <x:f>IFERROR(VLOOKUP(F106,'07_字典与参数'!$A$5:$E$10,3,FALSE),"待映射")</x:f>
        <x:v>网易云音乐</x:v>
      </x:c>
      <x:c r="AA106" s="24" t="str">
        <x:f>IFERROR(VLOOKUP(F106,'07_字典与参数'!$A$5:$E$10,2,FALSE),"待映射")</x:f>
        <x:v>飙升榜</x:v>
      </x:c>
      <x:c r="AB106" s="24" t="str">
        <x:f>IFERROR(VLOOKUP(F106,'07_字典与参数'!$A$5:$E$10,4,FALSE),"待映射")</x:f>
        <x:v>每日</x:v>
      </x:c>
      <x:c r="AC106" s="24" t="str">
        <x:f>D106&amp;"|"&amp;F106&amp;"|"&amp;L106</x:f>
        <x:v>netease_cloud_music|rising|3416093943</x:v>
      </x:c>
      <x:c r="AD106" s="24" t="str">
        <x:f>IF(J106&lt;=10,"是","否")</x:f>
        <x:v>是</x:v>
      </x:c>
      <x:c r="AE106" s="24" t="str">
        <x:f>IFERROR(YEAR(R106),"缺失")</x:f>
        <x:v>缺失</x:v>
      </x:c>
    </x:row>
    <x:row r="107">
      <x:c r="A107" t="str">
        <x:v>20260812T132133+0800</x:v>
      </x:c>
      <x:c r="B107" t="n">
        <x:v>46246.22329861111</x:v>
      </x:c>
      <x:c r="C107" t="str">
        <x:v>2026-08-12</x:v>
      </x:c>
      <x:c r="D107" t="str">
        <x:v>netease_cloud_music</x:v>
      </x:c>
      <x:c r="E107" t="str">
        <x:v>CN</x:v>
      </x:c>
      <x:c r="F107" t="str">
        <x:v>rising</x:v>
      </x:c>
      <x:c r="G107" t="str">
        <x:v>飙升榜</x:v>
      </x:c>
      <x:c r="H107" t="str">
        <x:v>19723756</x:v>
      </x:c>
      <x:c r="I107" t="n">
        <x:v>100</x:v>
      </x:c>
      <x:c r="J107" t="n">
        <x:v>3</x:v>
      </x:c>
      <x:c r="K107" t="n">
        <x:v>98</x:v>
      </x:c>
      <x:c r="L107" t="str">
        <x:v>1970633784</x:v>
      </x:c>
      <x:c r="M107" t="str">
        <x:v>反正</x:v>
      </x:c>
      <x:c r="N107" t="str">
        <x:v>12623251</x:v>
      </x:c>
      <x:c r="O107" t="str">
        <x:v>老番茄</x:v>
      </x:c>
      <x:c r="P107" t="str">
        <x:v>149380343</x:v>
      </x:c>
      <x:c r="Q107" t="str">
        <x:v>反正</x:v>
      </x:c>
      <x:c r="R107" t="str">
        <x:v>2022-08-10</x:v>
      </x:c>
      <x:c r="S107" t="str"/>
      <x:c r="T107"/>
      <x:c r="U107"/>
      <x:c r="V107" t="str">
        <x:v>https://music.163.com/song?id=1970633784</x:v>
      </x:c>
      <x:c r="W107" t="str">
        <x:v>http://p2.music.126.net/nFfFsC_l6GtGnY-BKVqNpg==/109951167760817147.jpg</x:v>
      </x:c>
      <x:c r="X107" t="str">
        <x:v>https://music.163.com/discover/toplist?id=19723756</x:v>
      </x:c>
      <x:c r="Y107" t="str">
        <x:v>https://music.163.com/api/playlist/detail?id=19723756&amp;n=100</x:v>
      </x:c>
      <x:c r="Z107" s="24" t="str">
        <x:f>IFERROR(VLOOKUP(F107,'07_字典与参数'!$A$5:$E$10,3,FALSE),"待映射")</x:f>
        <x:v>网易云音乐</x:v>
      </x:c>
      <x:c r="AA107" s="24" t="str">
        <x:f>IFERROR(VLOOKUP(F107,'07_字典与参数'!$A$5:$E$10,2,FALSE),"待映射")</x:f>
        <x:v>飙升榜</x:v>
      </x:c>
      <x:c r="AB107" s="24" t="str">
        <x:f>IFERROR(VLOOKUP(F107,'07_字典与参数'!$A$5:$E$10,4,FALSE),"待映射")</x:f>
        <x:v>每日</x:v>
      </x:c>
      <x:c r="AC107" s="24" t="str">
        <x:f>D107&amp;"|"&amp;F107&amp;"|"&amp;L107</x:f>
        <x:v>netease_cloud_music|rising|1970633784</x:v>
      </x:c>
      <x:c r="AD107" s="24" t="str">
        <x:f>IF(J107&lt;=10,"是","否")</x:f>
        <x:v>是</x:v>
      </x:c>
      <x:c r="AE107" s="24" t="n">
        <x:f>IFERROR(YEAR(R107),"缺失")</x:f>
        <x:v>2022</x:v>
      </x:c>
    </x:row>
    <x:row r="108">
      <x:c r="A108" t="str">
        <x:v>20260812T132133+0800</x:v>
      </x:c>
      <x:c r="B108" t="n">
        <x:v>46246.22329861111</x:v>
      </x:c>
      <x:c r="C108" t="str">
        <x:v>2026-08-12</x:v>
      </x:c>
      <x:c r="D108" t="str">
        <x:v>netease_cloud_music</x:v>
      </x:c>
      <x:c r="E108" t="str">
        <x:v>CN</x:v>
      </x:c>
      <x:c r="F108" t="str">
        <x:v>rising</x:v>
      </x:c>
      <x:c r="G108" t="str">
        <x:v>飙升榜</x:v>
      </x:c>
      <x:c r="H108" t="str">
        <x:v>19723756</x:v>
      </x:c>
      <x:c r="I108" t="n">
        <x:v>100</x:v>
      </x:c>
      <x:c r="J108" t="n">
        <x:v>4</x:v>
      </x:c>
      <x:c r="K108" t="n">
        <x:v>97</x:v>
      </x:c>
      <x:c r="L108" t="str">
        <x:v>1472921626</x:v>
      </x:c>
      <x:c r="M108" t="str">
        <x:v>刻在我心底的名字</x:v>
      </x:c>
      <x:c r="N108" t="str">
        <x:v>3690</x:v>
      </x:c>
      <x:c r="O108" t="str">
        <x:v>卢广仲</x:v>
      </x:c>
      <x:c r="P108" t="str">
        <x:v>94304499</x:v>
      </x:c>
      <x:c r="Q108" t="str">
        <x:v>刻在我心底的名字</x:v>
      </x:c>
      <x:c r="R108" t="str">
        <x:v>2020-08-25</x:v>
      </x:c>
      <x:c r="S108" t="str"/>
      <x:c r="T108" t="n">
        <x:v>14</x:v>
      </x:c>
      <x:c r="U108" t="n">
        <x:v>10</x:v>
      </x:c>
      <x:c r="V108" t="str">
        <x:v>https://music.163.com/song?id=1472921626</x:v>
      </x:c>
      <x:c r="W108" t="str">
        <x:v>http://p2.music.126.net/hP30WVUoRy-wE3c-prxr0g==/109951165256630492.jpg</x:v>
      </x:c>
      <x:c r="X108" t="str">
        <x:v>https://music.163.com/discover/toplist?id=19723756</x:v>
      </x:c>
      <x:c r="Y108" t="str">
        <x:v>https://music.163.com/api/playlist/detail?id=19723756&amp;n=100</x:v>
      </x:c>
      <x:c r="Z108" s="24" t="str">
        <x:f>IFERROR(VLOOKUP(F108,'07_字典与参数'!$A$5:$E$10,3,FALSE),"待映射")</x:f>
        <x:v>网易云音乐</x:v>
      </x:c>
      <x:c r="AA108" s="24" t="str">
        <x:f>IFERROR(VLOOKUP(F108,'07_字典与参数'!$A$5:$E$10,2,FALSE),"待映射")</x:f>
        <x:v>飙升榜</x:v>
      </x:c>
      <x:c r="AB108" s="24" t="str">
        <x:f>IFERROR(VLOOKUP(F108,'07_字典与参数'!$A$5:$E$10,4,FALSE),"待映射")</x:f>
        <x:v>每日</x:v>
      </x:c>
      <x:c r="AC108" s="24" t="str">
        <x:f>D108&amp;"|"&amp;F108&amp;"|"&amp;L108</x:f>
        <x:v>netease_cloud_music|rising|1472921626</x:v>
      </x:c>
      <x:c r="AD108" s="24" t="str">
        <x:f>IF(J108&lt;=10,"是","否")</x:f>
        <x:v>是</x:v>
      </x:c>
      <x:c r="AE108" s="24" t="n">
        <x:f>IFERROR(YEAR(R108),"缺失")</x:f>
        <x:v>2020</x:v>
      </x:c>
    </x:row>
    <x:row r="109">
      <x:c r="A109" t="str">
        <x:v>20260812T132133+0800</x:v>
      </x:c>
      <x:c r="B109" t="n">
        <x:v>46246.22329861111</x:v>
      </x:c>
      <x:c r="C109" t="str">
        <x:v>2026-08-12</x:v>
      </x:c>
      <x:c r="D109" t="str">
        <x:v>netease_cloud_music</x:v>
      </x:c>
      <x:c r="E109" t="str">
        <x:v>CN</x:v>
      </x:c>
      <x:c r="F109" t="str">
        <x:v>rising</x:v>
      </x:c>
      <x:c r="G109" t="str">
        <x:v>飙升榜</x:v>
      </x:c>
      <x:c r="H109" t="str">
        <x:v>19723756</x:v>
      </x:c>
      <x:c r="I109" t="n">
        <x:v>100</x:v>
      </x:c>
      <x:c r="J109" t="n">
        <x:v>5</x:v>
      </x:c>
      <x:c r="K109" t="n">
        <x:v>96</x:v>
      </x:c>
      <x:c r="L109" t="str">
        <x:v>2624575315</x:v>
      </x:c>
      <x:c r="M109" t="str">
        <x:v>缓缓</x:v>
      </x:c>
      <x:c r="N109" t="str">
        <x:v>31376161</x:v>
      </x:c>
      <x:c r="O109" t="str">
        <x:v>颜人中</x:v>
      </x:c>
      <x:c r="P109" t="str">
        <x:v>247138808</x:v>
      </x:c>
      <x:c r="Q109" t="str">
        <x:v>缓缓</x:v>
      </x:c>
      <x:c r="R109" t="str">
        <x:v>2024-09-15</x:v>
      </x:c>
      <x:c r="S109" t="str"/>
      <x:c r="T109"/>
      <x:c r="U109"/>
      <x:c r="V109" t="str">
        <x:v>https://music.163.com/song?id=2624575315</x:v>
      </x:c>
      <x:c r="W109" t="str">
        <x:v>http://p2.music.126.net/_WLiO4_ljVlLU9g0BR7qjw==/109951169971412305.jpg</x:v>
      </x:c>
      <x:c r="X109" t="str">
        <x:v>https://music.163.com/discover/toplist?id=19723756</x:v>
      </x:c>
      <x:c r="Y109" t="str">
        <x:v>https://music.163.com/api/playlist/detail?id=19723756&amp;n=100</x:v>
      </x:c>
      <x:c r="Z109" s="24" t="str">
        <x:f>IFERROR(VLOOKUP(F109,'07_字典与参数'!$A$5:$E$10,3,FALSE),"待映射")</x:f>
        <x:v>网易云音乐</x:v>
      </x:c>
      <x:c r="AA109" s="24" t="str">
        <x:f>IFERROR(VLOOKUP(F109,'07_字典与参数'!$A$5:$E$10,2,FALSE),"待映射")</x:f>
        <x:v>飙升榜</x:v>
      </x:c>
      <x:c r="AB109" s="24" t="str">
        <x:f>IFERROR(VLOOKUP(F109,'07_字典与参数'!$A$5:$E$10,4,FALSE),"待映射")</x:f>
        <x:v>每日</x:v>
      </x:c>
      <x:c r="AC109" s="24" t="str">
        <x:f>D109&amp;"|"&amp;F109&amp;"|"&amp;L109</x:f>
        <x:v>netease_cloud_music|rising|2624575315</x:v>
      </x:c>
      <x:c r="AD109" s="24" t="str">
        <x:f>IF(J109&lt;=10,"是","否")</x:f>
        <x:v>是</x:v>
      </x:c>
      <x:c r="AE109" s="24" t="n">
        <x:f>IFERROR(YEAR(R109),"缺失")</x:f>
        <x:v>2024</x:v>
      </x:c>
    </x:row>
    <x:row r="110">
      <x:c r="A110" t="str">
        <x:v>20260812T132133+0800</x:v>
      </x:c>
      <x:c r="B110" t="n">
        <x:v>46246.22329861111</x:v>
      </x:c>
      <x:c r="C110" t="str">
        <x:v>2026-08-12</x:v>
      </x:c>
      <x:c r="D110" t="str">
        <x:v>netease_cloud_music</x:v>
      </x:c>
      <x:c r="E110" t="str">
        <x:v>CN</x:v>
      </x:c>
      <x:c r="F110" t="str">
        <x:v>rising</x:v>
      </x:c>
      <x:c r="G110" t="str">
        <x:v>飙升榜</x:v>
      </x:c>
      <x:c r="H110" t="str">
        <x:v>19723756</x:v>
      </x:c>
      <x:c r="I110" t="n">
        <x:v>100</x:v>
      </x:c>
      <x:c r="J110" t="n">
        <x:v>6</x:v>
      </x:c>
      <x:c r="K110" t="n">
        <x:v>95</x:v>
      </x:c>
      <x:c r="L110" t="str">
        <x:v>2108845007</x:v>
      </x:c>
      <x:c r="M110" t="str">
        <x:v>讴歌</x:v>
      </x:c>
      <x:c r="N110" t="str">
        <x:v>35009085</x:v>
      </x:c>
      <x:c r="O110" t="str">
        <x:v>Vansdaddy</x:v>
      </x:c>
      <x:c r="P110" t="str">
        <x:v>181194681</x:v>
      </x:c>
      <x:c r="Q110" t="str">
        <x:v>讴歌</x:v>
      </x:c>
      <x:c r="R110" t="str">
        <x:v>2023-12-16</x:v>
      </x:c>
      <x:c r="S110" t="str"/>
      <x:c r="T110"/>
      <x:c r="U110"/>
      <x:c r="V110" t="str">
        <x:v>https://music.163.com/song?id=2108845007</x:v>
      </x:c>
      <x:c r="W110" t="str">
        <x:v>http://p2.music.126.net/xfPdDoM-Kk14BFdJT7Qxgw==/109951169164991342.jpg</x:v>
      </x:c>
      <x:c r="X110" t="str">
        <x:v>https://music.163.com/discover/toplist?id=19723756</x:v>
      </x:c>
      <x:c r="Y110" t="str">
        <x:v>https://music.163.com/api/playlist/detail?id=19723756&amp;n=100</x:v>
      </x:c>
      <x:c r="Z110" s="24" t="str">
        <x:f>IFERROR(VLOOKUP(F110,'07_字典与参数'!$A$5:$E$10,3,FALSE),"待映射")</x:f>
        <x:v>网易云音乐</x:v>
      </x:c>
      <x:c r="AA110" s="24" t="str">
        <x:f>IFERROR(VLOOKUP(F110,'07_字典与参数'!$A$5:$E$10,2,FALSE),"待映射")</x:f>
        <x:v>飙升榜</x:v>
      </x:c>
      <x:c r="AB110" s="24" t="str">
        <x:f>IFERROR(VLOOKUP(F110,'07_字典与参数'!$A$5:$E$10,4,FALSE),"待映射")</x:f>
        <x:v>每日</x:v>
      </x:c>
      <x:c r="AC110" s="24" t="str">
        <x:f>D110&amp;"|"&amp;F110&amp;"|"&amp;L110</x:f>
        <x:v>netease_cloud_music|rising|2108845007</x:v>
      </x:c>
      <x:c r="AD110" s="24" t="str">
        <x:f>IF(J110&lt;=10,"是","否")</x:f>
        <x:v>是</x:v>
      </x:c>
      <x:c r="AE110" s="24" t="n">
        <x:f>IFERROR(YEAR(R110),"缺失")</x:f>
        <x:v>2023</x:v>
      </x:c>
    </x:row>
    <x:row r="111">
      <x:c r="A111" t="str">
        <x:v>20260812T132133+0800</x:v>
      </x:c>
      <x:c r="B111" t="n">
        <x:v>46246.22329861111</x:v>
      </x:c>
      <x:c r="C111" t="str">
        <x:v>2026-08-12</x:v>
      </x:c>
      <x:c r="D111" t="str">
        <x:v>netease_cloud_music</x:v>
      </x:c>
      <x:c r="E111" t="str">
        <x:v>CN</x:v>
      </x:c>
      <x:c r="F111" t="str">
        <x:v>rising</x:v>
      </x:c>
      <x:c r="G111" t="str">
        <x:v>飙升榜</x:v>
      </x:c>
      <x:c r="H111" t="str">
        <x:v>19723756</x:v>
      </x:c>
      <x:c r="I111" t="n">
        <x:v>100</x:v>
      </x:c>
      <x:c r="J111" t="n">
        <x:v>7</x:v>
      </x:c>
      <x:c r="K111" t="n">
        <x:v>94</x:v>
      </x:c>
      <x:c r="L111" t="str">
        <x:v>165376</x:v>
      </x:c>
      <x:c r="M111" t="str">
        <x:v>因为了解</x:v>
      </x:c>
      <x:c r="N111" t="str">
        <x:v>5538</x:v>
      </x:c>
      <x:c r="O111" t="str">
        <x:v>汪苏泷</x:v>
      </x:c>
      <x:c r="P111" t="str">
        <x:v>16611</x:v>
      </x:c>
      <x:c r="Q111" t="str">
        <x:v>慢慢懂</x:v>
      </x:c>
      <x:c r="R111" t="str">
        <x:v>2010-11-19</x:v>
      </x:c>
      <x:c r="S111" t="str"/>
      <x:c r="T111" t="n">
        <x:v>5</x:v>
      </x:c>
      <x:c r="U111" t="n">
        <x:v>-2</x:v>
      </x:c>
      <x:c r="V111" t="str">
        <x:v>https://music.163.com/song?id=165376</x:v>
      </x:c>
      <x:c r="W111" t="str">
        <x:v>http://p2.music.126.net/ZBZeyuWDycelKBLdQPc5gA==/109951172128596445.jpg</x:v>
      </x:c>
      <x:c r="X111" t="str">
        <x:v>https://music.163.com/discover/toplist?id=19723756</x:v>
      </x:c>
      <x:c r="Y111" t="str">
        <x:v>https://music.163.com/api/playlist/detail?id=19723756&amp;n=100</x:v>
      </x:c>
      <x:c r="Z111" s="24" t="str">
        <x:f>IFERROR(VLOOKUP(F111,'07_字典与参数'!$A$5:$E$10,3,FALSE),"待映射")</x:f>
        <x:v>网易云音乐</x:v>
      </x:c>
      <x:c r="AA111" s="24" t="str">
        <x:f>IFERROR(VLOOKUP(F111,'07_字典与参数'!$A$5:$E$10,2,FALSE),"待映射")</x:f>
        <x:v>飙升榜</x:v>
      </x:c>
      <x:c r="AB111" s="24" t="str">
        <x:f>IFERROR(VLOOKUP(F111,'07_字典与参数'!$A$5:$E$10,4,FALSE),"待映射")</x:f>
        <x:v>每日</x:v>
      </x:c>
      <x:c r="AC111" s="24" t="str">
        <x:f>D111&amp;"|"&amp;F111&amp;"|"&amp;L111</x:f>
        <x:v>netease_cloud_music|rising|165376</x:v>
      </x:c>
      <x:c r="AD111" s="24" t="str">
        <x:f>IF(J111&lt;=10,"是","否")</x:f>
        <x:v>是</x:v>
      </x:c>
      <x:c r="AE111" s="24" t="n">
        <x:f>IFERROR(YEAR(R111),"缺失")</x:f>
        <x:v>2010</x:v>
      </x:c>
    </x:row>
    <x:row r="112">
      <x:c r="A112" t="str">
        <x:v>20260812T132133+0800</x:v>
      </x:c>
      <x:c r="B112" t="n">
        <x:v>46246.22329861111</x:v>
      </x:c>
      <x:c r="C112" t="str">
        <x:v>2026-08-12</x:v>
      </x:c>
      <x:c r="D112" t="str">
        <x:v>netease_cloud_music</x:v>
      </x:c>
      <x:c r="E112" t="str">
        <x:v>CN</x:v>
      </x:c>
      <x:c r="F112" t="str">
        <x:v>rising</x:v>
      </x:c>
      <x:c r="G112" t="str">
        <x:v>飙升榜</x:v>
      </x:c>
      <x:c r="H112" t="str">
        <x:v>19723756</x:v>
      </x:c>
      <x:c r="I112" t="n">
        <x:v>100</x:v>
      </x:c>
      <x:c r="J112" t="n">
        <x:v>8</x:v>
      </x:c>
      <x:c r="K112" t="n">
        <x:v>93</x:v>
      </x:c>
      <x:c r="L112" t="str">
        <x:v>3416333610</x:v>
      </x:c>
      <x:c r="M112" t="str">
        <x:v>再见太难</x:v>
      </x:c>
      <x:c r="N112" t="str">
        <x:v>8507</x:v>
      </x:c>
      <x:c r="O112" t="str">
        <x:v>利得汇</x:v>
      </x:c>
      <x:c r="P112" t="str">
        <x:v>390718483</x:v>
      </x:c>
      <x:c r="Q112" t="str">
        <x:v>再见太难</x:v>
      </x:c>
      <x:c r="R112" t="str"/>
      <x:c r="S112" t="str"/>
      <x:c r="T112"/>
      <x:c r="U112"/>
      <x:c r="V112" t="str">
        <x:v>https://music.163.com/song?id=3416333610</x:v>
      </x:c>
      <x:c r="W112" t="str">
        <x:v>http://p2.music.126.net/KPtNGvc1BM-3ShqTT9nd6A==/109951173693092478.jpg</x:v>
      </x:c>
      <x:c r="X112" t="str">
        <x:v>https://music.163.com/discover/toplist?id=19723756</x:v>
      </x:c>
      <x:c r="Y112" t="str">
        <x:v>https://music.163.com/api/playlist/detail?id=19723756&amp;n=100</x:v>
      </x:c>
      <x:c r="Z112" s="24" t="str">
        <x:f>IFERROR(VLOOKUP(F112,'07_字典与参数'!$A$5:$E$10,3,FALSE),"待映射")</x:f>
        <x:v>网易云音乐</x:v>
      </x:c>
      <x:c r="AA112" s="24" t="str">
        <x:f>IFERROR(VLOOKUP(F112,'07_字典与参数'!$A$5:$E$10,2,FALSE),"待映射")</x:f>
        <x:v>飙升榜</x:v>
      </x:c>
      <x:c r="AB112" s="24" t="str">
        <x:f>IFERROR(VLOOKUP(F112,'07_字典与参数'!$A$5:$E$10,4,FALSE),"待映射")</x:f>
        <x:v>每日</x:v>
      </x:c>
      <x:c r="AC112" s="24" t="str">
        <x:f>D112&amp;"|"&amp;F112&amp;"|"&amp;L112</x:f>
        <x:v>netease_cloud_music|rising|3416333610</x:v>
      </x:c>
      <x:c r="AD112" s="24" t="str">
        <x:f>IF(J112&lt;=10,"是","否")</x:f>
        <x:v>是</x:v>
      </x:c>
      <x:c r="AE112" s="24" t="str">
        <x:f>IFERROR(YEAR(R112),"缺失")</x:f>
        <x:v>缺失</x:v>
      </x:c>
    </x:row>
    <x:row r="113">
      <x:c r="A113" t="str">
        <x:v>20260812T132133+0800</x:v>
      </x:c>
      <x:c r="B113" t="n">
        <x:v>46246.22329861111</x:v>
      </x:c>
      <x:c r="C113" t="str">
        <x:v>2026-08-12</x:v>
      </x:c>
      <x:c r="D113" t="str">
        <x:v>netease_cloud_music</x:v>
      </x:c>
      <x:c r="E113" t="str">
        <x:v>CN</x:v>
      </x:c>
      <x:c r="F113" t="str">
        <x:v>rising</x:v>
      </x:c>
      <x:c r="G113" t="str">
        <x:v>飙升榜</x:v>
      </x:c>
      <x:c r="H113" t="str">
        <x:v>19723756</x:v>
      </x:c>
      <x:c r="I113" t="n">
        <x:v>100</x:v>
      </x:c>
      <x:c r="J113" t="n">
        <x:v>9</x:v>
      </x:c>
      <x:c r="K113" t="n">
        <x:v>92</x:v>
      </x:c>
      <x:c r="L113" t="str">
        <x:v>3362504067</x:v>
      </x:c>
      <x:c r="M113" t="str">
        <x:v>老马</x:v>
      </x:c>
      <x:c r="N113" t="str">
        <x:v>53483506</x:v>
      </x:c>
      <x:c r="O113" t="str">
        <x:v>OuttaWave</x:v>
      </x:c>
      <x:c r="P113" t="str">
        <x:v>367604234</x:v>
      </x:c>
      <x:c r="Q113" t="str">
        <x:v>南下南下</x:v>
      </x:c>
      <x:c r="R113" t="str">
        <x:v>2026-03-28</x:v>
      </x:c>
      <x:c r="S113" t="str"/>
      <x:c r="T113"/>
      <x:c r="U113"/>
      <x:c r="V113" t="str">
        <x:v>https://music.163.com/song?id=3362504067</x:v>
      </x:c>
      <x:c r="W113" t="str">
        <x:v>http://p2.music.126.net/4gJsoN1WzxkEuFhYvVhcXg==/109951172934130756.jpg</x:v>
      </x:c>
      <x:c r="X113" t="str">
        <x:v>https://music.163.com/discover/toplist?id=19723756</x:v>
      </x:c>
      <x:c r="Y113" t="str">
        <x:v>https://music.163.com/api/playlist/detail?id=19723756&amp;n=100</x:v>
      </x:c>
      <x:c r="Z113" s="24" t="str">
        <x:f>IFERROR(VLOOKUP(F113,'07_字典与参数'!$A$5:$E$10,3,FALSE),"待映射")</x:f>
        <x:v>网易云音乐</x:v>
      </x:c>
      <x:c r="AA113" s="24" t="str">
        <x:f>IFERROR(VLOOKUP(F113,'07_字典与参数'!$A$5:$E$10,2,FALSE),"待映射")</x:f>
        <x:v>飙升榜</x:v>
      </x:c>
      <x:c r="AB113" s="24" t="str">
        <x:f>IFERROR(VLOOKUP(F113,'07_字典与参数'!$A$5:$E$10,4,FALSE),"待映射")</x:f>
        <x:v>每日</x:v>
      </x:c>
      <x:c r="AC113" s="24" t="str">
        <x:f>D113&amp;"|"&amp;F113&amp;"|"&amp;L113</x:f>
        <x:v>netease_cloud_music|rising|3362504067</x:v>
      </x:c>
      <x:c r="AD113" s="24" t="str">
        <x:f>IF(J113&lt;=10,"是","否")</x:f>
        <x:v>是</x:v>
      </x:c>
      <x:c r="AE113" s="24" t="n">
        <x:f>IFERROR(YEAR(R113),"缺失")</x:f>
        <x:v>2026</x:v>
      </x:c>
    </x:row>
    <x:row r="114">
      <x:c r="A114" t="str">
        <x:v>20260812T132133+0800</x:v>
      </x:c>
      <x:c r="B114" t="n">
        <x:v>46246.22329861111</x:v>
      </x:c>
      <x:c r="C114" t="str">
        <x:v>2026-08-12</x:v>
      </x:c>
      <x:c r="D114" t="str">
        <x:v>netease_cloud_music</x:v>
      </x:c>
      <x:c r="E114" t="str">
        <x:v>CN</x:v>
      </x:c>
      <x:c r="F114" t="str">
        <x:v>rising</x:v>
      </x:c>
      <x:c r="G114" t="str">
        <x:v>飙升榜</x:v>
      </x:c>
      <x:c r="H114" t="str">
        <x:v>19723756</x:v>
      </x:c>
      <x:c r="I114" t="n">
        <x:v>100</x:v>
      </x:c>
      <x:c r="J114" t="n">
        <x:v>10</x:v>
      </x:c>
      <x:c r="K114" t="n">
        <x:v>91</x:v>
      </x:c>
      <x:c r="L114" t="str">
        <x:v>2080324987</x:v>
      </x:c>
      <x:c r="M114" t="str">
        <x:v>Love Me</x:v>
      </x:c>
      <x:c r="N114" t="str">
        <x:v>37263</x:v>
      </x:c>
      <x:c r="O114" t="str">
        <x:v>JMSN</x:v>
      </x:c>
      <x:c r="P114" t="str">
        <x:v>174285450</x:v>
      </x:c>
      <x:c r="Q114" t="str">
        <x:v>Soft Spot</x:v>
      </x:c>
      <x:c r="R114" t="str">
        <x:v>2023-10-11</x:v>
      </x:c>
      <x:c r="S114" t="str"/>
      <x:c r="T114" t="n">
        <x:v>10</x:v>
      </x:c>
      <x:c r="U114" t="n">
        <x:v>0</x:v>
      </x:c>
      <x:c r="V114" t="str">
        <x:v>https://music.163.com/song?id=2080324987</x:v>
      </x:c>
      <x:c r="W114" t="str">
        <x:v>http://p2.music.126.net/1YV5JGnq3zfddKH6IE1Z3Q==/109951172418838714.jpg</x:v>
      </x:c>
      <x:c r="X114" t="str">
        <x:v>https://music.163.com/discover/toplist?id=19723756</x:v>
      </x:c>
      <x:c r="Y114" t="str">
        <x:v>https://music.163.com/api/playlist/detail?id=19723756&amp;n=100</x:v>
      </x:c>
      <x:c r="Z114" s="24" t="str">
        <x:f>IFERROR(VLOOKUP(F114,'07_字典与参数'!$A$5:$E$10,3,FALSE),"待映射")</x:f>
        <x:v>网易云音乐</x:v>
      </x:c>
      <x:c r="AA114" s="24" t="str">
        <x:f>IFERROR(VLOOKUP(F114,'07_字典与参数'!$A$5:$E$10,2,FALSE),"待映射")</x:f>
        <x:v>飙升榜</x:v>
      </x:c>
      <x:c r="AB114" s="24" t="str">
        <x:f>IFERROR(VLOOKUP(F114,'07_字典与参数'!$A$5:$E$10,4,FALSE),"待映射")</x:f>
        <x:v>每日</x:v>
      </x:c>
      <x:c r="AC114" s="24" t="str">
        <x:f>D114&amp;"|"&amp;F114&amp;"|"&amp;L114</x:f>
        <x:v>netease_cloud_music|rising|2080324987</x:v>
      </x:c>
      <x:c r="AD114" s="24" t="str">
        <x:f>IF(J114&lt;=10,"是","否")</x:f>
        <x:v>是</x:v>
      </x:c>
      <x:c r="AE114" s="24" t="n">
        <x:f>IFERROR(YEAR(R114),"缺失")</x:f>
        <x:v>2023</x:v>
      </x:c>
    </x:row>
    <x:row r="115">
      <x:c r="A115" t="str">
        <x:v>20260812T132133+0800</x:v>
      </x:c>
      <x:c r="B115" t="n">
        <x:v>46246.22329861111</x:v>
      </x:c>
      <x:c r="C115" t="str">
        <x:v>2026-08-12</x:v>
      </x:c>
      <x:c r="D115" t="str">
        <x:v>netease_cloud_music</x:v>
      </x:c>
      <x:c r="E115" t="str">
        <x:v>CN</x:v>
      </x:c>
      <x:c r="F115" t="str">
        <x:v>rising</x:v>
      </x:c>
      <x:c r="G115" t="str">
        <x:v>飙升榜</x:v>
      </x:c>
      <x:c r="H115" t="str">
        <x:v>19723756</x:v>
      </x:c>
      <x:c r="I115" t="n">
        <x:v>100</x:v>
      </x:c>
      <x:c r="J115" t="n">
        <x:v>11</x:v>
      </x:c>
      <x:c r="K115" t="n">
        <x:v>90</x:v>
      </x:c>
      <x:c r="L115" t="str">
        <x:v>3391745632</x:v>
      </x:c>
      <x:c r="M115" t="str">
        <x:v>忘失海</x:v>
      </x:c>
      <x:c r="N115" t="str">
        <x:v>123356605</x:v>
      </x:c>
      <x:c r="O115" t="str">
        <x:v>Caspian</x:v>
      </x:c>
      <x:c r="P115" t="str">
        <x:v>370676155</x:v>
      </x:c>
      <x:c r="Q115" t="str">
        <x:v>轻音乐</x:v>
      </x:c>
      <x:c r="R115" t="str"/>
      <x:c r="S115" t="str"/>
      <x:c r="T115"/>
      <x:c r="U115"/>
      <x:c r="V115" t="str">
        <x:v>https://music.163.com/song?id=3391745632</x:v>
      </x:c>
      <x:c r="W115" t="str">
        <x:v>http://p2.music.126.net/7sLGJMJuRMXrbRX3re84PQ==/109951173040512262.jpg</x:v>
      </x:c>
      <x:c r="X115" t="str">
        <x:v>https://music.163.com/discover/toplist?id=19723756</x:v>
      </x:c>
      <x:c r="Y115" t="str">
        <x:v>https://music.163.com/api/playlist/detail?id=19723756&amp;n=100</x:v>
      </x:c>
      <x:c r="Z115" s="24" t="str">
        <x:f>IFERROR(VLOOKUP(F115,'07_字典与参数'!$A$5:$E$10,3,FALSE),"待映射")</x:f>
        <x:v>网易云音乐</x:v>
      </x:c>
      <x:c r="AA115" s="24" t="str">
        <x:f>IFERROR(VLOOKUP(F115,'07_字典与参数'!$A$5:$E$10,2,FALSE),"待映射")</x:f>
        <x:v>飙升榜</x:v>
      </x:c>
      <x:c r="AB115" s="24" t="str">
        <x:f>IFERROR(VLOOKUP(F115,'07_字典与参数'!$A$5:$E$10,4,FALSE),"待映射")</x:f>
        <x:v>每日</x:v>
      </x:c>
      <x:c r="AC115" s="24" t="str">
        <x:f>D115&amp;"|"&amp;F115&amp;"|"&amp;L115</x:f>
        <x:v>netease_cloud_music|rising|3391745632</x:v>
      </x:c>
      <x:c r="AD115" s="24" t="str">
        <x:f>IF(J115&lt;=10,"是","否")</x:f>
        <x:v>否</x:v>
      </x:c>
      <x:c r="AE115" s="24" t="str">
        <x:f>IFERROR(YEAR(R115),"缺失")</x:f>
        <x:v>缺失</x:v>
      </x:c>
    </x:row>
    <x:row r="116">
      <x:c r="A116" t="str">
        <x:v>20260812T132133+0800</x:v>
      </x:c>
      <x:c r="B116" t="n">
        <x:v>46246.22329861111</x:v>
      </x:c>
      <x:c r="C116" t="str">
        <x:v>2026-08-12</x:v>
      </x:c>
      <x:c r="D116" t="str">
        <x:v>netease_cloud_music</x:v>
      </x:c>
      <x:c r="E116" t="str">
        <x:v>CN</x:v>
      </x:c>
      <x:c r="F116" t="str">
        <x:v>rising</x:v>
      </x:c>
      <x:c r="G116" t="str">
        <x:v>飙升榜</x:v>
      </x:c>
      <x:c r="H116" t="str">
        <x:v>19723756</x:v>
      </x:c>
      <x:c r="I116" t="n">
        <x:v>100</x:v>
      </x:c>
      <x:c r="J116" t="n">
        <x:v>12</x:v>
      </x:c>
      <x:c r="K116" t="n">
        <x:v>89</x:v>
      </x:c>
      <x:c r="L116" t="str">
        <x:v>3416833129</x:v>
      </x:c>
      <x:c r="M116" t="str">
        <x:v>十月的海</x:v>
      </x:c>
      <x:c r="N116" t="str">
        <x:v>56649465</x:v>
      </x:c>
      <x:c r="O116" t="str">
        <x:v>刘子铭zm</x:v>
      </x:c>
      <x:c r="P116" t="str">
        <x:v>390924534</x:v>
      </x:c>
      <x:c r="Q116" t="str">
        <x:v>十月的海</x:v>
      </x:c>
      <x:c r="R116" t="str"/>
      <x:c r="S116" t="str"/>
      <x:c r="T116"/>
      <x:c r="U116"/>
      <x:c r="V116" t="str">
        <x:v>https://music.163.com/song?id=3416833129</x:v>
      </x:c>
      <x:c r="W116" t="str">
        <x:v>http://p2.music.126.net/o_UenYu4FX2ZSp9pXuNC0w==/109951173696304709.jpg</x:v>
      </x:c>
      <x:c r="X116" t="str">
        <x:v>https://music.163.com/discover/toplist?id=19723756</x:v>
      </x:c>
      <x:c r="Y116" t="str">
        <x:v>https://music.163.com/api/playlist/detail?id=19723756&amp;n=100</x:v>
      </x:c>
      <x:c r="Z116" s="24" t="str">
        <x:f>IFERROR(VLOOKUP(F116,'07_字典与参数'!$A$5:$E$10,3,FALSE),"待映射")</x:f>
        <x:v>网易云音乐</x:v>
      </x:c>
      <x:c r="AA116" s="24" t="str">
        <x:f>IFERROR(VLOOKUP(F116,'07_字典与参数'!$A$5:$E$10,2,FALSE),"待映射")</x:f>
        <x:v>飙升榜</x:v>
      </x:c>
      <x:c r="AB116" s="24" t="str">
        <x:f>IFERROR(VLOOKUP(F116,'07_字典与参数'!$A$5:$E$10,4,FALSE),"待映射")</x:f>
        <x:v>每日</x:v>
      </x:c>
      <x:c r="AC116" s="24" t="str">
        <x:f>D116&amp;"|"&amp;F116&amp;"|"&amp;L116</x:f>
        <x:v>netease_cloud_music|rising|3416833129</x:v>
      </x:c>
      <x:c r="AD116" s="24" t="str">
        <x:f>IF(J116&lt;=10,"是","否")</x:f>
        <x:v>否</x:v>
      </x:c>
      <x:c r="AE116" s="24" t="str">
        <x:f>IFERROR(YEAR(R116),"缺失")</x:f>
        <x:v>缺失</x:v>
      </x:c>
    </x:row>
    <x:row r="117">
      <x:c r="A117" t="str">
        <x:v>20260812T132133+0800</x:v>
      </x:c>
      <x:c r="B117" t="n">
        <x:v>46246.22329861111</x:v>
      </x:c>
      <x:c r="C117" t="str">
        <x:v>2026-08-12</x:v>
      </x:c>
      <x:c r="D117" t="str">
        <x:v>netease_cloud_music</x:v>
      </x:c>
      <x:c r="E117" t="str">
        <x:v>CN</x:v>
      </x:c>
      <x:c r="F117" t="str">
        <x:v>rising</x:v>
      </x:c>
      <x:c r="G117" t="str">
        <x:v>飙升榜</x:v>
      </x:c>
      <x:c r="H117" t="str">
        <x:v>19723756</x:v>
      </x:c>
      <x:c r="I117" t="n">
        <x:v>100</x:v>
      </x:c>
      <x:c r="J117" t="n">
        <x:v>13</x:v>
      </x:c>
      <x:c r="K117" t="n">
        <x:v>88</x:v>
      </x:c>
      <x:c r="L117" t="str">
        <x:v>3398249541</x:v>
      </x:c>
      <x:c r="M117" t="str">
        <x:v>反乌托邦×拼接遗憾×Sinos De Natal</x:v>
      </x:c>
      <x:c r="N117" t="str">
        <x:v>100102441 | 122322084 | 12304040</x:v>
      </x:c>
      <x:c r="O117" t="str">
        <x:v>Vince丷 | 见过夏天P | Ciyo</x:v>
      </x:c>
      <x:c r="P117" t="str">
        <x:v>383648098</x:v>
      </x:c>
      <x:c r="Q117" t="str">
        <x:v>红石音乐</x:v>
      </x:c>
      <x:c r="R117" t="str"/>
      <x:c r="S117" t="str"/>
      <x:c r="T117"/>
      <x:c r="U117"/>
      <x:c r="V117" t="str">
        <x:v>https://music.163.com/song?id=3398249541</x:v>
      </x:c>
      <x:c r="W117" t="str">
        <x:v>http://p2.music.126.net/Kk5YxGO0qB_KQx8-uEOL6g==/109951173459347365.jpg</x:v>
      </x:c>
      <x:c r="X117" t="str">
        <x:v>https://music.163.com/discover/toplist?id=19723756</x:v>
      </x:c>
      <x:c r="Y117" t="str">
        <x:v>https://music.163.com/api/playlist/detail?id=19723756&amp;n=100</x:v>
      </x:c>
      <x:c r="Z117" s="24" t="str">
        <x:f>IFERROR(VLOOKUP(F117,'07_字典与参数'!$A$5:$E$10,3,FALSE),"待映射")</x:f>
        <x:v>网易云音乐</x:v>
      </x:c>
      <x:c r="AA117" s="24" t="str">
        <x:f>IFERROR(VLOOKUP(F117,'07_字典与参数'!$A$5:$E$10,2,FALSE),"待映射")</x:f>
        <x:v>飙升榜</x:v>
      </x:c>
      <x:c r="AB117" s="24" t="str">
        <x:f>IFERROR(VLOOKUP(F117,'07_字典与参数'!$A$5:$E$10,4,FALSE),"待映射")</x:f>
        <x:v>每日</x:v>
      </x:c>
      <x:c r="AC117" s="24" t="str">
        <x:f>D117&amp;"|"&amp;F117&amp;"|"&amp;L117</x:f>
        <x:v>netease_cloud_music|rising|3398249541</x:v>
      </x:c>
      <x:c r="AD117" s="24" t="str">
        <x:f>IF(J117&lt;=10,"是","否")</x:f>
        <x:v>否</x:v>
      </x:c>
      <x:c r="AE117" s="24" t="str">
        <x:f>IFERROR(YEAR(R117),"缺失")</x:f>
        <x:v>缺失</x:v>
      </x:c>
    </x:row>
    <x:row r="118">
      <x:c r="A118" t="str">
        <x:v>20260812T132133+0800</x:v>
      </x:c>
      <x:c r="B118" t="n">
        <x:v>46246.22329861111</x:v>
      </x:c>
      <x:c r="C118" t="str">
        <x:v>2026-08-12</x:v>
      </x:c>
      <x:c r="D118" t="str">
        <x:v>netease_cloud_music</x:v>
      </x:c>
      <x:c r="E118" t="str">
        <x:v>CN</x:v>
      </x:c>
      <x:c r="F118" t="str">
        <x:v>rising</x:v>
      </x:c>
      <x:c r="G118" t="str">
        <x:v>飙升榜</x:v>
      </x:c>
      <x:c r="H118" t="str">
        <x:v>19723756</x:v>
      </x:c>
      <x:c r="I118" t="n">
        <x:v>100</x:v>
      </x:c>
      <x:c r="J118" t="n">
        <x:v>14</x:v>
      </x:c>
      <x:c r="K118" t="n">
        <x:v>87</x:v>
      </x:c>
      <x:c r="L118" t="str">
        <x:v>19040381</x:v>
      </x:c>
      <x:c r="M118" t="str">
        <x:v>Pretty Girl Rock</x:v>
      </x:c>
      <x:c r="N118" t="str">
        <x:v>62893</x:v>
      </x:c>
      <x:c r="O118" t="str">
        <x:v>Keri Hilson</x:v>
      </x:c>
      <x:c r="P118" t="str">
        <x:v>1744015</x:v>
      </x:c>
      <x:c r="Q118" t="str">
        <x:v>Pretty Girl Rock</x:v>
      </x:c>
      <x:c r="R118" t="str">
        <x:v>2010-10-12</x:v>
      </x:c>
      <x:c r="S118" t="str"/>
      <x:c r="T118" t="n">
        <x:v>98</x:v>
      </x:c>
      <x:c r="U118" t="n">
        <x:v>84</x:v>
      </x:c>
      <x:c r="V118" t="str">
        <x:v>https://music.163.com/song?id=19040381</x:v>
      </x:c>
      <x:c r="W118" t="str">
        <x:v>http://p2.music.126.net/e_DrPQJRaBrpPjgusz7Gfw==/628920651097528.jpg</x:v>
      </x:c>
      <x:c r="X118" t="str">
        <x:v>https://music.163.com/discover/toplist?id=19723756</x:v>
      </x:c>
      <x:c r="Y118" t="str">
        <x:v>https://music.163.com/api/playlist/detail?id=19723756&amp;n=100</x:v>
      </x:c>
      <x:c r="Z118" s="24" t="str">
        <x:f>IFERROR(VLOOKUP(F118,'07_字典与参数'!$A$5:$E$10,3,FALSE),"待映射")</x:f>
        <x:v>网易云音乐</x:v>
      </x:c>
      <x:c r="AA118" s="24" t="str">
        <x:f>IFERROR(VLOOKUP(F118,'07_字典与参数'!$A$5:$E$10,2,FALSE),"待映射")</x:f>
        <x:v>飙升榜</x:v>
      </x:c>
      <x:c r="AB118" s="24" t="str">
        <x:f>IFERROR(VLOOKUP(F118,'07_字典与参数'!$A$5:$E$10,4,FALSE),"待映射")</x:f>
        <x:v>每日</x:v>
      </x:c>
      <x:c r="AC118" s="24" t="str">
        <x:f>D118&amp;"|"&amp;F118&amp;"|"&amp;L118</x:f>
        <x:v>netease_cloud_music|rising|19040381</x:v>
      </x:c>
      <x:c r="AD118" s="24" t="str">
        <x:f>IF(J118&lt;=10,"是","否")</x:f>
        <x:v>否</x:v>
      </x:c>
      <x:c r="AE118" s="24" t="n">
        <x:f>IFERROR(YEAR(R118),"缺失")</x:f>
        <x:v>2010</x:v>
      </x:c>
    </x:row>
    <x:row r="119">
      <x:c r="A119" t="str">
        <x:v>20260812T132133+0800</x:v>
      </x:c>
      <x:c r="B119" t="n">
        <x:v>46246.22329861111</x:v>
      </x:c>
      <x:c r="C119" t="str">
        <x:v>2026-08-12</x:v>
      </x:c>
      <x:c r="D119" t="str">
        <x:v>netease_cloud_music</x:v>
      </x:c>
      <x:c r="E119" t="str">
        <x:v>CN</x:v>
      </x:c>
      <x:c r="F119" t="str">
        <x:v>rising</x:v>
      </x:c>
      <x:c r="G119" t="str">
        <x:v>飙升榜</x:v>
      </x:c>
      <x:c r="H119" t="str">
        <x:v>19723756</x:v>
      </x:c>
      <x:c r="I119" t="n">
        <x:v>100</x:v>
      </x:c>
      <x:c r="J119" t="n">
        <x:v>15</x:v>
      </x:c>
      <x:c r="K119" t="n">
        <x:v>86</x:v>
      </x:c>
      <x:c r="L119" t="str">
        <x:v>3403297821</x:v>
      </x:c>
      <x:c r="M119" t="str">
        <x:v>倘若你爱一人</x:v>
      </x:c>
      <x:c r="N119" t="str">
        <x:v>12232132</x:v>
      </x:c>
      <x:c r="O119" t="str">
        <x:v>王唯旖</x:v>
      </x:c>
      <x:c r="P119" t="str">
        <x:v>385909998</x:v>
      </x:c>
      <x:c r="Q119" t="str">
        <x:v>倘若你爱一人</x:v>
      </x:c>
      <x:c r="R119" t="str">
        <x:v>2026-07-14</x:v>
      </x:c>
      <x:c r="S119" t="str"/>
      <x:c r="T119"/>
      <x:c r="U119"/>
      <x:c r="V119" t="str">
        <x:v>https://music.163.com/song?id=3403297821</x:v>
      </x:c>
      <x:c r="W119" t="str">
        <x:v>http://p2.music.126.net/2ATobj5oK1sQJNL2gM1mMA==/109951173525995079.jpg</x:v>
      </x:c>
      <x:c r="X119" t="str">
        <x:v>https://music.163.com/discover/toplist?id=19723756</x:v>
      </x:c>
      <x:c r="Y119" t="str">
        <x:v>https://music.163.com/api/playlist/detail?id=19723756&amp;n=100</x:v>
      </x:c>
      <x:c r="Z119" s="24" t="str">
        <x:f>IFERROR(VLOOKUP(F119,'07_字典与参数'!$A$5:$E$10,3,FALSE),"待映射")</x:f>
        <x:v>网易云音乐</x:v>
      </x:c>
      <x:c r="AA119" s="24" t="str">
        <x:f>IFERROR(VLOOKUP(F119,'07_字典与参数'!$A$5:$E$10,2,FALSE),"待映射")</x:f>
        <x:v>飙升榜</x:v>
      </x:c>
      <x:c r="AB119" s="24" t="str">
        <x:f>IFERROR(VLOOKUP(F119,'07_字典与参数'!$A$5:$E$10,4,FALSE),"待映射")</x:f>
        <x:v>每日</x:v>
      </x:c>
      <x:c r="AC119" s="24" t="str">
        <x:f>D119&amp;"|"&amp;F119&amp;"|"&amp;L119</x:f>
        <x:v>netease_cloud_music|rising|3403297821</x:v>
      </x:c>
      <x:c r="AD119" s="24" t="str">
        <x:f>IF(J119&lt;=10,"是","否")</x:f>
        <x:v>否</x:v>
      </x:c>
      <x:c r="AE119" s="24" t="n">
        <x:f>IFERROR(YEAR(R119),"缺失")</x:f>
        <x:v>2026</x:v>
      </x:c>
    </x:row>
    <x:row r="120">
      <x:c r="A120" t="str">
        <x:v>20260812T132133+0800</x:v>
      </x:c>
      <x:c r="B120" t="n">
        <x:v>46246.22329861111</x:v>
      </x:c>
      <x:c r="C120" t="str">
        <x:v>2026-08-12</x:v>
      </x:c>
      <x:c r="D120" t="str">
        <x:v>netease_cloud_music</x:v>
      </x:c>
      <x:c r="E120" t="str">
        <x:v>CN</x:v>
      </x:c>
      <x:c r="F120" t="str">
        <x:v>rising</x:v>
      </x:c>
      <x:c r="G120" t="str">
        <x:v>飙升榜</x:v>
      </x:c>
      <x:c r="H120" t="str">
        <x:v>19723756</x:v>
      </x:c>
      <x:c r="I120" t="n">
        <x:v>100</x:v>
      </x:c>
      <x:c r="J120" t="n">
        <x:v>16</x:v>
      </x:c>
      <x:c r="K120" t="n">
        <x:v>85</x:v>
      </x:c>
      <x:c r="L120" t="str">
        <x:v>3417857540</x:v>
      </x:c>
      <x:c r="M120" t="str">
        <x:v>Pop Off Pop Off</x:v>
      </x:c>
      <x:c r="N120" t="str">
        <x:v>97197815</x:v>
      </x:c>
      <x:c r="O120" t="str">
        <x:v>KiiiKiii</x:v>
      </x:c>
      <x:c r="P120" t="str">
        <x:v>391328479</x:v>
      </x:c>
      <x:c r="Q120" t="str">
        <x:v>WhyKiiiKiii</x:v>
      </x:c>
      <x:c r="R120" t="str"/>
      <x:c r="S120" t="str"/>
      <x:c r="T120" t="n">
        <x:v>9</x:v>
      </x:c>
      <x:c r="U120" t="n">
        <x:v>-7</x:v>
      </x:c>
      <x:c r="V120" t="str">
        <x:v>https://music.163.com/song?id=3417857540</x:v>
      </x:c>
      <x:c r="W120" t="str">
        <x:v>http://p2.music.126.net/WkoRkzt-5-E6g4W1gqN7ZQ==/109951173711211073.jpg</x:v>
      </x:c>
      <x:c r="X120" t="str">
        <x:v>https://music.163.com/discover/toplist?id=19723756</x:v>
      </x:c>
      <x:c r="Y120" t="str">
        <x:v>https://music.163.com/api/playlist/detail?id=19723756&amp;n=100</x:v>
      </x:c>
      <x:c r="Z120" s="24" t="str">
        <x:f>IFERROR(VLOOKUP(F120,'07_字典与参数'!$A$5:$E$10,3,FALSE),"待映射")</x:f>
        <x:v>网易云音乐</x:v>
      </x:c>
      <x:c r="AA120" s="24" t="str">
        <x:f>IFERROR(VLOOKUP(F120,'07_字典与参数'!$A$5:$E$10,2,FALSE),"待映射")</x:f>
        <x:v>飙升榜</x:v>
      </x:c>
      <x:c r="AB120" s="24" t="str">
        <x:f>IFERROR(VLOOKUP(F120,'07_字典与参数'!$A$5:$E$10,4,FALSE),"待映射")</x:f>
        <x:v>每日</x:v>
      </x:c>
      <x:c r="AC120" s="24" t="str">
        <x:f>D120&amp;"|"&amp;F120&amp;"|"&amp;L120</x:f>
        <x:v>netease_cloud_music|rising|3417857540</x:v>
      </x:c>
      <x:c r="AD120" s="24" t="str">
        <x:f>IF(J120&lt;=10,"是","否")</x:f>
        <x:v>否</x:v>
      </x:c>
      <x:c r="AE120" s="24" t="str">
        <x:f>IFERROR(YEAR(R120),"缺失")</x:f>
        <x:v>缺失</x:v>
      </x:c>
    </x:row>
    <x:row r="121">
      <x:c r="A121" t="str">
        <x:v>20260812T132133+0800</x:v>
      </x:c>
      <x:c r="B121" t="n">
        <x:v>46246.22329861111</x:v>
      </x:c>
      <x:c r="C121" t="str">
        <x:v>2026-08-12</x:v>
      </x:c>
      <x:c r="D121" t="str">
        <x:v>netease_cloud_music</x:v>
      </x:c>
      <x:c r="E121" t="str">
        <x:v>CN</x:v>
      </x:c>
      <x:c r="F121" t="str">
        <x:v>rising</x:v>
      </x:c>
      <x:c r="G121" t="str">
        <x:v>飙升榜</x:v>
      </x:c>
      <x:c r="H121" t="str">
        <x:v>19723756</x:v>
      </x:c>
      <x:c r="I121" t="n">
        <x:v>100</x:v>
      </x:c>
      <x:c r="J121" t="n">
        <x:v>17</x:v>
      </x:c>
      <x:c r="K121" t="n">
        <x:v>84</x:v>
      </x:c>
      <x:c r="L121" t="str">
        <x:v>27158959</x:v>
      </x:c>
      <x:c r="M121" t="str">
        <x:v>Come Back To Me</x:v>
      </x:c>
      <x:c r="N121" t="str">
        <x:v>18122</x:v>
      </x:c>
      <x:c r="O121" t="str">
        <x:v>宇多田ヒカル</x:v>
      </x:c>
      <x:c r="P121" t="str">
        <x:v>2589208</x:v>
      </x:c>
      <x:c r="Q121" t="str">
        <x:v>Promo Only: Mainstream Radio, March 2009</x:v>
      </x:c>
      <x:c r="R121" t="str">
        <x:v>2009-03-02</x:v>
      </x:c>
      <x:c r="S121" t="str"/>
      <x:c r="T121" t="n">
        <x:v>51</x:v>
      </x:c>
      <x:c r="U121" t="n">
        <x:v>34</x:v>
      </x:c>
      <x:c r="V121" t="str">
        <x:v>https://music.163.com/song?id=27158959</x:v>
      </x:c>
      <x:c r="W121" t="str">
        <x:v>http://p2.music.126.net/gZdwUZdIF_jF_DHQ1HjVXQ==/2135251581170994.jpg</x:v>
      </x:c>
      <x:c r="X121" t="str">
        <x:v>https://music.163.com/discover/toplist?id=19723756</x:v>
      </x:c>
      <x:c r="Y121" t="str">
        <x:v>https://music.163.com/api/playlist/detail?id=19723756&amp;n=100</x:v>
      </x:c>
      <x:c r="Z121" s="24" t="str">
        <x:f>IFERROR(VLOOKUP(F121,'07_字典与参数'!$A$5:$E$10,3,FALSE),"待映射")</x:f>
        <x:v>网易云音乐</x:v>
      </x:c>
      <x:c r="AA121" s="24" t="str">
        <x:f>IFERROR(VLOOKUP(F121,'07_字典与参数'!$A$5:$E$10,2,FALSE),"待映射")</x:f>
        <x:v>飙升榜</x:v>
      </x:c>
      <x:c r="AB121" s="24" t="str">
        <x:f>IFERROR(VLOOKUP(F121,'07_字典与参数'!$A$5:$E$10,4,FALSE),"待映射")</x:f>
        <x:v>每日</x:v>
      </x:c>
      <x:c r="AC121" s="24" t="str">
        <x:f>D121&amp;"|"&amp;F121&amp;"|"&amp;L121</x:f>
        <x:v>netease_cloud_music|rising|27158959</x:v>
      </x:c>
      <x:c r="AD121" s="24" t="str">
        <x:f>IF(J121&lt;=10,"是","否")</x:f>
        <x:v>否</x:v>
      </x:c>
      <x:c r="AE121" s="24" t="n">
        <x:f>IFERROR(YEAR(R121),"缺失")</x:f>
        <x:v>2009</x:v>
      </x:c>
    </x:row>
    <x:row r="122">
      <x:c r="A122" t="str">
        <x:v>20260812T132133+0800</x:v>
      </x:c>
      <x:c r="B122" t="n">
        <x:v>46246.22329861111</x:v>
      </x:c>
      <x:c r="C122" t="str">
        <x:v>2026-08-12</x:v>
      </x:c>
      <x:c r="D122" t="str">
        <x:v>netease_cloud_music</x:v>
      </x:c>
      <x:c r="E122" t="str">
        <x:v>CN</x:v>
      </x:c>
      <x:c r="F122" t="str">
        <x:v>rising</x:v>
      </x:c>
      <x:c r="G122" t="str">
        <x:v>飙升榜</x:v>
      </x:c>
      <x:c r="H122" t="str">
        <x:v>19723756</x:v>
      </x:c>
      <x:c r="I122" t="n">
        <x:v>100</x:v>
      </x:c>
      <x:c r="J122" t="n">
        <x:v>18</x:v>
      </x:c>
      <x:c r="K122" t="n">
        <x:v>83</x:v>
      </x:c>
      <x:c r="L122" t="str">
        <x:v>2136806746</x:v>
      </x:c>
      <x:c r="M122" t="str">
        <x:v>狗狗</x:v>
      </x:c>
      <x:c r="N122" t="str">
        <x:v>12277473</x:v>
      </x:c>
      <x:c r="O122" t="str">
        <x:v>李大奔BENZO</x:v>
      </x:c>
      <x:c r="P122" t="str">
        <x:v>189277354</x:v>
      </x:c>
      <x:c r="Q122" t="str">
        <x:v>STAY STRONG</x:v>
      </x:c>
      <x:c r="R122" t="str"/>
      <x:c r="S122" t="str"/>
      <x:c r="T122" t="n">
        <x:v>4</x:v>
      </x:c>
      <x:c r="U122" t="n">
        <x:v>-14</x:v>
      </x:c>
      <x:c r="V122" t="str">
        <x:v>https://music.163.com/song?id=2136806746</x:v>
      </x:c>
      <x:c r="W122" t="str">
        <x:v>http://p2.music.126.net/08gifTiSLnI2pEUd_6Gtdw==/109951169421977365.jpg</x:v>
      </x:c>
      <x:c r="X122" t="str">
        <x:v>https://music.163.com/discover/toplist?id=19723756</x:v>
      </x:c>
      <x:c r="Y122" t="str">
        <x:v>https://music.163.com/api/playlist/detail?id=19723756&amp;n=100</x:v>
      </x:c>
      <x:c r="Z122" s="24" t="str">
        <x:f>IFERROR(VLOOKUP(F122,'07_字典与参数'!$A$5:$E$10,3,FALSE),"待映射")</x:f>
        <x:v>网易云音乐</x:v>
      </x:c>
      <x:c r="AA122" s="24" t="str">
        <x:f>IFERROR(VLOOKUP(F122,'07_字典与参数'!$A$5:$E$10,2,FALSE),"待映射")</x:f>
        <x:v>飙升榜</x:v>
      </x:c>
      <x:c r="AB122" s="24" t="str">
        <x:f>IFERROR(VLOOKUP(F122,'07_字典与参数'!$A$5:$E$10,4,FALSE),"待映射")</x:f>
        <x:v>每日</x:v>
      </x:c>
      <x:c r="AC122" s="24" t="str">
        <x:f>D122&amp;"|"&amp;F122&amp;"|"&amp;L122</x:f>
        <x:v>netease_cloud_music|rising|2136806746</x:v>
      </x:c>
      <x:c r="AD122" s="24" t="str">
        <x:f>IF(J122&lt;=10,"是","否")</x:f>
        <x:v>否</x:v>
      </x:c>
      <x:c r="AE122" s="24" t="str">
        <x:f>IFERROR(YEAR(R122),"缺失")</x:f>
        <x:v>缺失</x:v>
      </x:c>
    </x:row>
    <x:row r="123">
      <x:c r="A123" t="str">
        <x:v>20260812T132133+0800</x:v>
      </x:c>
      <x:c r="B123" t="n">
        <x:v>46246.22329861111</x:v>
      </x:c>
      <x:c r="C123" t="str">
        <x:v>2026-08-12</x:v>
      </x:c>
      <x:c r="D123" t="str">
        <x:v>netease_cloud_music</x:v>
      </x:c>
      <x:c r="E123" t="str">
        <x:v>CN</x:v>
      </x:c>
      <x:c r="F123" t="str">
        <x:v>rising</x:v>
      </x:c>
      <x:c r="G123" t="str">
        <x:v>飙升榜</x:v>
      </x:c>
      <x:c r="H123" t="str">
        <x:v>19723756</x:v>
      </x:c>
      <x:c r="I123" t="n">
        <x:v>100</x:v>
      </x:c>
      <x:c r="J123" t="n">
        <x:v>19</x:v>
      </x:c>
      <x:c r="K123" t="n">
        <x:v>82</x:v>
      </x:c>
      <x:c r="L123" t="str">
        <x:v>3417947275</x:v>
      </x:c>
      <x:c r="M123" t="str">
        <x:v>交个朋友 (Live)</x:v>
      </x:c>
      <x:c r="N123" t="str">
        <x:v>35784564</x:v>
      </x:c>
      <x:c r="O123" t="str">
        <x:v>弹壳Danko</x:v>
      </x:c>
      <x:c r="P123" t="str">
        <x:v>391356378</x:v>
      </x:c>
      <x:c r="Q123" t="str">
        <x:v>说唱巅峰对决2026 第七期</x:v>
      </x:c>
      <x:c r="R123" t="str"/>
      <x:c r="S123" t="str"/>
      <x:c r="T123" t="n">
        <x:v>7</x:v>
      </x:c>
      <x:c r="U123" t="n">
        <x:v>-12</x:v>
      </x:c>
      <x:c r="V123" t="str">
        <x:v>https://music.163.com/song?id=3417947275</x:v>
      </x:c>
      <x:c r="W123" t="str">
        <x:v>http://p2.music.126.net/CafsjsiaYiHTlnka1Bna9g==/109951173712120187.jpg</x:v>
      </x:c>
      <x:c r="X123" t="str">
        <x:v>https://music.163.com/discover/toplist?id=19723756</x:v>
      </x:c>
      <x:c r="Y123" t="str">
        <x:v>https://music.163.com/api/playlist/detail?id=19723756&amp;n=100</x:v>
      </x:c>
      <x:c r="Z123" s="24" t="str">
        <x:f>IFERROR(VLOOKUP(F123,'07_字典与参数'!$A$5:$E$10,3,FALSE),"待映射")</x:f>
        <x:v>网易云音乐</x:v>
      </x:c>
      <x:c r="AA123" s="24" t="str">
        <x:f>IFERROR(VLOOKUP(F123,'07_字典与参数'!$A$5:$E$10,2,FALSE),"待映射")</x:f>
        <x:v>飙升榜</x:v>
      </x:c>
      <x:c r="AB123" s="24" t="str">
        <x:f>IFERROR(VLOOKUP(F123,'07_字典与参数'!$A$5:$E$10,4,FALSE),"待映射")</x:f>
        <x:v>每日</x:v>
      </x:c>
      <x:c r="AC123" s="24" t="str">
        <x:f>D123&amp;"|"&amp;F123&amp;"|"&amp;L123</x:f>
        <x:v>netease_cloud_music|rising|3417947275</x:v>
      </x:c>
      <x:c r="AD123" s="24" t="str">
        <x:f>IF(J123&lt;=10,"是","否")</x:f>
        <x:v>否</x:v>
      </x:c>
      <x:c r="AE123" s="24" t="str">
        <x:f>IFERROR(YEAR(R123),"缺失")</x:f>
        <x:v>缺失</x:v>
      </x:c>
    </x:row>
    <x:row r="124">
      <x:c r="A124" t="str">
        <x:v>20260812T132133+0800</x:v>
      </x:c>
      <x:c r="B124" t="n">
        <x:v>46246.22329861111</x:v>
      </x:c>
      <x:c r="C124" t="str">
        <x:v>2026-08-12</x:v>
      </x:c>
      <x:c r="D124" t="str">
        <x:v>netease_cloud_music</x:v>
      </x:c>
      <x:c r="E124" t="str">
        <x:v>CN</x:v>
      </x:c>
      <x:c r="F124" t="str">
        <x:v>rising</x:v>
      </x:c>
      <x:c r="G124" t="str">
        <x:v>飙升榜</x:v>
      </x:c>
      <x:c r="H124" t="str">
        <x:v>19723756</x:v>
      </x:c>
      <x:c r="I124" t="n">
        <x:v>100</x:v>
      </x:c>
      <x:c r="J124" t="n">
        <x:v>20</x:v>
      </x:c>
      <x:c r="K124" t="n">
        <x:v>81</x:v>
      </x:c>
      <x:c r="L124" t="str">
        <x:v>3413660014</x:v>
      </x:c>
      <x:c r="M124" t="str">
        <x:v>if you</x:v>
      </x:c>
      <x:c r="N124" t="str">
        <x:v>94514109 | 98724675</x:v>
      </x:c>
      <x:c r="O124" t="str">
        <x:v>Kyle衫子 | WHICHWAY_MUSIC</x:v>
      </x:c>
      <x:c r="P124" t="str">
        <x:v>389826922</x:v>
      </x:c>
      <x:c r="Q124" t="str">
        <x:v>if you</x:v>
      </x:c>
      <x:c r="R124" t="str">
        <x:v>2026-08-02</x:v>
      </x:c>
      <x:c r="S124" t="str"/>
      <x:c r="T124"/>
      <x:c r="U124"/>
      <x:c r="V124" t="str">
        <x:v>https://music.163.com/song?id=3413660014</x:v>
      </x:c>
      <x:c r="W124" t="str">
        <x:v>http://p2.music.126.net/RZg4gNkwbnQWNTEGa2fGSw==/109951173662654043.jpg</x:v>
      </x:c>
      <x:c r="X124" t="str">
        <x:v>https://music.163.com/discover/toplist?id=19723756</x:v>
      </x:c>
      <x:c r="Y124" t="str">
        <x:v>https://music.163.com/api/playlist/detail?id=19723756&amp;n=100</x:v>
      </x:c>
      <x:c r="Z124" s="24" t="str">
        <x:f>IFERROR(VLOOKUP(F124,'07_字典与参数'!$A$5:$E$10,3,FALSE),"待映射")</x:f>
        <x:v>网易云音乐</x:v>
      </x:c>
      <x:c r="AA124" s="24" t="str">
        <x:f>IFERROR(VLOOKUP(F124,'07_字典与参数'!$A$5:$E$10,2,FALSE),"待映射")</x:f>
        <x:v>飙升榜</x:v>
      </x:c>
      <x:c r="AB124" s="24" t="str">
        <x:f>IFERROR(VLOOKUP(F124,'07_字典与参数'!$A$5:$E$10,4,FALSE),"待映射")</x:f>
        <x:v>每日</x:v>
      </x:c>
      <x:c r="AC124" s="24" t="str">
        <x:f>D124&amp;"|"&amp;F124&amp;"|"&amp;L124</x:f>
        <x:v>netease_cloud_music|rising|3413660014</x:v>
      </x:c>
      <x:c r="AD124" s="24" t="str">
        <x:f>IF(J124&lt;=10,"是","否")</x:f>
        <x:v>否</x:v>
      </x:c>
      <x:c r="AE124" s="24" t="n">
        <x:f>IFERROR(YEAR(R124),"缺失")</x:f>
        <x:v>2026</x:v>
      </x:c>
    </x:row>
    <x:row r="125">
      <x:c r="A125" t="str">
        <x:v>20260812T132133+0800</x:v>
      </x:c>
      <x:c r="B125" t="n">
        <x:v>46246.22329861111</x:v>
      </x:c>
      <x:c r="C125" t="str">
        <x:v>2026-08-12</x:v>
      </x:c>
      <x:c r="D125" t="str">
        <x:v>netease_cloud_music</x:v>
      </x:c>
      <x:c r="E125" t="str">
        <x:v>CN</x:v>
      </x:c>
      <x:c r="F125" t="str">
        <x:v>rising</x:v>
      </x:c>
      <x:c r="G125" t="str">
        <x:v>飙升榜</x:v>
      </x:c>
      <x:c r="H125" t="str">
        <x:v>19723756</x:v>
      </x:c>
      <x:c r="I125" t="n">
        <x:v>100</x:v>
      </x:c>
      <x:c r="J125" t="n">
        <x:v>21</x:v>
      </x:c>
      <x:c r="K125" t="n">
        <x:v>80</x:v>
      </x:c>
      <x:c r="L125" t="str">
        <x:v>254059</x:v>
      </x:c>
      <x:c r="M125" t="str">
        <x:v>情歌</x:v>
      </x:c>
      <x:c r="N125" t="str">
        <x:v>8325</x:v>
      </x:c>
      <x:c r="O125" t="str">
        <x:v>梁静茹</x:v>
      </x:c>
      <x:c r="P125" t="str">
        <x:v>25381</x:v>
      </x:c>
      <x:c r="Q125" t="str">
        <x:v>现在开始我爱你</x:v>
      </x:c>
      <x:c r="R125" t="str">
        <x:v>2011-02-01</x:v>
      </x:c>
      <x:c r="S125" t="str"/>
      <x:c r="T125" t="n">
        <x:v>47</x:v>
      </x:c>
      <x:c r="U125" t="n">
        <x:v>26</x:v>
      </x:c>
      <x:c r="V125" t="str">
        <x:v>https://music.163.com/song?id=254059</x:v>
      </x:c>
      <x:c r="W125" t="str">
        <x:v>http://p1.music.126.net/QKCkMMW_fPDcczRNb0qZyg==/109951168163257789.jpg</x:v>
      </x:c>
      <x:c r="X125" t="str">
        <x:v>https://music.163.com/discover/toplist?id=19723756</x:v>
      </x:c>
      <x:c r="Y125" t="str">
        <x:v>https://music.163.com/api/playlist/detail?id=19723756&amp;n=100</x:v>
      </x:c>
      <x:c r="Z125" s="24" t="str">
        <x:f>IFERROR(VLOOKUP(F125,'07_字典与参数'!$A$5:$E$10,3,FALSE),"待映射")</x:f>
        <x:v>网易云音乐</x:v>
      </x:c>
      <x:c r="AA125" s="24" t="str">
        <x:f>IFERROR(VLOOKUP(F125,'07_字典与参数'!$A$5:$E$10,2,FALSE),"待映射")</x:f>
        <x:v>飙升榜</x:v>
      </x:c>
      <x:c r="AB125" s="24" t="str">
        <x:f>IFERROR(VLOOKUP(F125,'07_字典与参数'!$A$5:$E$10,4,FALSE),"待映射")</x:f>
        <x:v>每日</x:v>
      </x:c>
      <x:c r="AC125" s="24" t="str">
        <x:f>D125&amp;"|"&amp;F125&amp;"|"&amp;L125</x:f>
        <x:v>netease_cloud_music|rising|254059</x:v>
      </x:c>
      <x:c r="AD125" s="24" t="str">
        <x:f>IF(J125&lt;=10,"是","否")</x:f>
        <x:v>否</x:v>
      </x:c>
      <x:c r="AE125" s="24" t="n">
        <x:f>IFERROR(YEAR(R125),"缺失")</x:f>
        <x:v>2011</x:v>
      </x:c>
    </x:row>
    <x:row r="126">
      <x:c r="A126" t="str">
        <x:v>20260812T132133+0800</x:v>
      </x:c>
      <x:c r="B126" t="n">
        <x:v>46246.22329861111</x:v>
      </x:c>
      <x:c r="C126" t="str">
        <x:v>2026-08-12</x:v>
      </x:c>
      <x:c r="D126" t="str">
        <x:v>netease_cloud_music</x:v>
      </x:c>
      <x:c r="E126" t="str">
        <x:v>CN</x:v>
      </x:c>
      <x:c r="F126" t="str">
        <x:v>rising</x:v>
      </x:c>
      <x:c r="G126" t="str">
        <x:v>飙升榜</x:v>
      </x:c>
      <x:c r="H126" t="str">
        <x:v>19723756</x:v>
      </x:c>
      <x:c r="I126" t="n">
        <x:v>100</x:v>
      </x:c>
      <x:c r="J126" t="n">
        <x:v>22</x:v>
      </x:c>
      <x:c r="K126" t="n">
        <x:v>79</x:v>
      </x:c>
      <x:c r="L126" t="str">
        <x:v>3365981182</x:v>
      </x:c>
      <x:c r="M126" t="str">
        <x:v>CTRL-X</x:v>
      </x:c>
      <x:c r="N126" t="str">
        <x:v>49810615</x:v>
      </x:c>
      <x:c r="O126" t="str">
        <x:v>RANGE</x:v>
      </x:c>
      <x:c r="P126" t="str">
        <x:v>369048783</x:v>
      </x:c>
      <x:c r="Q126" t="str">
        <x:v>CTRL-X</x:v>
      </x:c>
      <x:c r="R126" t="str">
        <x:v>2026-04-02</x:v>
      </x:c>
      <x:c r="S126" t="str"/>
      <x:c r="T126"/>
      <x:c r="U126"/>
      <x:c r="V126" t="str">
        <x:v>https://music.163.com/song?id=3365981182</x:v>
      </x:c>
      <x:c r="W126" t="str">
        <x:v>http://p1.music.126.net/99ltNpTGOGYfe-HDHqKDZA==/109951172983518932.jpg</x:v>
      </x:c>
      <x:c r="X126" t="str">
        <x:v>https://music.163.com/discover/toplist?id=19723756</x:v>
      </x:c>
      <x:c r="Y126" t="str">
        <x:v>https://music.163.com/api/playlist/detail?id=19723756&amp;n=100</x:v>
      </x:c>
      <x:c r="Z126" s="24" t="str">
        <x:f>IFERROR(VLOOKUP(F126,'07_字典与参数'!$A$5:$E$10,3,FALSE),"待映射")</x:f>
        <x:v>网易云音乐</x:v>
      </x:c>
      <x:c r="AA126" s="24" t="str">
        <x:f>IFERROR(VLOOKUP(F126,'07_字典与参数'!$A$5:$E$10,2,FALSE),"待映射")</x:f>
        <x:v>飙升榜</x:v>
      </x:c>
      <x:c r="AB126" s="24" t="str">
        <x:f>IFERROR(VLOOKUP(F126,'07_字典与参数'!$A$5:$E$10,4,FALSE),"待映射")</x:f>
        <x:v>每日</x:v>
      </x:c>
      <x:c r="AC126" s="24" t="str">
        <x:f>D126&amp;"|"&amp;F126&amp;"|"&amp;L126</x:f>
        <x:v>netease_cloud_music|rising|3365981182</x:v>
      </x:c>
      <x:c r="AD126" s="24" t="str">
        <x:f>IF(J126&lt;=10,"是","否")</x:f>
        <x:v>否</x:v>
      </x:c>
      <x:c r="AE126" s="24" t="n">
        <x:f>IFERROR(YEAR(R126),"缺失")</x:f>
        <x:v>2026</x:v>
      </x:c>
    </x:row>
    <x:row r="127">
      <x:c r="A127" t="str">
        <x:v>20260812T132133+0800</x:v>
      </x:c>
      <x:c r="B127" t="n">
        <x:v>46246.22329861111</x:v>
      </x:c>
      <x:c r="C127" t="str">
        <x:v>2026-08-12</x:v>
      </x:c>
      <x:c r="D127" t="str">
        <x:v>netease_cloud_music</x:v>
      </x:c>
      <x:c r="E127" t="str">
        <x:v>CN</x:v>
      </x:c>
      <x:c r="F127" t="str">
        <x:v>rising</x:v>
      </x:c>
      <x:c r="G127" t="str">
        <x:v>飙升榜</x:v>
      </x:c>
      <x:c r="H127" t="str">
        <x:v>19723756</x:v>
      </x:c>
      <x:c r="I127" t="n">
        <x:v>100</x:v>
      </x:c>
      <x:c r="J127" t="n">
        <x:v>23</x:v>
      </x:c>
      <x:c r="K127" t="n">
        <x:v>78</x:v>
      </x:c>
      <x:c r="L127" t="str">
        <x:v>3368411828</x:v>
      </x:c>
      <x:c r="M127" t="str">
        <x:v>Evoira II</x:v>
      </x:c>
      <x:c r="N127" t="str">
        <x:v>49810615</x:v>
      </x:c>
      <x:c r="O127" t="str">
        <x:v>RANGE</x:v>
      </x:c>
      <x:c r="P127" t="str">
        <x:v>370186998</x:v>
      </x:c>
      <x:c r="Q127" t="str">
        <x:v>Evoira II</x:v>
      </x:c>
      <x:c r="R127" t="str">
        <x:v>2026-04-09</x:v>
      </x:c>
      <x:c r="S127" t="str"/>
      <x:c r="T127"/>
      <x:c r="U127"/>
      <x:c r="V127" t="str">
        <x:v>https://music.163.com/song?id=3368411828</x:v>
      </x:c>
      <x:c r="W127" t="str">
        <x:v>http://p1.music.126.net/jVsOkc4fZCPZOIjAxlIEiA==/109951173022370398.jpg</x:v>
      </x:c>
      <x:c r="X127" t="str">
        <x:v>https://music.163.com/discover/toplist?id=19723756</x:v>
      </x:c>
      <x:c r="Y127" t="str">
        <x:v>https://music.163.com/api/playlist/detail?id=19723756&amp;n=100</x:v>
      </x:c>
      <x:c r="Z127" s="24" t="str">
        <x:f>IFERROR(VLOOKUP(F127,'07_字典与参数'!$A$5:$E$10,3,FALSE),"待映射")</x:f>
        <x:v>网易云音乐</x:v>
      </x:c>
      <x:c r="AA127" s="24" t="str">
        <x:f>IFERROR(VLOOKUP(F127,'07_字典与参数'!$A$5:$E$10,2,FALSE),"待映射")</x:f>
        <x:v>飙升榜</x:v>
      </x:c>
      <x:c r="AB127" s="24" t="str">
        <x:f>IFERROR(VLOOKUP(F127,'07_字典与参数'!$A$5:$E$10,4,FALSE),"待映射")</x:f>
        <x:v>每日</x:v>
      </x:c>
      <x:c r="AC127" s="24" t="str">
        <x:f>D127&amp;"|"&amp;F127&amp;"|"&amp;L127</x:f>
        <x:v>netease_cloud_music|rising|3368411828</x:v>
      </x:c>
      <x:c r="AD127" s="24" t="str">
        <x:f>IF(J127&lt;=10,"是","否")</x:f>
        <x:v>否</x:v>
      </x:c>
      <x:c r="AE127" s="24" t="n">
        <x:f>IFERROR(YEAR(R127),"缺失")</x:f>
        <x:v>2026</x:v>
      </x:c>
    </x:row>
    <x:row r="128">
      <x:c r="A128" t="str">
        <x:v>20260812T132133+0800</x:v>
      </x:c>
      <x:c r="B128" t="n">
        <x:v>46246.22329861111</x:v>
      </x:c>
      <x:c r="C128" t="str">
        <x:v>2026-08-12</x:v>
      </x:c>
      <x:c r="D128" t="str">
        <x:v>netease_cloud_music</x:v>
      </x:c>
      <x:c r="E128" t="str">
        <x:v>CN</x:v>
      </x:c>
      <x:c r="F128" t="str">
        <x:v>rising</x:v>
      </x:c>
      <x:c r="G128" t="str">
        <x:v>飙升榜</x:v>
      </x:c>
      <x:c r="H128" t="str">
        <x:v>19723756</x:v>
      </x:c>
      <x:c r="I128" t="n">
        <x:v>100</x:v>
      </x:c>
      <x:c r="J128" t="n">
        <x:v>24</x:v>
      </x:c>
      <x:c r="K128" t="n">
        <x:v>77</x:v>
      </x:c>
      <x:c r="L128" t="str">
        <x:v>239364</x:v>
      </x:c>
      <x:c r="M128" t="str">
        <x:v>热气球</x:v>
      </x:c>
      <x:c r="N128" t="str">
        <x:v>7897</x:v>
      </x:c>
      <x:c r="O128" t="str">
        <x:v>黄淑惠</x:v>
      </x:c>
      <x:c r="P128" t="str">
        <x:v>23988</x:v>
      </x:c>
      <x:c r="Q128" t="str">
        <x:v>情人日记</x:v>
      </x:c>
      <x:c r="R128" t="str">
        <x:v>2006-06-15</x:v>
      </x:c>
      <x:c r="S128" t="str"/>
      <x:c r="T128" t="n">
        <x:v>83</x:v>
      </x:c>
      <x:c r="U128" t="n">
        <x:v>59</x:v>
      </x:c>
      <x:c r="V128" t="str">
        <x:v>https://music.163.com/song?id=239364</x:v>
      </x:c>
      <x:c r="W128" t="str">
        <x:v>http://p1.music.126.net/xjOh3uc-xtTOiJjYl8kTcA==/109951171890561604.jpg</x:v>
      </x:c>
      <x:c r="X128" t="str">
        <x:v>https://music.163.com/discover/toplist?id=19723756</x:v>
      </x:c>
      <x:c r="Y128" t="str">
        <x:v>https://music.163.com/api/playlist/detail?id=19723756&amp;n=100</x:v>
      </x:c>
      <x:c r="Z128" s="24" t="str">
        <x:f>IFERROR(VLOOKUP(F128,'07_字典与参数'!$A$5:$E$10,3,FALSE),"待映射")</x:f>
        <x:v>网易云音乐</x:v>
      </x:c>
      <x:c r="AA128" s="24" t="str">
        <x:f>IFERROR(VLOOKUP(F128,'07_字典与参数'!$A$5:$E$10,2,FALSE),"待映射")</x:f>
        <x:v>飙升榜</x:v>
      </x:c>
      <x:c r="AB128" s="24" t="str">
        <x:f>IFERROR(VLOOKUP(F128,'07_字典与参数'!$A$5:$E$10,4,FALSE),"待映射")</x:f>
        <x:v>每日</x:v>
      </x:c>
      <x:c r="AC128" s="24" t="str">
        <x:f>D128&amp;"|"&amp;F128&amp;"|"&amp;L128</x:f>
        <x:v>netease_cloud_music|rising|239364</x:v>
      </x:c>
      <x:c r="AD128" s="24" t="str">
        <x:f>IF(J128&lt;=10,"是","否")</x:f>
        <x:v>否</x:v>
      </x:c>
      <x:c r="AE128" s="24" t="n">
        <x:f>IFERROR(YEAR(R128),"缺失")</x:f>
        <x:v>2006</x:v>
      </x:c>
    </x:row>
    <x:row r="129">
      <x:c r="A129" t="str">
        <x:v>20260812T132133+0800</x:v>
      </x:c>
      <x:c r="B129" t="n">
        <x:v>46246.22329861111</x:v>
      </x:c>
      <x:c r="C129" t="str">
        <x:v>2026-08-12</x:v>
      </x:c>
      <x:c r="D129" t="str">
        <x:v>netease_cloud_music</x:v>
      </x:c>
      <x:c r="E129" t="str">
        <x:v>CN</x:v>
      </x:c>
      <x:c r="F129" t="str">
        <x:v>rising</x:v>
      </x:c>
      <x:c r="G129" t="str">
        <x:v>飙升榜</x:v>
      </x:c>
      <x:c r="H129" t="str">
        <x:v>19723756</x:v>
      </x:c>
      <x:c r="I129" t="n">
        <x:v>100</x:v>
      </x:c>
      <x:c r="J129" t="n">
        <x:v>25</x:v>
      </x:c>
      <x:c r="K129" t="n">
        <x:v>76</x:v>
      </x:c>
      <x:c r="L129" t="str">
        <x:v>3401123804</x:v>
      </x:c>
      <x:c r="M129" t="str">
        <x:v>Gap in Shanghai Rainy Days</x:v>
      </x:c>
      <x:c r="N129" t="str">
        <x:v>12270600</x:v>
      </x:c>
      <x:c r="O129" t="str">
        <x:v>王耳文</x:v>
      </x:c>
      <x:c r="P129" t="str">
        <x:v>385025423</x:v>
      </x:c>
      <x:c r="Q129" t="str">
        <x:v>Gap in Shanghai Rainy Days</x:v>
      </x:c>
      <x:c r="R129" t="str"/>
      <x:c r="S129" t="str"/>
      <x:c r="T129" t="n">
        <x:v>95</x:v>
      </x:c>
      <x:c r="U129" t="n">
        <x:v>70</x:v>
      </x:c>
      <x:c r="V129" t="str">
        <x:v>https://music.163.com/song?id=3401123804</x:v>
      </x:c>
      <x:c r="W129" t="str">
        <x:v>http://p1.music.126.net/LXhsqrwy_pClQhv0hrM6eg==/109951173499171923.jpg</x:v>
      </x:c>
      <x:c r="X129" t="str">
        <x:v>https://music.163.com/discover/toplist?id=19723756</x:v>
      </x:c>
      <x:c r="Y129" t="str">
        <x:v>https://music.163.com/api/playlist/detail?id=19723756&amp;n=100</x:v>
      </x:c>
      <x:c r="Z129" s="24" t="str">
        <x:f>IFERROR(VLOOKUP(F129,'07_字典与参数'!$A$5:$E$10,3,FALSE),"待映射")</x:f>
        <x:v>网易云音乐</x:v>
      </x:c>
      <x:c r="AA129" s="24" t="str">
        <x:f>IFERROR(VLOOKUP(F129,'07_字典与参数'!$A$5:$E$10,2,FALSE),"待映射")</x:f>
        <x:v>飙升榜</x:v>
      </x:c>
      <x:c r="AB129" s="24" t="str">
        <x:f>IFERROR(VLOOKUP(F129,'07_字典与参数'!$A$5:$E$10,4,FALSE),"待映射")</x:f>
        <x:v>每日</x:v>
      </x:c>
      <x:c r="AC129" s="24" t="str">
        <x:f>D129&amp;"|"&amp;F129&amp;"|"&amp;L129</x:f>
        <x:v>netease_cloud_music|rising|3401123804</x:v>
      </x:c>
      <x:c r="AD129" s="24" t="str">
        <x:f>IF(J129&lt;=10,"是","否")</x:f>
        <x:v>否</x:v>
      </x:c>
      <x:c r="AE129" s="24" t="str">
        <x:f>IFERROR(YEAR(R129),"缺失")</x:f>
        <x:v>缺失</x:v>
      </x:c>
    </x:row>
    <x:row r="130">
      <x:c r="A130" t="str">
        <x:v>20260812T132133+0800</x:v>
      </x:c>
      <x:c r="B130" t="n">
        <x:v>46246.22329861111</x:v>
      </x:c>
      <x:c r="C130" t="str">
        <x:v>2026-08-12</x:v>
      </x:c>
      <x:c r="D130" t="str">
        <x:v>netease_cloud_music</x:v>
      </x:c>
      <x:c r="E130" t="str">
        <x:v>CN</x:v>
      </x:c>
      <x:c r="F130" t="str">
        <x:v>rising</x:v>
      </x:c>
      <x:c r="G130" t="str">
        <x:v>飙升榜</x:v>
      </x:c>
      <x:c r="H130" t="str">
        <x:v>19723756</x:v>
      </x:c>
      <x:c r="I130" t="n">
        <x:v>100</x:v>
      </x:c>
      <x:c r="J130" t="n">
        <x:v>26</x:v>
      </x:c>
      <x:c r="K130" t="n">
        <x:v>75</x:v>
      </x:c>
      <x:c r="L130" t="str">
        <x:v>1400259397</x:v>
      </x:c>
      <x:c r="M130" t="str">
        <x:v>有我呢</x:v>
      </x:c>
      <x:c r="N130" t="str">
        <x:v>2987</x:v>
      </x:c>
      <x:c r="O130" t="str">
        <x:v>郭一凡</x:v>
      </x:c>
      <x:c r="P130" t="str">
        <x:v>82895332</x:v>
      </x:c>
      <x:c r="Q130" t="str">
        <x:v>重返地球</x:v>
      </x:c>
      <x:c r="R130" t="str">
        <x:v>2019-11-01</x:v>
      </x:c>
      <x:c r="S130" t="str"/>
      <x:c r="T130"/>
      <x:c r="U130"/>
      <x:c r="V130" t="str">
        <x:v>https://music.163.com/song?id=1400259397</x:v>
      </x:c>
      <x:c r="W130" t="str">
        <x:v>http://p1.music.126.net/CxKHp_goUxcFpl8b5VarWw==/109951173687657490.jpg</x:v>
      </x:c>
      <x:c r="X130" t="str">
        <x:v>https://music.163.com/discover/toplist?id=19723756</x:v>
      </x:c>
      <x:c r="Y130" t="str">
        <x:v>https://music.163.com/api/playlist/detail?id=19723756&amp;n=100</x:v>
      </x:c>
      <x:c r="Z130" s="24" t="str">
        <x:f>IFERROR(VLOOKUP(F130,'07_字典与参数'!$A$5:$E$10,3,FALSE),"待映射")</x:f>
        <x:v>网易云音乐</x:v>
      </x:c>
      <x:c r="AA130" s="24" t="str">
        <x:f>IFERROR(VLOOKUP(F130,'07_字典与参数'!$A$5:$E$10,2,FALSE),"待映射")</x:f>
        <x:v>飙升榜</x:v>
      </x:c>
      <x:c r="AB130" s="24" t="str">
        <x:f>IFERROR(VLOOKUP(F130,'07_字典与参数'!$A$5:$E$10,4,FALSE),"待映射")</x:f>
        <x:v>每日</x:v>
      </x:c>
      <x:c r="AC130" s="24" t="str">
        <x:f>D130&amp;"|"&amp;F130&amp;"|"&amp;L130</x:f>
        <x:v>netease_cloud_music|rising|1400259397</x:v>
      </x:c>
      <x:c r="AD130" s="24" t="str">
        <x:f>IF(J130&lt;=10,"是","否")</x:f>
        <x:v>否</x:v>
      </x:c>
      <x:c r="AE130" s="24" t="n">
        <x:f>IFERROR(YEAR(R130),"缺失")</x:f>
        <x:v>2019</x:v>
      </x:c>
    </x:row>
    <x:row r="131">
      <x:c r="A131" t="str">
        <x:v>20260812T132133+0800</x:v>
      </x:c>
      <x:c r="B131" t="n">
        <x:v>46246.22329861111</x:v>
      </x:c>
      <x:c r="C131" t="str">
        <x:v>2026-08-12</x:v>
      </x:c>
      <x:c r="D131" t="str">
        <x:v>netease_cloud_music</x:v>
      </x:c>
      <x:c r="E131" t="str">
        <x:v>CN</x:v>
      </x:c>
      <x:c r="F131" t="str">
        <x:v>rising</x:v>
      </x:c>
      <x:c r="G131" t="str">
        <x:v>飙升榜</x:v>
      </x:c>
      <x:c r="H131" t="str">
        <x:v>19723756</x:v>
      </x:c>
      <x:c r="I131" t="n">
        <x:v>100</x:v>
      </x:c>
      <x:c r="J131" t="n">
        <x:v>27</x:v>
      </x:c>
      <x:c r="K131" t="n">
        <x:v>74</x:v>
      </x:c>
      <x:c r="L131" t="str">
        <x:v>3417910003</x:v>
      </x:c>
      <x:c r="M131" t="str">
        <x:v>祈神怜</x:v>
      </x:c>
      <x:c r="N131" t="str">
        <x:v>34787967</x:v>
      </x:c>
      <x:c r="O131" t="str">
        <x:v>一颗狼星</x:v>
      </x:c>
      <x:c r="P131" t="str">
        <x:v>391344828</x:v>
      </x:c>
      <x:c r="Q131" t="str">
        <x:v>祈神怜</x:v>
      </x:c>
      <x:c r="R131" t="str">
        <x:v>2026-08-11</x:v>
      </x:c>
      <x:c r="S131" t="str"/>
      <x:c r="T131"/>
      <x:c r="U131"/>
      <x:c r="V131" t="str">
        <x:v>https://music.163.com/song?id=3417910003</x:v>
      </x:c>
      <x:c r="W131" t="str">
        <x:v>http://p1.music.126.net/71usP8Hn-AdB514PB36uPA==/109951173733556099.jpg</x:v>
      </x:c>
      <x:c r="X131" t="str">
        <x:v>https://music.163.com/discover/toplist?id=19723756</x:v>
      </x:c>
      <x:c r="Y131" t="str">
        <x:v>https://music.163.com/api/playlist/detail?id=19723756&amp;n=100</x:v>
      </x:c>
      <x:c r="Z131" s="24" t="str">
        <x:f>IFERROR(VLOOKUP(F131,'07_字典与参数'!$A$5:$E$10,3,FALSE),"待映射")</x:f>
        <x:v>网易云音乐</x:v>
      </x:c>
      <x:c r="AA131" s="24" t="str">
        <x:f>IFERROR(VLOOKUP(F131,'07_字典与参数'!$A$5:$E$10,2,FALSE),"待映射")</x:f>
        <x:v>飙升榜</x:v>
      </x:c>
      <x:c r="AB131" s="24" t="str">
        <x:f>IFERROR(VLOOKUP(F131,'07_字典与参数'!$A$5:$E$10,4,FALSE),"待映射")</x:f>
        <x:v>每日</x:v>
      </x:c>
      <x:c r="AC131" s="24" t="str">
        <x:f>D131&amp;"|"&amp;F131&amp;"|"&amp;L131</x:f>
        <x:v>netease_cloud_music|rising|3417910003</x:v>
      </x:c>
      <x:c r="AD131" s="24" t="str">
        <x:f>IF(J131&lt;=10,"是","否")</x:f>
        <x:v>否</x:v>
      </x:c>
      <x:c r="AE131" s="24" t="n">
        <x:f>IFERROR(YEAR(R131),"缺失")</x:f>
        <x:v>2026</x:v>
      </x:c>
    </x:row>
    <x:row r="132">
      <x:c r="A132" t="str">
        <x:v>20260812T132133+0800</x:v>
      </x:c>
      <x:c r="B132" t="n">
        <x:v>46246.22329861111</x:v>
      </x:c>
      <x:c r="C132" t="str">
        <x:v>2026-08-12</x:v>
      </x:c>
      <x:c r="D132" t="str">
        <x:v>netease_cloud_music</x:v>
      </x:c>
      <x:c r="E132" t="str">
        <x:v>CN</x:v>
      </x:c>
      <x:c r="F132" t="str">
        <x:v>rising</x:v>
      </x:c>
      <x:c r="G132" t="str">
        <x:v>飙升榜</x:v>
      </x:c>
      <x:c r="H132" t="str">
        <x:v>19723756</x:v>
      </x:c>
      <x:c r="I132" t="n">
        <x:v>100</x:v>
      </x:c>
      <x:c r="J132" t="n">
        <x:v>28</x:v>
      </x:c>
      <x:c r="K132" t="n">
        <x:v>73</x:v>
      </x:c>
      <x:c r="L132" t="str">
        <x:v>3414473442</x:v>
      </x:c>
      <x:c r="M132" t="str">
        <x:v>野草 (Live)</x:v>
      </x:c>
      <x:c r="N132" t="str">
        <x:v>166014</x:v>
      </x:c>
      <x:c r="O132" t="str">
        <x:v>金志文</x:v>
      </x:c>
      <x:c r="P132" t="str">
        <x:v>390097848</x:v>
      </x:c>
      <x:c r="Q132" t="str">
        <x:v>国乐无双 第10期</x:v>
      </x:c>
      <x:c r="R132" t="str"/>
      <x:c r="S132" t="str"/>
      <x:c r="T132"/>
      <x:c r="U132"/>
      <x:c r="V132" t="str">
        <x:v>https://music.163.com/song?id=3414473442</x:v>
      </x:c>
      <x:c r="W132" t="str">
        <x:v>http://p1.music.126.net/DE9__VdDCVQCdAdz_92hww==/109951173671527853.jpg</x:v>
      </x:c>
      <x:c r="X132" t="str">
        <x:v>https://music.163.com/discover/toplist?id=19723756</x:v>
      </x:c>
      <x:c r="Y132" t="str">
        <x:v>https://music.163.com/api/playlist/detail?id=19723756&amp;n=100</x:v>
      </x:c>
      <x:c r="Z132" s="24" t="str">
        <x:f>IFERROR(VLOOKUP(F132,'07_字典与参数'!$A$5:$E$10,3,FALSE),"待映射")</x:f>
        <x:v>网易云音乐</x:v>
      </x:c>
      <x:c r="AA132" s="24" t="str">
        <x:f>IFERROR(VLOOKUP(F132,'07_字典与参数'!$A$5:$E$10,2,FALSE),"待映射")</x:f>
        <x:v>飙升榜</x:v>
      </x:c>
      <x:c r="AB132" s="24" t="str">
        <x:f>IFERROR(VLOOKUP(F132,'07_字典与参数'!$A$5:$E$10,4,FALSE),"待映射")</x:f>
        <x:v>每日</x:v>
      </x:c>
      <x:c r="AC132" s="24" t="str">
        <x:f>D132&amp;"|"&amp;F132&amp;"|"&amp;L132</x:f>
        <x:v>netease_cloud_music|rising|3414473442</x:v>
      </x:c>
      <x:c r="AD132" s="24" t="str">
        <x:f>IF(J132&lt;=10,"是","否")</x:f>
        <x:v>否</x:v>
      </x:c>
      <x:c r="AE132" s="24" t="str">
        <x:f>IFERROR(YEAR(R132),"缺失")</x:f>
        <x:v>缺失</x:v>
      </x:c>
    </x:row>
    <x:row r="133">
      <x:c r="A133" t="str">
        <x:v>20260812T132133+0800</x:v>
      </x:c>
      <x:c r="B133" t="n">
        <x:v>46246.22329861111</x:v>
      </x:c>
      <x:c r="C133" t="str">
        <x:v>2026-08-12</x:v>
      </x:c>
      <x:c r="D133" t="str">
        <x:v>netease_cloud_music</x:v>
      </x:c>
      <x:c r="E133" t="str">
        <x:v>CN</x:v>
      </x:c>
      <x:c r="F133" t="str">
        <x:v>rising</x:v>
      </x:c>
      <x:c r="G133" t="str">
        <x:v>飙升榜</x:v>
      </x:c>
      <x:c r="H133" t="str">
        <x:v>19723756</x:v>
      </x:c>
      <x:c r="I133" t="n">
        <x:v>100</x:v>
      </x:c>
      <x:c r="J133" t="n">
        <x:v>29</x:v>
      </x:c>
      <x:c r="K133" t="n">
        <x:v>72</x:v>
      </x:c>
      <x:c r="L133" t="str">
        <x:v>3387337974</x:v>
      </x:c>
      <x:c r="M133" t="str">
        <x:v>Im Sorry Mom</x:v>
      </x:c>
      <x:c r="N133" t="str">
        <x:v>127194829</x:v>
      </x:c>
      <x:c r="O133" t="str">
        <x:v>Marino</x:v>
      </x:c>
      <x:c r="P133" t="str">
        <x:v>378848236</x:v>
      </x:c>
      <x:c r="Q133" t="str">
        <x:v>Im Sorry Mom</x:v>
      </x:c>
      <x:c r="R133" t="str">
        <x:v>2026-06-12</x:v>
      </x:c>
      <x:c r="S133" t="str"/>
      <x:c r="T133" t="n">
        <x:v>33</x:v>
      </x:c>
      <x:c r="U133" t="n">
        <x:v>4</x:v>
      </x:c>
      <x:c r="V133" t="str">
        <x:v>https://music.163.com/song?id=3387337974</x:v>
      </x:c>
      <x:c r="W133" t="str">
        <x:v>http://p1.music.126.net/Y7W9UWG2QZaCVZ9zra6uPQ==/109951173359276808.jpg</x:v>
      </x:c>
      <x:c r="X133" t="str">
        <x:v>https://music.163.com/discover/toplist?id=19723756</x:v>
      </x:c>
      <x:c r="Y133" t="str">
        <x:v>https://music.163.com/api/playlist/detail?id=19723756&amp;n=100</x:v>
      </x:c>
      <x:c r="Z133" s="24" t="str">
        <x:f>IFERROR(VLOOKUP(F133,'07_字典与参数'!$A$5:$E$10,3,FALSE),"待映射")</x:f>
        <x:v>网易云音乐</x:v>
      </x:c>
      <x:c r="AA133" s="24" t="str">
        <x:f>IFERROR(VLOOKUP(F133,'07_字典与参数'!$A$5:$E$10,2,FALSE),"待映射")</x:f>
        <x:v>飙升榜</x:v>
      </x:c>
      <x:c r="AB133" s="24" t="str">
        <x:f>IFERROR(VLOOKUP(F133,'07_字典与参数'!$A$5:$E$10,4,FALSE),"待映射")</x:f>
        <x:v>每日</x:v>
      </x:c>
      <x:c r="AC133" s="24" t="str">
        <x:f>D133&amp;"|"&amp;F133&amp;"|"&amp;L133</x:f>
        <x:v>netease_cloud_music|rising|3387337974</x:v>
      </x:c>
      <x:c r="AD133" s="24" t="str">
        <x:f>IF(J133&lt;=10,"是","否")</x:f>
        <x:v>否</x:v>
      </x:c>
      <x:c r="AE133" s="24" t="n">
        <x:f>IFERROR(YEAR(R133),"缺失")</x:f>
        <x:v>2026</x:v>
      </x:c>
    </x:row>
    <x:row r="134">
      <x:c r="A134" t="str">
        <x:v>20260812T132133+0800</x:v>
      </x:c>
      <x:c r="B134" t="n">
        <x:v>46246.22329861111</x:v>
      </x:c>
      <x:c r="C134" t="str">
        <x:v>2026-08-12</x:v>
      </x:c>
      <x:c r="D134" t="str">
        <x:v>netease_cloud_music</x:v>
      </x:c>
      <x:c r="E134" t="str">
        <x:v>CN</x:v>
      </x:c>
      <x:c r="F134" t="str">
        <x:v>rising</x:v>
      </x:c>
      <x:c r="G134" t="str">
        <x:v>飙升榜</x:v>
      </x:c>
      <x:c r="H134" t="str">
        <x:v>19723756</x:v>
      </x:c>
      <x:c r="I134" t="n">
        <x:v>100</x:v>
      </x:c>
      <x:c r="J134" t="n">
        <x:v>30</x:v>
      </x:c>
      <x:c r="K134" t="n">
        <x:v>71</x:v>
      </x:c>
      <x:c r="L134" t="str">
        <x:v>3387007752</x:v>
      </x:c>
      <x:c r="M134" t="str">
        <x:v>Mama (Perfect Timing)</x:v>
      </x:c>
      <x:c r="N134" t="str">
        <x:v>97789101</x:v>
      </x:c>
      <x:c r="O134" t="str">
        <x:v>Young Roddo</x:v>
      </x:c>
      <x:c r="P134" t="str">
        <x:v>378681040</x:v>
      </x:c>
      <x:c r="Q134" t="str">
        <x:v>Mama (Perfect Timing)</x:v>
      </x:c>
      <x:c r="R134" t="str">
        <x:v>2026-05-27</x:v>
      </x:c>
      <x:c r="S134" t="str"/>
      <x:c r="T134" t="n">
        <x:v>29</x:v>
      </x:c>
      <x:c r="U134" t="n">
        <x:v>-1</x:v>
      </x:c>
      <x:c r="V134" t="str">
        <x:v>https://music.163.com/song?id=3387007752</x:v>
      </x:c>
      <x:c r="W134" t="str">
        <x:v>http://p1.music.126.net/pUqme3KTa-ieRKTx_R6KEw==/109951173289855113.jpg</x:v>
      </x:c>
      <x:c r="X134" t="str">
        <x:v>https://music.163.com/discover/toplist?id=19723756</x:v>
      </x:c>
      <x:c r="Y134" t="str">
        <x:v>https://music.163.com/api/playlist/detail?id=19723756&amp;n=100</x:v>
      </x:c>
      <x:c r="Z134" s="24" t="str">
        <x:f>IFERROR(VLOOKUP(F134,'07_字典与参数'!$A$5:$E$10,3,FALSE),"待映射")</x:f>
        <x:v>网易云音乐</x:v>
      </x:c>
      <x:c r="AA134" s="24" t="str">
        <x:f>IFERROR(VLOOKUP(F134,'07_字典与参数'!$A$5:$E$10,2,FALSE),"待映射")</x:f>
        <x:v>飙升榜</x:v>
      </x:c>
      <x:c r="AB134" s="24" t="str">
        <x:f>IFERROR(VLOOKUP(F134,'07_字典与参数'!$A$5:$E$10,4,FALSE),"待映射")</x:f>
        <x:v>每日</x:v>
      </x:c>
      <x:c r="AC134" s="24" t="str">
        <x:f>D134&amp;"|"&amp;F134&amp;"|"&amp;L134</x:f>
        <x:v>netease_cloud_music|rising|3387007752</x:v>
      </x:c>
      <x:c r="AD134" s="24" t="str">
        <x:f>IF(J134&lt;=10,"是","否")</x:f>
        <x:v>否</x:v>
      </x:c>
      <x:c r="AE134" s="24" t="n">
        <x:f>IFERROR(YEAR(R134),"缺失")</x:f>
        <x:v>2026</x:v>
      </x:c>
    </x:row>
    <x:row r="135">
      <x:c r="A135" t="str">
        <x:v>20260812T132133+0800</x:v>
      </x:c>
      <x:c r="B135" t="n">
        <x:v>46246.22329861111</x:v>
      </x:c>
      <x:c r="C135" t="str">
        <x:v>2026-08-12</x:v>
      </x:c>
      <x:c r="D135" t="str">
        <x:v>netease_cloud_music</x:v>
      </x:c>
      <x:c r="E135" t="str">
        <x:v>CN</x:v>
      </x:c>
      <x:c r="F135" t="str">
        <x:v>rising</x:v>
      </x:c>
      <x:c r="G135" t="str">
        <x:v>飙升榜</x:v>
      </x:c>
      <x:c r="H135" t="str">
        <x:v>19723756</x:v>
      </x:c>
      <x:c r="I135" t="n">
        <x:v>100</x:v>
      </x:c>
      <x:c r="J135" t="n">
        <x:v>31</x:v>
      </x:c>
      <x:c r="K135" t="n">
        <x:v>70</x:v>
      </x:c>
      <x:c r="L135" t="str">
        <x:v>3416335474</x:v>
      </x:c>
      <x:c r="M135" t="str">
        <x:v>Die For You</x:v>
      </x:c>
      <x:c r="N135" t="str">
        <x:v>98677788 | 49810615</x:v>
      </x:c>
      <x:c r="O135" t="str">
        <x:v>NENX | RANGE</x:v>
      </x:c>
      <x:c r="P135" t="str">
        <x:v>390719326</x:v>
      </x:c>
      <x:c r="Q135" t="str">
        <x:v>Die For You</x:v>
      </x:c>
      <x:c r="R135" t="str">
        <x:v>2026-08-04</x:v>
      </x:c>
      <x:c r="S135" t="str"/>
      <x:c r="T135"/>
      <x:c r="U135"/>
      <x:c r="V135" t="str">
        <x:v>https://music.163.com/song?id=3416335474</x:v>
      </x:c>
      <x:c r="W135" t="str">
        <x:v>http://p1.music.126.net/dOHKQpvfhJZQLu3aaXN-4w==/109951173693281605.jpg</x:v>
      </x:c>
      <x:c r="X135" t="str">
        <x:v>https://music.163.com/discover/toplist?id=19723756</x:v>
      </x:c>
      <x:c r="Y135" t="str">
        <x:v>https://music.163.com/api/playlist/detail?id=19723756&amp;n=100</x:v>
      </x:c>
      <x:c r="Z135" s="24" t="str">
        <x:f>IFERROR(VLOOKUP(F135,'07_字典与参数'!$A$5:$E$10,3,FALSE),"待映射")</x:f>
        <x:v>网易云音乐</x:v>
      </x:c>
      <x:c r="AA135" s="24" t="str">
        <x:f>IFERROR(VLOOKUP(F135,'07_字典与参数'!$A$5:$E$10,2,FALSE),"待映射")</x:f>
        <x:v>飙升榜</x:v>
      </x:c>
      <x:c r="AB135" s="24" t="str">
        <x:f>IFERROR(VLOOKUP(F135,'07_字典与参数'!$A$5:$E$10,4,FALSE),"待映射")</x:f>
        <x:v>每日</x:v>
      </x:c>
      <x:c r="AC135" s="24" t="str">
        <x:f>D135&amp;"|"&amp;F135&amp;"|"&amp;L135</x:f>
        <x:v>netease_cloud_music|rising|3416335474</x:v>
      </x:c>
      <x:c r="AD135" s="24" t="str">
        <x:f>IF(J135&lt;=10,"是","否")</x:f>
        <x:v>否</x:v>
      </x:c>
      <x:c r="AE135" s="24" t="n">
        <x:f>IFERROR(YEAR(R135),"缺失")</x:f>
        <x:v>2026</x:v>
      </x:c>
    </x:row>
    <x:row r="136">
      <x:c r="A136" t="str">
        <x:v>20260812T132133+0800</x:v>
      </x:c>
      <x:c r="B136" t="n">
        <x:v>46246.22329861111</x:v>
      </x:c>
      <x:c r="C136" t="str">
        <x:v>2026-08-12</x:v>
      </x:c>
      <x:c r="D136" t="str">
        <x:v>netease_cloud_music</x:v>
      </x:c>
      <x:c r="E136" t="str">
        <x:v>CN</x:v>
      </x:c>
      <x:c r="F136" t="str">
        <x:v>rising</x:v>
      </x:c>
      <x:c r="G136" t="str">
        <x:v>飙升榜</x:v>
      </x:c>
      <x:c r="H136" t="str">
        <x:v>19723756</x:v>
      </x:c>
      <x:c r="I136" t="n">
        <x:v>100</x:v>
      </x:c>
      <x:c r="J136" t="n">
        <x:v>32</x:v>
      </x:c>
      <x:c r="K136" t="n">
        <x:v>69</x:v>
      </x:c>
      <x:c r="L136" t="str">
        <x:v>3415115650</x:v>
      </x:c>
      <x:c r="M136" t="str">
        <x:v>人生真的会突然变好</x:v>
      </x:c>
      <x:c r="N136" t="str">
        <x:v>1085058</x:v>
      </x:c>
      <x:c r="O136" t="str">
        <x:v>coco-木子文</x:v>
      </x:c>
      <x:c r="P136" t="str">
        <x:v>390245104</x:v>
      </x:c>
      <x:c r="Q136" t="str">
        <x:v>人生真的会突然变好（划走了依然有效）</x:v>
      </x:c>
      <x:c r="R136" t="str"/>
      <x:c r="S136" t="str"/>
      <x:c r="T136"/>
      <x:c r="U136"/>
      <x:c r="V136" t="str">
        <x:v>https://music.163.com/song?id=3415115650</x:v>
      </x:c>
      <x:c r="W136" t="str">
        <x:v>http://p1.music.126.net/tc8fV8gm3kyDeQfGvg92Zg==/109951173678475155.jpg</x:v>
      </x:c>
      <x:c r="X136" t="str">
        <x:v>https://music.163.com/discover/toplist?id=19723756</x:v>
      </x:c>
      <x:c r="Y136" t="str">
        <x:v>https://music.163.com/api/playlist/detail?id=19723756&amp;n=100</x:v>
      </x:c>
      <x:c r="Z136" s="24" t="str">
        <x:f>IFERROR(VLOOKUP(F136,'07_字典与参数'!$A$5:$E$10,3,FALSE),"待映射")</x:f>
        <x:v>网易云音乐</x:v>
      </x:c>
      <x:c r="AA136" s="24" t="str">
        <x:f>IFERROR(VLOOKUP(F136,'07_字典与参数'!$A$5:$E$10,2,FALSE),"待映射")</x:f>
        <x:v>飙升榜</x:v>
      </x:c>
      <x:c r="AB136" s="24" t="str">
        <x:f>IFERROR(VLOOKUP(F136,'07_字典与参数'!$A$5:$E$10,4,FALSE),"待映射")</x:f>
        <x:v>每日</x:v>
      </x:c>
      <x:c r="AC136" s="24" t="str">
        <x:f>D136&amp;"|"&amp;F136&amp;"|"&amp;L136</x:f>
        <x:v>netease_cloud_music|rising|3415115650</x:v>
      </x:c>
      <x:c r="AD136" s="24" t="str">
        <x:f>IF(J136&lt;=10,"是","否")</x:f>
        <x:v>否</x:v>
      </x:c>
      <x:c r="AE136" s="24" t="str">
        <x:f>IFERROR(YEAR(R136),"缺失")</x:f>
        <x:v>缺失</x:v>
      </x:c>
    </x:row>
    <x:row r="137">
      <x:c r="A137" t="str">
        <x:v>20260812T132133+0800</x:v>
      </x:c>
      <x:c r="B137" t="n">
        <x:v>46246.22329861111</x:v>
      </x:c>
      <x:c r="C137" t="str">
        <x:v>2026-08-12</x:v>
      </x:c>
      <x:c r="D137" t="str">
        <x:v>netease_cloud_music</x:v>
      </x:c>
      <x:c r="E137" t="str">
        <x:v>CN</x:v>
      </x:c>
      <x:c r="F137" t="str">
        <x:v>rising</x:v>
      </x:c>
      <x:c r="G137" t="str">
        <x:v>飙升榜</x:v>
      </x:c>
      <x:c r="H137" t="str">
        <x:v>19723756</x:v>
      </x:c>
      <x:c r="I137" t="n">
        <x:v>100</x:v>
      </x:c>
      <x:c r="J137" t="n">
        <x:v>33</x:v>
      </x:c>
      <x:c r="K137" t="n">
        <x:v>68</x:v>
      </x:c>
      <x:c r="L137" t="str">
        <x:v>3414273119</x:v>
      </x:c>
      <x:c r="M137" t="str">
        <x:v>nowhere, nobody</x:v>
      </x:c>
      <x:c r="N137" t="str">
        <x:v>48161</x:v>
      </x:c>
      <x:c r="O137" t="str">
        <x:v>Ariana Grande</x:v>
      </x:c>
      <x:c r="P137" t="str">
        <x:v>390031118</x:v>
      </x:c>
      <x:c r="Q137" t="str">
        <x:v>petal</x:v>
      </x:c>
      <x:c r="R137" t="str">
        <x:v>2026-07-31</x:v>
      </x:c>
      <x:c r="S137" t="str"/>
      <x:c r="T137"/>
      <x:c r="U137"/>
      <x:c r="V137" t="str">
        <x:v>https://music.163.com/song?id=3414273119</x:v>
      </x:c>
      <x:c r="W137" t="str">
        <x:v>http://p1.music.126.net/eVZhj8MsxGhjbmTDVZVORQ==/109951173670280784.jpg</x:v>
      </x:c>
      <x:c r="X137" t="str">
        <x:v>https://music.163.com/discover/toplist?id=19723756</x:v>
      </x:c>
      <x:c r="Y137" t="str">
        <x:v>https://music.163.com/api/playlist/detail?id=19723756&amp;n=100</x:v>
      </x:c>
      <x:c r="Z137" s="24" t="str">
        <x:f>IFERROR(VLOOKUP(F137,'07_字典与参数'!$A$5:$E$10,3,FALSE),"待映射")</x:f>
        <x:v>网易云音乐</x:v>
      </x:c>
      <x:c r="AA137" s="24" t="str">
        <x:f>IFERROR(VLOOKUP(F137,'07_字典与参数'!$A$5:$E$10,2,FALSE),"待映射")</x:f>
        <x:v>飙升榜</x:v>
      </x:c>
      <x:c r="AB137" s="24" t="str">
        <x:f>IFERROR(VLOOKUP(F137,'07_字典与参数'!$A$5:$E$10,4,FALSE),"待映射")</x:f>
        <x:v>每日</x:v>
      </x:c>
      <x:c r="AC137" s="24" t="str">
        <x:f>D137&amp;"|"&amp;F137&amp;"|"&amp;L137</x:f>
        <x:v>netease_cloud_music|rising|3414273119</x:v>
      </x:c>
      <x:c r="AD137" s="24" t="str">
        <x:f>IF(J137&lt;=10,"是","否")</x:f>
        <x:v>否</x:v>
      </x:c>
      <x:c r="AE137" s="24" t="n">
        <x:f>IFERROR(YEAR(R137),"缺失")</x:f>
        <x:v>2026</x:v>
      </x:c>
    </x:row>
    <x:row r="138">
      <x:c r="A138" t="str">
        <x:v>20260812T132133+0800</x:v>
      </x:c>
      <x:c r="B138" t="n">
        <x:v>46246.22329861111</x:v>
      </x:c>
      <x:c r="C138" t="str">
        <x:v>2026-08-12</x:v>
      </x:c>
      <x:c r="D138" t="str">
        <x:v>netease_cloud_music</x:v>
      </x:c>
      <x:c r="E138" t="str">
        <x:v>CN</x:v>
      </x:c>
      <x:c r="F138" t="str">
        <x:v>rising</x:v>
      </x:c>
      <x:c r="G138" t="str">
        <x:v>飙升榜</x:v>
      </x:c>
      <x:c r="H138" t="str">
        <x:v>19723756</x:v>
      </x:c>
      <x:c r="I138" t="n">
        <x:v>100</x:v>
      </x:c>
      <x:c r="J138" t="n">
        <x:v>34</x:v>
      </x:c>
      <x:c r="K138" t="n">
        <x:v>67</x:v>
      </x:c>
      <x:c r="L138" t="str">
        <x:v>3409254223</x:v>
      </x:c>
      <x:c r="M138" t="str">
        <x:v>眼镜妹</x:v>
      </x:c>
      <x:c r="N138" t="str">
        <x:v>33914460</x:v>
      </x:c>
      <x:c r="O138" t="str">
        <x:v>Zzh</x:v>
      </x:c>
      <x:c r="P138" t="str">
        <x:v>388165371</x:v>
      </x:c>
      <x:c r="Q138" t="str">
        <x:v>眼镜妹</x:v>
      </x:c>
      <x:c r="R138" t="str"/>
      <x:c r="S138" t="str"/>
      <x:c r="T138"/>
      <x:c r="U138"/>
      <x:c r="V138" t="str">
        <x:v>https://music.163.com/song?id=3409254223</x:v>
      </x:c>
      <x:c r="W138" t="str">
        <x:v>http://p1.music.126.net/pMKOZVVoj7OZe0qvW45uvA==/109951173602625261.jpg</x:v>
      </x:c>
      <x:c r="X138" t="str">
        <x:v>https://music.163.com/discover/toplist?id=19723756</x:v>
      </x:c>
      <x:c r="Y138" t="str">
        <x:v>https://music.163.com/api/playlist/detail?id=19723756&amp;n=100</x:v>
      </x:c>
      <x:c r="Z138" s="24" t="str">
        <x:f>IFERROR(VLOOKUP(F138,'07_字典与参数'!$A$5:$E$10,3,FALSE),"待映射")</x:f>
        <x:v>网易云音乐</x:v>
      </x:c>
      <x:c r="AA138" s="24" t="str">
        <x:f>IFERROR(VLOOKUP(F138,'07_字典与参数'!$A$5:$E$10,2,FALSE),"待映射")</x:f>
        <x:v>飙升榜</x:v>
      </x:c>
      <x:c r="AB138" s="24" t="str">
        <x:f>IFERROR(VLOOKUP(F138,'07_字典与参数'!$A$5:$E$10,4,FALSE),"待映射")</x:f>
        <x:v>每日</x:v>
      </x:c>
      <x:c r="AC138" s="24" t="str">
        <x:f>D138&amp;"|"&amp;F138&amp;"|"&amp;L138</x:f>
        <x:v>netease_cloud_music|rising|3409254223</x:v>
      </x:c>
      <x:c r="AD138" s="24" t="str">
        <x:f>IF(J138&lt;=10,"是","否")</x:f>
        <x:v>否</x:v>
      </x:c>
      <x:c r="AE138" s="24" t="str">
        <x:f>IFERROR(YEAR(R138),"缺失")</x:f>
        <x:v>缺失</x:v>
      </x:c>
    </x:row>
    <x:row r="139">
      <x:c r="A139" t="str">
        <x:v>20260812T132133+0800</x:v>
      </x:c>
      <x:c r="B139" t="n">
        <x:v>46246.22329861111</x:v>
      </x:c>
      <x:c r="C139" t="str">
        <x:v>2026-08-12</x:v>
      </x:c>
      <x:c r="D139" t="str">
        <x:v>netease_cloud_music</x:v>
      </x:c>
      <x:c r="E139" t="str">
        <x:v>CN</x:v>
      </x:c>
      <x:c r="F139" t="str">
        <x:v>rising</x:v>
      </x:c>
      <x:c r="G139" t="str">
        <x:v>飙升榜</x:v>
      </x:c>
      <x:c r="H139" t="str">
        <x:v>19723756</x:v>
      </x:c>
      <x:c r="I139" t="n">
        <x:v>100</x:v>
      </x:c>
      <x:c r="J139" t="n">
        <x:v>35</x:v>
      </x:c>
      <x:c r="K139" t="n">
        <x:v>66</x:v>
      </x:c>
      <x:c r="L139" t="str">
        <x:v>2738228860</x:v>
      </x:c>
      <x:c r="M139" t="str">
        <x:v>Dehors</x:v>
      </x:c>
      <x:c r="N139" t="str">
        <x:v>338718</x:v>
      </x:c>
      <x:c r="O139" t="str">
        <x:v>JORDANN</x:v>
      </x:c>
      <x:c r="P139" t="str">
        <x:v>282257834</x:v>
      </x:c>
      <x:c r="Q139" t="str">
        <x:v>Dehors (普通话版)</x:v>
      </x:c>
      <x:c r="R139" t="str">
        <x:v>2025-08-22</x:v>
      </x:c>
      <x:c r="S139" t="str"/>
      <x:c r="T139"/>
      <x:c r="U139"/>
      <x:c r="V139" t="str">
        <x:v>https://music.163.com/song?id=2738228860</x:v>
      </x:c>
      <x:c r="W139" t="str">
        <x:v>http://p1.music.126.net/8mNbLer5tKnkgj3Q4JPpWw==/109951171903070287.jpg</x:v>
      </x:c>
      <x:c r="X139" t="str">
        <x:v>https://music.163.com/discover/toplist?id=19723756</x:v>
      </x:c>
      <x:c r="Y139" t="str">
        <x:v>https://music.163.com/api/playlist/detail?id=19723756&amp;n=100</x:v>
      </x:c>
      <x:c r="Z139" s="24" t="str">
        <x:f>IFERROR(VLOOKUP(F139,'07_字典与参数'!$A$5:$E$10,3,FALSE),"待映射")</x:f>
        <x:v>网易云音乐</x:v>
      </x:c>
      <x:c r="AA139" s="24" t="str">
        <x:f>IFERROR(VLOOKUP(F139,'07_字典与参数'!$A$5:$E$10,2,FALSE),"待映射")</x:f>
        <x:v>飙升榜</x:v>
      </x:c>
      <x:c r="AB139" s="24" t="str">
        <x:f>IFERROR(VLOOKUP(F139,'07_字典与参数'!$A$5:$E$10,4,FALSE),"待映射")</x:f>
        <x:v>每日</x:v>
      </x:c>
      <x:c r="AC139" s="24" t="str">
        <x:f>D139&amp;"|"&amp;F139&amp;"|"&amp;L139</x:f>
        <x:v>netease_cloud_music|rising|2738228860</x:v>
      </x:c>
      <x:c r="AD139" s="24" t="str">
        <x:f>IF(J139&lt;=10,"是","否")</x:f>
        <x:v>否</x:v>
      </x:c>
      <x:c r="AE139" s="24" t="n">
        <x:f>IFERROR(YEAR(R139),"缺失")</x:f>
        <x:v>2025</x:v>
      </x:c>
    </x:row>
    <x:row r="140">
      <x:c r="A140" t="str">
        <x:v>20260812T132133+0800</x:v>
      </x:c>
      <x:c r="B140" t="n">
        <x:v>46246.22329861111</x:v>
      </x:c>
      <x:c r="C140" t="str">
        <x:v>2026-08-12</x:v>
      </x:c>
      <x:c r="D140" t="str">
        <x:v>netease_cloud_music</x:v>
      </x:c>
      <x:c r="E140" t="str">
        <x:v>CN</x:v>
      </x:c>
      <x:c r="F140" t="str">
        <x:v>rising</x:v>
      </x:c>
      <x:c r="G140" t="str">
        <x:v>飙升榜</x:v>
      </x:c>
      <x:c r="H140" t="str">
        <x:v>19723756</x:v>
      </x:c>
      <x:c r="I140" t="n">
        <x:v>100</x:v>
      </x:c>
      <x:c r="J140" t="n">
        <x:v>36</x:v>
      </x:c>
      <x:c r="K140" t="n">
        <x:v>65</x:v>
      </x:c>
      <x:c r="L140" t="str">
        <x:v>3402287199</x:v>
      </x:c>
      <x:c r="M140" t="str">
        <x:v>习惯性麻木</x:v>
      </x:c>
      <x:c r="N140" t="str">
        <x:v>51380454</x:v>
      </x:c>
      <x:c r="O140" t="str">
        <x:v>oneK</x:v>
      </x:c>
      <x:c r="P140" t="str">
        <x:v>385524657</x:v>
      </x:c>
      <x:c r="Q140" t="str">
        <x:v>习惯性麻木</x:v>
      </x:c>
      <x:c r="R140" t="str">
        <x:v>2026-07-10</x:v>
      </x:c>
      <x:c r="S140" t="str"/>
      <x:c r="T140"/>
      <x:c r="U140"/>
      <x:c r="V140" t="str">
        <x:v>https://music.163.com/song?id=3402287199</x:v>
      </x:c>
      <x:c r="W140" t="str">
        <x:v>http://p1.music.126.net/2ojehXMJ4o-cRBY3WFc6xg==/109951173515380702.jpg</x:v>
      </x:c>
      <x:c r="X140" t="str">
        <x:v>https://music.163.com/discover/toplist?id=19723756</x:v>
      </x:c>
      <x:c r="Y140" t="str">
        <x:v>https://music.163.com/api/playlist/detail?id=19723756&amp;n=100</x:v>
      </x:c>
      <x:c r="Z140" s="24" t="str">
        <x:f>IFERROR(VLOOKUP(F140,'07_字典与参数'!$A$5:$E$10,3,FALSE),"待映射")</x:f>
        <x:v>网易云音乐</x:v>
      </x:c>
      <x:c r="AA140" s="24" t="str">
        <x:f>IFERROR(VLOOKUP(F140,'07_字典与参数'!$A$5:$E$10,2,FALSE),"待映射")</x:f>
        <x:v>飙升榜</x:v>
      </x:c>
      <x:c r="AB140" s="24" t="str">
        <x:f>IFERROR(VLOOKUP(F140,'07_字典与参数'!$A$5:$E$10,4,FALSE),"待映射")</x:f>
        <x:v>每日</x:v>
      </x:c>
      <x:c r="AC140" s="24" t="str">
        <x:f>D140&amp;"|"&amp;F140&amp;"|"&amp;L140</x:f>
        <x:v>netease_cloud_music|rising|3402287199</x:v>
      </x:c>
      <x:c r="AD140" s="24" t="str">
        <x:f>IF(J140&lt;=10,"是","否")</x:f>
        <x:v>否</x:v>
      </x:c>
      <x:c r="AE140" s="24" t="n">
        <x:f>IFERROR(YEAR(R140),"缺失")</x:f>
        <x:v>2026</x:v>
      </x:c>
    </x:row>
    <x:row r="141">
      <x:c r="A141" t="str">
        <x:v>20260812T132133+0800</x:v>
      </x:c>
      <x:c r="B141" t="n">
        <x:v>46246.22329861111</x:v>
      </x:c>
      <x:c r="C141" t="str">
        <x:v>2026-08-12</x:v>
      </x:c>
      <x:c r="D141" t="str">
        <x:v>netease_cloud_music</x:v>
      </x:c>
      <x:c r="E141" t="str">
        <x:v>CN</x:v>
      </x:c>
      <x:c r="F141" t="str">
        <x:v>rising</x:v>
      </x:c>
      <x:c r="G141" t="str">
        <x:v>飙升榜</x:v>
      </x:c>
      <x:c r="H141" t="str">
        <x:v>19723756</x:v>
      </x:c>
      <x:c r="I141" t="n">
        <x:v>100</x:v>
      </x:c>
      <x:c r="J141" t="n">
        <x:v>37</x:v>
      </x:c>
      <x:c r="K141" t="n">
        <x:v>64</x:v>
      </x:c>
      <x:c r="L141" t="str">
        <x:v>3410283948</x:v>
      </x:c>
      <x:c r="M141" t="str">
        <x:v>Ain't That Fresh</x:v>
      </x:c>
      <x:c r="N141" t="str">
        <x:v>53508466</x:v>
      </x:c>
      <x:c r="O141" t="str">
        <x:v>MerrinZephyr</x:v>
      </x:c>
      <x:c r="P141" t="str">
        <x:v>388588989</x:v>
      </x:c>
      <x:c r="Q141" t="str">
        <x:v>Ain't That Fresh</x:v>
      </x:c>
      <x:c r="R141" t="str"/>
      <x:c r="S141" t="str"/>
      <x:c r="T141" t="n">
        <x:v>61</x:v>
      </x:c>
      <x:c r="U141" t="n">
        <x:v>24</x:v>
      </x:c>
      <x:c r="V141" t="str">
        <x:v>https://music.163.com/song?id=3410283948</x:v>
      </x:c>
      <x:c r="W141" t="str">
        <x:v>http://p1.music.126.net/y7zpHF2nhlpCQRzyjl-YLw==/109951173622946889.jpg</x:v>
      </x:c>
      <x:c r="X141" t="str">
        <x:v>https://music.163.com/discover/toplist?id=19723756</x:v>
      </x:c>
      <x:c r="Y141" t="str">
        <x:v>https://music.163.com/api/playlist/detail?id=19723756&amp;n=100</x:v>
      </x:c>
      <x:c r="Z141" s="24" t="str">
        <x:f>IFERROR(VLOOKUP(F141,'07_字典与参数'!$A$5:$E$10,3,FALSE),"待映射")</x:f>
        <x:v>网易云音乐</x:v>
      </x:c>
      <x:c r="AA141" s="24" t="str">
        <x:f>IFERROR(VLOOKUP(F141,'07_字典与参数'!$A$5:$E$10,2,FALSE),"待映射")</x:f>
        <x:v>飙升榜</x:v>
      </x:c>
      <x:c r="AB141" s="24" t="str">
        <x:f>IFERROR(VLOOKUP(F141,'07_字典与参数'!$A$5:$E$10,4,FALSE),"待映射")</x:f>
        <x:v>每日</x:v>
      </x:c>
      <x:c r="AC141" s="24" t="str">
        <x:f>D141&amp;"|"&amp;F141&amp;"|"&amp;L141</x:f>
        <x:v>netease_cloud_music|rising|3410283948</x:v>
      </x:c>
      <x:c r="AD141" s="24" t="str">
        <x:f>IF(J141&lt;=10,"是","否")</x:f>
        <x:v>否</x:v>
      </x:c>
      <x:c r="AE141" s="24" t="str">
        <x:f>IFERROR(YEAR(R141),"缺失")</x:f>
        <x:v>缺失</x:v>
      </x:c>
    </x:row>
    <x:row r="142">
      <x:c r="A142" t="str">
        <x:v>20260812T132133+0800</x:v>
      </x:c>
      <x:c r="B142" t="n">
        <x:v>46246.22329861111</x:v>
      </x:c>
      <x:c r="C142" t="str">
        <x:v>2026-08-12</x:v>
      </x:c>
      <x:c r="D142" t="str">
        <x:v>netease_cloud_music</x:v>
      </x:c>
      <x:c r="E142" t="str">
        <x:v>CN</x:v>
      </x:c>
      <x:c r="F142" t="str">
        <x:v>rising</x:v>
      </x:c>
      <x:c r="G142" t="str">
        <x:v>飙升榜</x:v>
      </x:c>
      <x:c r="H142" t="str">
        <x:v>19723756</x:v>
      </x:c>
      <x:c r="I142" t="n">
        <x:v>100</x:v>
      </x:c>
      <x:c r="J142" t="n">
        <x:v>38</x:v>
      </x:c>
      <x:c r="K142" t="n">
        <x:v>63</x:v>
      </x:c>
      <x:c r="L142" t="str">
        <x:v>2097443876</x:v>
      </x:c>
      <x:c r="M142" t="str">
        <x:v>碎碎念</x:v>
      </x:c>
      <x:c r="N142" t="str">
        <x:v>1143033</x:v>
      </x:c>
      <x:c r="O142" t="str">
        <x:v>队长</x:v>
      </x:c>
      <x:c r="P142" t="str">
        <x:v>177709425</x:v>
      </x:c>
      <x:c r="Q142" t="str">
        <x:v>碎碎念</x:v>
      </x:c>
      <x:c r="R142" t="str">
        <x:v>2023-11-15</x:v>
      </x:c>
      <x:c r="S142" t="str"/>
      <x:c r="T142" t="n">
        <x:v>13</x:v>
      </x:c>
      <x:c r="U142" t="n">
        <x:v>-25</x:v>
      </x:c>
      <x:c r="V142" t="str">
        <x:v>https://music.163.com/song?id=2097443876</x:v>
      </x:c>
      <x:c r="W142" t="str">
        <x:v>http://p1.music.126.net/RYIrCEYzgeAD85DJ0rgOQA==/109951169256300966.jpg</x:v>
      </x:c>
      <x:c r="X142" t="str">
        <x:v>https://music.163.com/discover/toplist?id=19723756</x:v>
      </x:c>
      <x:c r="Y142" t="str">
        <x:v>https://music.163.com/api/playlist/detail?id=19723756&amp;n=100</x:v>
      </x:c>
      <x:c r="Z142" s="24" t="str">
        <x:f>IFERROR(VLOOKUP(F142,'07_字典与参数'!$A$5:$E$10,3,FALSE),"待映射")</x:f>
        <x:v>网易云音乐</x:v>
      </x:c>
      <x:c r="AA142" s="24" t="str">
        <x:f>IFERROR(VLOOKUP(F142,'07_字典与参数'!$A$5:$E$10,2,FALSE),"待映射")</x:f>
        <x:v>飙升榜</x:v>
      </x:c>
      <x:c r="AB142" s="24" t="str">
        <x:f>IFERROR(VLOOKUP(F142,'07_字典与参数'!$A$5:$E$10,4,FALSE),"待映射")</x:f>
        <x:v>每日</x:v>
      </x:c>
      <x:c r="AC142" s="24" t="str">
        <x:f>D142&amp;"|"&amp;F142&amp;"|"&amp;L142</x:f>
        <x:v>netease_cloud_music|rising|2097443876</x:v>
      </x:c>
      <x:c r="AD142" s="24" t="str">
        <x:f>IF(J142&lt;=10,"是","否")</x:f>
        <x:v>否</x:v>
      </x:c>
      <x:c r="AE142" s="24" t="n">
        <x:f>IFERROR(YEAR(R142),"缺失")</x:f>
        <x:v>2023</x:v>
      </x:c>
    </x:row>
    <x:row r="143">
      <x:c r="A143" t="str">
        <x:v>20260812T132133+0800</x:v>
      </x:c>
      <x:c r="B143" t="n">
        <x:v>46246.22329861111</x:v>
      </x:c>
      <x:c r="C143" t="str">
        <x:v>2026-08-12</x:v>
      </x:c>
      <x:c r="D143" t="str">
        <x:v>netease_cloud_music</x:v>
      </x:c>
      <x:c r="E143" t="str">
        <x:v>CN</x:v>
      </x:c>
      <x:c r="F143" t="str">
        <x:v>rising</x:v>
      </x:c>
      <x:c r="G143" t="str">
        <x:v>飙升榜</x:v>
      </x:c>
      <x:c r="H143" t="str">
        <x:v>19723756</x:v>
      </x:c>
      <x:c r="I143" t="n">
        <x:v>100</x:v>
      </x:c>
      <x:c r="J143" t="n">
        <x:v>39</x:v>
      </x:c>
      <x:c r="K143" t="n">
        <x:v>62</x:v>
      </x:c>
      <x:c r="L143" t="str">
        <x:v>2695903727</x:v>
      </x:c>
      <x:c r="M143" t="str">
        <x:v>未完结的爱</x:v>
      </x:c>
      <x:c r="N143" t="str">
        <x:v>12969327</x:v>
      </x:c>
      <x:c r="O143" t="str">
        <x:v>Zkaaai</x:v>
      </x:c>
      <x:c r="P143" t="str">
        <x:v>269311204</x:v>
      </x:c>
      <x:c r="Q143" t="str">
        <x:v>未完结的爱</x:v>
      </x:c>
      <x:c r="R143" t="str"/>
      <x:c r="S143" t="str"/>
      <x:c r="T143"/>
      <x:c r="U143"/>
      <x:c r="V143" t="str">
        <x:v>https://music.163.com/song?id=2695903727</x:v>
      </x:c>
      <x:c r="W143" t="str">
        <x:v>http://p1.music.126.net/cDZnXGWvnGMZ00ub-USj0Q==/109951170731363312.jpg</x:v>
      </x:c>
      <x:c r="X143" t="str">
        <x:v>https://music.163.com/discover/toplist?id=19723756</x:v>
      </x:c>
      <x:c r="Y143" t="str">
        <x:v>https://music.163.com/api/playlist/detail?id=19723756&amp;n=100</x:v>
      </x:c>
      <x:c r="Z143" s="24" t="str">
        <x:f>IFERROR(VLOOKUP(F143,'07_字典与参数'!$A$5:$E$10,3,FALSE),"待映射")</x:f>
        <x:v>网易云音乐</x:v>
      </x:c>
      <x:c r="AA143" s="24" t="str">
        <x:f>IFERROR(VLOOKUP(F143,'07_字典与参数'!$A$5:$E$10,2,FALSE),"待映射")</x:f>
        <x:v>飙升榜</x:v>
      </x:c>
      <x:c r="AB143" s="24" t="str">
        <x:f>IFERROR(VLOOKUP(F143,'07_字典与参数'!$A$5:$E$10,4,FALSE),"待映射")</x:f>
        <x:v>每日</x:v>
      </x:c>
      <x:c r="AC143" s="24" t="str">
        <x:f>D143&amp;"|"&amp;F143&amp;"|"&amp;L143</x:f>
        <x:v>netease_cloud_music|rising|2695903727</x:v>
      </x:c>
      <x:c r="AD143" s="24" t="str">
        <x:f>IF(J143&lt;=10,"是","否")</x:f>
        <x:v>否</x:v>
      </x:c>
      <x:c r="AE143" s="24" t="str">
        <x:f>IFERROR(YEAR(R143),"缺失")</x:f>
        <x:v>缺失</x:v>
      </x:c>
    </x:row>
    <x:row r="144">
      <x:c r="A144" t="str">
        <x:v>20260812T132133+0800</x:v>
      </x:c>
      <x:c r="B144" t="n">
        <x:v>46246.22329861111</x:v>
      </x:c>
      <x:c r="C144" t="str">
        <x:v>2026-08-12</x:v>
      </x:c>
      <x:c r="D144" t="str">
        <x:v>netease_cloud_music</x:v>
      </x:c>
      <x:c r="E144" t="str">
        <x:v>CN</x:v>
      </x:c>
      <x:c r="F144" t="str">
        <x:v>rising</x:v>
      </x:c>
      <x:c r="G144" t="str">
        <x:v>飙升榜</x:v>
      </x:c>
      <x:c r="H144" t="str">
        <x:v>19723756</x:v>
      </x:c>
      <x:c r="I144" t="n">
        <x:v>100</x:v>
      </x:c>
      <x:c r="J144" t="n">
        <x:v>40</x:v>
      </x:c>
      <x:c r="K144" t="n">
        <x:v>61</x:v>
      </x:c>
      <x:c r="L144" t="str">
        <x:v>1965623491</x:v>
      </x:c>
      <x:c r="M144" t="str">
        <x:v>天上掉下个林妹妹</x:v>
      </x:c>
      <x:c r="N144" t="str">
        <x:v>12308369 | 48542012</x:v>
      </x:c>
      <x:c r="O144" t="str">
        <x:v>黄诗扶 | 绝对演绎</x:v>
      </x:c>
      <x:c r="P144" t="str">
        <x:v>148405464</x:v>
      </x:c>
      <x:c r="Q144" t="str">
        <x:v>天上掉下个林妹妹</x:v>
      </x:c>
      <x:c r="R144" t="str"/>
      <x:c r="S144" t="str"/>
      <x:c r="T144" t="n">
        <x:v>92</x:v>
      </x:c>
      <x:c r="U144" t="n">
        <x:v>52</x:v>
      </x:c>
      <x:c r="V144" t="str">
        <x:v>https://music.163.com/song?id=1965623491</x:v>
      </x:c>
      <x:c r="W144" t="str">
        <x:v>http://p1.music.126.net/GMnnWbGsvpjJyWYoxKZ0Xw==/109951167697021883.jpg</x:v>
      </x:c>
      <x:c r="X144" t="str">
        <x:v>https://music.163.com/discover/toplist?id=19723756</x:v>
      </x:c>
      <x:c r="Y144" t="str">
        <x:v>https://music.163.com/api/playlist/detail?id=19723756&amp;n=100</x:v>
      </x:c>
      <x:c r="Z144" s="24" t="str">
        <x:f>IFERROR(VLOOKUP(F144,'07_字典与参数'!$A$5:$E$10,3,FALSE),"待映射")</x:f>
        <x:v>网易云音乐</x:v>
      </x:c>
      <x:c r="AA144" s="24" t="str">
        <x:f>IFERROR(VLOOKUP(F144,'07_字典与参数'!$A$5:$E$10,2,FALSE),"待映射")</x:f>
        <x:v>飙升榜</x:v>
      </x:c>
      <x:c r="AB144" s="24" t="str">
        <x:f>IFERROR(VLOOKUP(F144,'07_字典与参数'!$A$5:$E$10,4,FALSE),"待映射")</x:f>
        <x:v>每日</x:v>
      </x:c>
      <x:c r="AC144" s="24" t="str">
        <x:f>D144&amp;"|"&amp;F144&amp;"|"&amp;L144</x:f>
        <x:v>netease_cloud_music|rising|1965623491</x:v>
      </x:c>
      <x:c r="AD144" s="24" t="str">
        <x:f>IF(J144&lt;=10,"是","否")</x:f>
        <x:v>否</x:v>
      </x:c>
      <x:c r="AE144" s="24" t="str">
        <x:f>IFERROR(YEAR(R144),"缺失")</x:f>
        <x:v>缺失</x:v>
      </x:c>
    </x:row>
    <x:row r="145">
      <x:c r="A145" t="str">
        <x:v>20260812T132133+0800</x:v>
      </x:c>
      <x:c r="B145" t="n">
        <x:v>46246.22329861111</x:v>
      </x:c>
      <x:c r="C145" t="str">
        <x:v>2026-08-12</x:v>
      </x:c>
      <x:c r="D145" t="str">
        <x:v>netease_cloud_music</x:v>
      </x:c>
      <x:c r="E145" t="str">
        <x:v>CN</x:v>
      </x:c>
      <x:c r="F145" t="str">
        <x:v>rising</x:v>
      </x:c>
      <x:c r="G145" t="str">
        <x:v>飙升榜</x:v>
      </x:c>
      <x:c r="H145" t="str">
        <x:v>19723756</x:v>
      </x:c>
      <x:c r="I145" t="n">
        <x:v>100</x:v>
      </x:c>
      <x:c r="J145" t="n">
        <x:v>41</x:v>
      </x:c>
      <x:c r="K145" t="n">
        <x:v>60</x:v>
      </x:c>
      <x:c r="L145" t="str">
        <x:v>3414309357</x:v>
      </x:c>
      <x:c r="M145" t="str">
        <x:v>アクマバライ (feat. 雨衣 &amp; 初音ミク)</x:v>
      </x:c>
      <x:c r="N145" t="str">
        <x:v>125844556 | 97136660 | 159692</x:v>
      </x:c>
      <x:c r="O145" t="str">
        <x:v>うちのボカロは様子がおかしい | 雨衣 | 初音ミク</x:v>
      </x:c>
      <x:c r="P145" t="str">
        <x:v>390044400</x:v>
      </x:c>
      <x:c r="Q145" t="str">
        <x:v>アクマバライ (feat. 雨衣 &amp; 初音ミク)</x:v>
      </x:c>
      <x:c r="R145" t="str">
        <x:v>2026-08-10</x:v>
      </x:c>
      <x:c r="S145" t="str"/>
      <x:c r="T145" t="n">
        <x:v>81</x:v>
      </x:c>
      <x:c r="U145" t="n">
        <x:v>40</x:v>
      </x:c>
      <x:c r="V145" t="str">
        <x:v>https://music.163.com/song?id=3414309357</x:v>
      </x:c>
      <x:c r="W145" t="str">
        <x:v>http://p1.music.126.net/WNQJpgrrsKHkx3GB3Rx9Ow==/109951173669845833.jpg</x:v>
      </x:c>
      <x:c r="X145" t="str">
        <x:v>https://music.163.com/discover/toplist?id=19723756</x:v>
      </x:c>
      <x:c r="Y145" t="str">
        <x:v>https://music.163.com/api/playlist/detail?id=19723756&amp;n=100</x:v>
      </x:c>
      <x:c r="Z145" s="24" t="str">
        <x:f>IFERROR(VLOOKUP(F145,'07_字典与参数'!$A$5:$E$10,3,FALSE),"待映射")</x:f>
        <x:v>网易云音乐</x:v>
      </x:c>
      <x:c r="AA145" s="24" t="str">
        <x:f>IFERROR(VLOOKUP(F145,'07_字典与参数'!$A$5:$E$10,2,FALSE),"待映射")</x:f>
        <x:v>飙升榜</x:v>
      </x:c>
      <x:c r="AB145" s="24" t="str">
        <x:f>IFERROR(VLOOKUP(F145,'07_字典与参数'!$A$5:$E$10,4,FALSE),"待映射")</x:f>
        <x:v>每日</x:v>
      </x:c>
      <x:c r="AC145" s="24" t="str">
        <x:f>D145&amp;"|"&amp;F145&amp;"|"&amp;L145</x:f>
        <x:v>netease_cloud_music|rising|3414309357</x:v>
      </x:c>
      <x:c r="AD145" s="24" t="str">
        <x:f>IF(J145&lt;=10,"是","否")</x:f>
        <x:v>否</x:v>
      </x:c>
      <x:c r="AE145" s="24" t="n">
        <x:f>IFERROR(YEAR(R145),"缺失")</x:f>
        <x:v>2026</x:v>
      </x:c>
    </x:row>
    <x:row r="146">
      <x:c r="A146" t="str">
        <x:v>20260812T132133+0800</x:v>
      </x:c>
      <x:c r="B146" t="n">
        <x:v>46246.22329861111</x:v>
      </x:c>
      <x:c r="C146" t="str">
        <x:v>2026-08-12</x:v>
      </x:c>
      <x:c r="D146" t="str">
        <x:v>netease_cloud_music</x:v>
      </x:c>
      <x:c r="E146" t="str">
        <x:v>CN</x:v>
      </x:c>
      <x:c r="F146" t="str">
        <x:v>rising</x:v>
      </x:c>
      <x:c r="G146" t="str">
        <x:v>飙升榜</x:v>
      </x:c>
      <x:c r="H146" t="str">
        <x:v>19723756</x:v>
      </x:c>
      <x:c r="I146" t="n">
        <x:v>100</x:v>
      </x:c>
      <x:c r="J146" t="n">
        <x:v>42</x:v>
      </x:c>
      <x:c r="K146" t="n">
        <x:v>59</x:v>
      </x:c>
      <x:c r="L146" t="str">
        <x:v>1852957189</x:v>
      </x:c>
      <x:c r="M146" t="str">
        <x:v>Not My Fault</x:v>
      </x:c>
      <x:c r="N146" t="str">
        <x:v>47297806</x:v>
      </x:c>
      <x:c r="O146" t="str">
        <x:v>YALUNO</x:v>
      </x:c>
      <x:c r="P146" t="str">
        <x:v>128946473</x:v>
      </x:c>
      <x:c r="Q146" t="str">
        <x:v>Not My Fault</x:v>
      </x:c>
      <x:c r="R146" t="str"/>
      <x:c r="S146" t="str"/>
      <x:c r="T146"/>
      <x:c r="U146"/>
      <x:c r="V146" t="str">
        <x:v>https://music.163.com/song?id=1852957189</x:v>
      </x:c>
      <x:c r="W146" t="str">
        <x:v>http://p1.music.126.net/HpTZUW8d-_dZumwwdcSzZA==/109951166083761122.jpg</x:v>
      </x:c>
      <x:c r="X146" t="str">
        <x:v>https://music.163.com/discover/toplist?id=19723756</x:v>
      </x:c>
      <x:c r="Y146" t="str">
        <x:v>https://music.163.com/api/playlist/detail?id=19723756&amp;n=100</x:v>
      </x:c>
      <x:c r="Z146" s="24" t="str">
        <x:f>IFERROR(VLOOKUP(F146,'07_字典与参数'!$A$5:$E$10,3,FALSE),"待映射")</x:f>
        <x:v>网易云音乐</x:v>
      </x:c>
      <x:c r="AA146" s="24" t="str">
        <x:f>IFERROR(VLOOKUP(F146,'07_字典与参数'!$A$5:$E$10,2,FALSE),"待映射")</x:f>
        <x:v>飙升榜</x:v>
      </x:c>
      <x:c r="AB146" s="24" t="str">
        <x:f>IFERROR(VLOOKUP(F146,'07_字典与参数'!$A$5:$E$10,4,FALSE),"待映射")</x:f>
        <x:v>每日</x:v>
      </x:c>
      <x:c r="AC146" s="24" t="str">
        <x:f>D146&amp;"|"&amp;F146&amp;"|"&amp;L146</x:f>
        <x:v>netease_cloud_music|rising|1852957189</x:v>
      </x:c>
      <x:c r="AD146" s="24" t="str">
        <x:f>IF(J146&lt;=10,"是","否")</x:f>
        <x:v>否</x:v>
      </x:c>
      <x:c r="AE146" s="24" t="str">
        <x:f>IFERROR(YEAR(R146),"缺失")</x:f>
        <x:v>缺失</x:v>
      </x:c>
    </x:row>
    <x:row r="147">
      <x:c r="A147" t="str">
        <x:v>20260812T132133+0800</x:v>
      </x:c>
      <x:c r="B147" t="n">
        <x:v>46246.22329861111</x:v>
      </x:c>
      <x:c r="C147" t="str">
        <x:v>2026-08-12</x:v>
      </x:c>
      <x:c r="D147" t="str">
        <x:v>netease_cloud_music</x:v>
      </x:c>
      <x:c r="E147" t="str">
        <x:v>CN</x:v>
      </x:c>
      <x:c r="F147" t="str">
        <x:v>rising</x:v>
      </x:c>
      <x:c r="G147" t="str">
        <x:v>飙升榜</x:v>
      </x:c>
      <x:c r="H147" t="str">
        <x:v>19723756</x:v>
      </x:c>
      <x:c r="I147" t="n">
        <x:v>100</x:v>
      </x:c>
      <x:c r="J147" t="n">
        <x:v>43</x:v>
      </x:c>
      <x:c r="K147" t="n">
        <x:v>58</x:v>
      </x:c>
      <x:c r="L147" t="str">
        <x:v>191070</x:v>
      </x:c>
      <x:c r="M147" t="str">
        <x:v>习惯了</x:v>
      </x:c>
      <x:c r="N147" t="str">
        <x:v>6472</x:v>
      </x:c>
      <x:c r="O147" t="str">
        <x:v>张杰</x:v>
      </x:c>
      <x:c r="P147" t="str">
        <x:v>19298</x:v>
      </x:c>
      <x:c r="Q147" t="str">
        <x:v>这，就是爱</x:v>
      </x:c>
      <x:c r="R147" t="str">
        <x:v>2010-11-22</x:v>
      </x:c>
      <x:c r="S147" t="str"/>
      <x:c r="T147"/>
      <x:c r="U147"/>
      <x:c r="V147" t="str">
        <x:v>https://music.163.com/song?id=191070</x:v>
      </x:c>
      <x:c r="W147" t="str">
        <x:v>http://p1.music.126.net/-IjIggUaU6QOg04LtWhjDA==/109951163940905361.jpg</x:v>
      </x:c>
      <x:c r="X147" t="str">
        <x:v>https://music.163.com/discover/toplist?id=19723756</x:v>
      </x:c>
      <x:c r="Y147" t="str">
        <x:v>https://music.163.com/api/playlist/detail?id=19723756&amp;n=100</x:v>
      </x:c>
      <x:c r="Z147" s="24" t="str">
        <x:f>IFERROR(VLOOKUP(F147,'07_字典与参数'!$A$5:$E$10,3,FALSE),"待映射")</x:f>
        <x:v>网易云音乐</x:v>
      </x:c>
      <x:c r="AA147" s="24" t="str">
        <x:f>IFERROR(VLOOKUP(F147,'07_字典与参数'!$A$5:$E$10,2,FALSE),"待映射")</x:f>
        <x:v>飙升榜</x:v>
      </x:c>
      <x:c r="AB147" s="24" t="str">
        <x:f>IFERROR(VLOOKUP(F147,'07_字典与参数'!$A$5:$E$10,4,FALSE),"待映射")</x:f>
        <x:v>每日</x:v>
      </x:c>
      <x:c r="AC147" s="24" t="str">
        <x:f>D147&amp;"|"&amp;F147&amp;"|"&amp;L147</x:f>
        <x:v>netease_cloud_music|rising|191070</x:v>
      </x:c>
      <x:c r="AD147" s="24" t="str">
        <x:f>IF(J147&lt;=10,"是","否")</x:f>
        <x:v>否</x:v>
      </x:c>
      <x:c r="AE147" s="24" t="n">
        <x:f>IFERROR(YEAR(R147),"缺失")</x:f>
        <x:v>2010</x:v>
      </x:c>
    </x:row>
    <x:row r="148">
      <x:c r="A148" t="str">
        <x:v>20260812T132133+0800</x:v>
      </x:c>
      <x:c r="B148" t="n">
        <x:v>46246.22329861111</x:v>
      </x:c>
      <x:c r="C148" t="str">
        <x:v>2026-08-12</x:v>
      </x:c>
      <x:c r="D148" t="str">
        <x:v>netease_cloud_music</x:v>
      </x:c>
      <x:c r="E148" t="str">
        <x:v>CN</x:v>
      </x:c>
      <x:c r="F148" t="str">
        <x:v>rising</x:v>
      </x:c>
      <x:c r="G148" t="str">
        <x:v>飙升榜</x:v>
      </x:c>
      <x:c r="H148" t="str">
        <x:v>19723756</x:v>
      </x:c>
      <x:c r="I148" t="n">
        <x:v>100</x:v>
      </x:c>
      <x:c r="J148" t="n">
        <x:v>44</x:v>
      </x:c>
      <x:c r="K148" t="n">
        <x:v>57</x:v>
      </x:c>
      <x:c r="L148" t="str">
        <x:v>3400883425</x:v>
      </x:c>
      <x:c r="M148" t="str">
        <x:v>SLICK</x:v>
      </x:c>
      <x:c r="N148" t="str">
        <x:v>36143421</x:v>
      </x:c>
      <x:c r="O148" t="str">
        <x:v>Victony</x:v>
      </x:c>
      <x:c r="P148" t="str">
        <x:v>384938213</x:v>
      </x:c>
      <x:c r="Q148" t="str">
        <x:v>SLICK</x:v>
      </x:c>
      <x:c r="R148" t="str">
        <x:v>2026-07-08</x:v>
      </x:c>
      <x:c r="S148" t="str"/>
      <x:c r="T148"/>
      <x:c r="U148"/>
      <x:c r="V148" t="str">
        <x:v>https://music.163.com/song?id=3400883425</x:v>
      </x:c>
      <x:c r="W148" t="str">
        <x:v>http://p1.music.126.net/QtJ1e1LyXLda0LZZXNm-lA==/109951173496251314.jpg</x:v>
      </x:c>
      <x:c r="X148" t="str">
        <x:v>https://music.163.com/discover/toplist?id=19723756</x:v>
      </x:c>
      <x:c r="Y148" t="str">
        <x:v>https://music.163.com/api/playlist/detail?id=19723756&amp;n=100</x:v>
      </x:c>
      <x:c r="Z148" s="24" t="str">
        <x:f>IFERROR(VLOOKUP(F148,'07_字典与参数'!$A$5:$E$10,3,FALSE),"待映射")</x:f>
        <x:v>网易云音乐</x:v>
      </x:c>
      <x:c r="AA148" s="24" t="str">
        <x:f>IFERROR(VLOOKUP(F148,'07_字典与参数'!$A$5:$E$10,2,FALSE),"待映射")</x:f>
        <x:v>飙升榜</x:v>
      </x:c>
      <x:c r="AB148" s="24" t="str">
        <x:f>IFERROR(VLOOKUP(F148,'07_字典与参数'!$A$5:$E$10,4,FALSE),"待映射")</x:f>
        <x:v>每日</x:v>
      </x:c>
      <x:c r="AC148" s="24" t="str">
        <x:f>D148&amp;"|"&amp;F148&amp;"|"&amp;L148</x:f>
        <x:v>netease_cloud_music|rising|3400883425</x:v>
      </x:c>
      <x:c r="AD148" s="24" t="str">
        <x:f>IF(J148&lt;=10,"是","否")</x:f>
        <x:v>否</x:v>
      </x:c>
      <x:c r="AE148" s="24" t="n">
        <x:f>IFERROR(YEAR(R148),"缺失")</x:f>
        <x:v>2026</x:v>
      </x:c>
    </x:row>
    <x:row r="149">
      <x:c r="A149" t="str">
        <x:v>20260812T132133+0800</x:v>
      </x:c>
      <x:c r="B149" t="n">
        <x:v>46246.22329861111</x:v>
      </x:c>
      <x:c r="C149" t="str">
        <x:v>2026-08-12</x:v>
      </x:c>
      <x:c r="D149" t="str">
        <x:v>netease_cloud_music</x:v>
      </x:c>
      <x:c r="E149" t="str">
        <x:v>CN</x:v>
      </x:c>
      <x:c r="F149" t="str">
        <x:v>rising</x:v>
      </x:c>
      <x:c r="G149" t="str">
        <x:v>飙升榜</x:v>
      </x:c>
      <x:c r="H149" t="str">
        <x:v>19723756</x:v>
      </x:c>
      <x:c r="I149" t="n">
        <x:v>100</x:v>
      </x:c>
      <x:c r="J149" t="n">
        <x:v>45</x:v>
      </x:c>
      <x:c r="K149" t="n">
        <x:v>56</x:v>
      </x:c>
      <x:c r="L149" t="str">
        <x:v>2086030509</x:v>
      </x:c>
      <x:c r="M149" t="str">
        <x:v>Mimosa 2000</x:v>
      </x:c>
      <x:c r="N149" t="str">
        <x:v>14556602 | 245449</x:v>
      </x:c>
      <x:c r="O149" t="str">
        <x:v>Furaçao 2000 | Nyasia</x:v>
      </x:c>
      <x:c r="P149" t="str">
        <x:v>175734250</x:v>
      </x:c>
      <x:c r="Q149" t="str">
        <x:v>27 Anos Nacional</x:v>
      </x:c>
      <x:c r="R149" t="str">
        <x:v>2000-03-09</x:v>
      </x:c>
      <x:c r="S149" t="str"/>
      <x:c r="T149" t="n">
        <x:v>66</x:v>
      </x:c>
      <x:c r="U149" t="n">
        <x:v>21</x:v>
      </x:c>
      <x:c r="V149" t="str">
        <x:v>https://music.163.com/song?id=2086030509</x:v>
      </x:c>
      <x:c r="W149" t="str">
        <x:v>http://p2.music.126.net/rH1_nefBSMXgPKBdpyYvMw==/109951168946231308.jpg</x:v>
      </x:c>
      <x:c r="X149" t="str">
        <x:v>https://music.163.com/discover/toplist?id=19723756</x:v>
      </x:c>
      <x:c r="Y149" t="str">
        <x:v>https://music.163.com/api/playlist/detail?id=19723756&amp;n=100</x:v>
      </x:c>
      <x:c r="Z149" s="24" t="str">
        <x:f>IFERROR(VLOOKUP(F149,'07_字典与参数'!$A$5:$E$10,3,FALSE),"待映射")</x:f>
        <x:v>网易云音乐</x:v>
      </x:c>
      <x:c r="AA149" s="24" t="str">
        <x:f>IFERROR(VLOOKUP(F149,'07_字典与参数'!$A$5:$E$10,2,FALSE),"待映射")</x:f>
        <x:v>飙升榜</x:v>
      </x:c>
      <x:c r="AB149" s="24" t="str">
        <x:f>IFERROR(VLOOKUP(F149,'07_字典与参数'!$A$5:$E$10,4,FALSE),"待映射")</x:f>
        <x:v>每日</x:v>
      </x:c>
      <x:c r="AC149" s="24" t="str">
        <x:f>D149&amp;"|"&amp;F149&amp;"|"&amp;L149</x:f>
        <x:v>netease_cloud_music|rising|2086030509</x:v>
      </x:c>
      <x:c r="AD149" s="24" t="str">
        <x:f>IF(J149&lt;=10,"是","否")</x:f>
        <x:v>否</x:v>
      </x:c>
      <x:c r="AE149" s="24" t="n">
        <x:f>IFERROR(YEAR(R149),"缺失")</x:f>
        <x:v>2000</x:v>
      </x:c>
    </x:row>
    <x:row r="150">
      <x:c r="A150" t="str">
        <x:v>20260812T132133+0800</x:v>
      </x:c>
      <x:c r="B150" t="n">
        <x:v>46246.22329861111</x:v>
      </x:c>
      <x:c r="C150" t="str">
        <x:v>2026-08-12</x:v>
      </x:c>
      <x:c r="D150" t="str">
        <x:v>netease_cloud_music</x:v>
      </x:c>
      <x:c r="E150" t="str">
        <x:v>CN</x:v>
      </x:c>
      <x:c r="F150" t="str">
        <x:v>rising</x:v>
      </x:c>
      <x:c r="G150" t="str">
        <x:v>飙升榜</x:v>
      </x:c>
      <x:c r="H150" t="str">
        <x:v>19723756</x:v>
      </x:c>
      <x:c r="I150" t="n">
        <x:v>100</x:v>
      </x:c>
      <x:c r="J150" t="n">
        <x:v>46</x:v>
      </x:c>
      <x:c r="K150" t="n">
        <x:v>55</x:v>
      </x:c>
      <x:c r="L150" t="str">
        <x:v>1841222307</x:v>
      </x:c>
      <x:c r="M150" t="str">
        <x:v>嗜好（LIVE）</x:v>
      </x:c>
      <x:c r="N150" t="str">
        <x:v>12785088 | 31376161</x:v>
      </x:c>
      <x:c r="O150" t="str">
        <x:v>网易音乐人 | 颜人中</x:v>
      </x:c>
      <x:c r="P150" t="str">
        <x:v>126689020</x:v>
      </x:c>
      <x:c r="Q150" t="str">
        <x:v>硬地围炉夜·2019-2020 网易云音乐原创盛典 LIVE合辑</x:v>
      </x:c>
      <x:c r="R150" t="str"/>
      <x:c r="S150" t="str"/>
      <x:c r="T150"/>
      <x:c r="U150"/>
      <x:c r="V150" t="str">
        <x:v>https://music.163.com/song?id=1841222307</x:v>
      </x:c>
      <x:c r="W150" t="str">
        <x:v>http://p2.music.126.net/udQY2KreDhB8a6gi6ZjTMQ==/109951165931429158.jpg</x:v>
      </x:c>
      <x:c r="X150" t="str">
        <x:v>https://music.163.com/discover/toplist?id=19723756</x:v>
      </x:c>
      <x:c r="Y150" t="str">
        <x:v>https://music.163.com/api/playlist/detail?id=19723756&amp;n=100</x:v>
      </x:c>
      <x:c r="Z150" s="24" t="str">
        <x:f>IFERROR(VLOOKUP(F150,'07_字典与参数'!$A$5:$E$10,3,FALSE),"待映射")</x:f>
        <x:v>网易云音乐</x:v>
      </x:c>
      <x:c r="AA150" s="24" t="str">
        <x:f>IFERROR(VLOOKUP(F150,'07_字典与参数'!$A$5:$E$10,2,FALSE),"待映射")</x:f>
        <x:v>飙升榜</x:v>
      </x:c>
      <x:c r="AB150" s="24" t="str">
        <x:f>IFERROR(VLOOKUP(F150,'07_字典与参数'!$A$5:$E$10,4,FALSE),"待映射")</x:f>
        <x:v>每日</x:v>
      </x:c>
      <x:c r="AC150" s="24" t="str">
        <x:f>D150&amp;"|"&amp;F150&amp;"|"&amp;L150</x:f>
        <x:v>netease_cloud_music|rising|1841222307</x:v>
      </x:c>
      <x:c r="AD150" s="24" t="str">
        <x:f>IF(J150&lt;=10,"是","否")</x:f>
        <x:v>否</x:v>
      </x:c>
      <x:c r="AE150" s="24" t="str">
        <x:f>IFERROR(YEAR(R150),"缺失")</x:f>
        <x:v>缺失</x:v>
      </x:c>
    </x:row>
    <x:row r="151">
      <x:c r="A151" t="str">
        <x:v>20260812T132133+0800</x:v>
      </x:c>
      <x:c r="B151" t="n">
        <x:v>46246.22329861111</x:v>
      </x:c>
      <x:c r="C151" t="str">
        <x:v>2026-08-12</x:v>
      </x:c>
      <x:c r="D151" t="str">
        <x:v>netease_cloud_music</x:v>
      </x:c>
      <x:c r="E151" t="str">
        <x:v>CN</x:v>
      </x:c>
      <x:c r="F151" t="str">
        <x:v>rising</x:v>
      </x:c>
      <x:c r="G151" t="str">
        <x:v>飙升榜</x:v>
      </x:c>
      <x:c r="H151" t="str">
        <x:v>19723756</x:v>
      </x:c>
      <x:c r="I151" t="n">
        <x:v>100</x:v>
      </x:c>
      <x:c r="J151" t="n">
        <x:v>47</x:v>
      </x:c>
      <x:c r="K151" t="n">
        <x:v>54</x:v>
      </x:c>
      <x:c r="L151" t="str">
        <x:v>1422994414</x:v>
      </x:c>
      <x:c r="M151" t="str">
        <x:v>恢弘的大梦</x:v>
      </x:c>
      <x:c r="N151" t="str">
        <x:v>1026039</x:v>
      </x:c>
      <x:c r="O151" t="str">
        <x:v>鲸鱼马戏团</x:v>
      </x:c>
      <x:c r="P151" t="str">
        <x:v>85684839</x:v>
      </x:c>
      <x:c r="Q151" t="str">
        <x:v>情爱江南之杜月笙与孟小冬</x:v>
      </x:c>
      <x:c r="R151" t="str"/>
      <x:c r="S151" t="str"/>
      <x:c r="T151" t="n">
        <x:v>26</x:v>
      </x:c>
      <x:c r="U151" t="n">
        <x:v>-21</x:v>
      </x:c>
      <x:c r="V151" t="str">
        <x:v>https://music.163.com/song?id=1422994414</x:v>
      </x:c>
      <x:c r="W151" t="str">
        <x:v>http://p2.music.126.net/jtqH3sYJmAa4k5SUb9jFxA==/109951164703124920.jpg</x:v>
      </x:c>
      <x:c r="X151" t="str">
        <x:v>https://music.163.com/discover/toplist?id=19723756</x:v>
      </x:c>
      <x:c r="Y151" t="str">
        <x:v>https://music.163.com/api/playlist/detail?id=19723756&amp;n=100</x:v>
      </x:c>
      <x:c r="Z151" s="24" t="str">
        <x:f>IFERROR(VLOOKUP(F151,'07_字典与参数'!$A$5:$E$10,3,FALSE),"待映射")</x:f>
        <x:v>网易云音乐</x:v>
      </x:c>
      <x:c r="AA151" s="24" t="str">
        <x:f>IFERROR(VLOOKUP(F151,'07_字典与参数'!$A$5:$E$10,2,FALSE),"待映射")</x:f>
        <x:v>飙升榜</x:v>
      </x:c>
      <x:c r="AB151" s="24" t="str">
        <x:f>IFERROR(VLOOKUP(F151,'07_字典与参数'!$A$5:$E$10,4,FALSE),"待映射")</x:f>
        <x:v>每日</x:v>
      </x:c>
      <x:c r="AC151" s="24" t="str">
        <x:f>D151&amp;"|"&amp;F151&amp;"|"&amp;L151</x:f>
        <x:v>netease_cloud_music|rising|1422994414</x:v>
      </x:c>
      <x:c r="AD151" s="24" t="str">
        <x:f>IF(J151&lt;=10,"是","否")</x:f>
        <x:v>否</x:v>
      </x:c>
      <x:c r="AE151" s="24" t="str">
        <x:f>IFERROR(YEAR(R151),"缺失")</x:f>
        <x:v>缺失</x:v>
      </x:c>
    </x:row>
    <x:row r="152">
      <x:c r="A152" t="str">
        <x:v>20260812T132133+0800</x:v>
      </x:c>
      <x:c r="B152" t="n">
        <x:v>46246.22329861111</x:v>
      </x:c>
      <x:c r="C152" t="str">
        <x:v>2026-08-12</x:v>
      </x:c>
      <x:c r="D152" t="str">
        <x:v>netease_cloud_music</x:v>
      </x:c>
      <x:c r="E152" t="str">
        <x:v>CN</x:v>
      </x:c>
      <x:c r="F152" t="str">
        <x:v>rising</x:v>
      </x:c>
      <x:c r="G152" t="str">
        <x:v>飙升榜</x:v>
      </x:c>
      <x:c r="H152" t="str">
        <x:v>19723756</x:v>
      </x:c>
      <x:c r="I152" t="n">
        <x:v>100</x:v>
      </x:c>
      <x:c r="J152" t="n">
        <x:v>48</x:v>
      </x:c>
      <x:c r="K152" t="n">
        <x:v>53</x:v>
      </x:c>
      <x:c r="L152" t="str">
        <x:v>3408625211</x:v>
      </x:c>
      <x:c r="M152" t="str">
        <x:v>Not The Time（Give up）</x:v>
      </x:c>
      <x:c r="N152" t="str">
        <x:v>60864281</x:v>
      </x:c>
      <x:c r="O152" t="str">
        <x:v>胧</x:v>
      </x:c>
      <x:c r="P152" t="str">
        <x:v>387859775</x:v>
      </x:c>
      <x:c r="Q152" t="str">
        <x:v>Not The Time</x:v>
      </x:c>
      <x:c r="R152" t="str"/>
      <x:c r="S152" t="str"/>
      <x:c r="T152"/>
      <x:c r="U152"/>
      <x:c r="V152" t="str">
        <x:v>https://music.163.com/song?id=3408625211</x:v>
      </x:c>
      <x:c r="W152" t="str">
        <x:v>http://p2.music.126.net/nzBQd_oKO4Dwo-AV8DXpbw==/109951173592868347.jpg</x:v>
      </x:c>
      <x:c r="X152" t="str">
        <x:v>https://music.163.com/discover/toplist?id=19723756</x:v>
      </x:c>
      <x:c r="Y152" t="str">
        <x:v>https://music.163.com/api/playlist/detail?id=19723756&amp;n=100</x:v>
      </x:c>
      <x:c r="Z152" s="24" t="str">
        <x:f>IFERROR(VLOOKUP(F152,'07_字典与参数'!$A$5:$E$10,3,FALSE),"待映射")</x:f>
        <x:v>网易云音乐</x:v>
      </x:c>
      <x:c r="AA152" s="24" t="str">
        <x:f>IFERROR(VLOOKUP(F152,'07_字典与参数'!$A$5:$E$10,2,FALSE),"待映射")</x:f>
        <x:v>飙升榜</x:v>
      </x:c>
      <x:c r="AB152" s="24" t="str">
        <x:f>IFERROR(VLOOKUP(F152,'07_字典与参数'!$A$5:$E$10,4,FALSE),"待映射")</x:f>
        <x:v>每日</x:v>
      </x:c>
      <x:c r="AC152" s="24" t="str">
        <x:f>D152&amp;"|"&amp;F152&amp;"|"&amp;L152</x:f>
        <x:v>netease_cloud_music|rising|3408625211</x:v>
      </x:c>
      <x:c r="AD152" s="24" t="str">
        <x:f>IF(J152&lt;=10,"是","否")</x:f>
        <x:v>否</x:v>
      </x:c>
      <x:c r="AE152" s="24" t="str">
        <x:f>IFERROR(YEAR(R152),"缺失")</x:f>
        <x:v>缺失</x:v>
      </x:c>
    </x:row>
    <x:row r="153">
      <x:c r="A153" t="str">
        <x:v>20260812T132133+0800</x:v>
      </x:c>
      <x:c r="B153" t="n">
        <x:v>46246.22329861111</x:v>
      </x:c>
      <x:c r="C153" t="str">
        <x:v>2026-08-12</x:v>
      </x:c>
      <x:c r="D153" t="str">
        <x:v>netease_cloud_music</x:v>
      </x:c>
      <x:c r="E153" t="str">
        <x:v>CN</x:v>
      </x:c>
      <x:c r="F153" t="str">
        <x:v>rising</x:v>
      </x:c>
      <x:c r="G153" t="str">
        <x:v>飙升榜</x:v>
      </x:c>
      <x:c r="H153" t="str">
        <x:v>19723756</x:v>
      </x:c>
      <x:c r="I153" t="n">
        <x:v>100</x:v>
      </x:c>
      <x:c r="J153" t="n">
        <x:v>49</x:v>
      </x:c>
      <x:c r="K153" t="n">
        <x:v>52</x:v>
      </x:c>
      <x:c r="L153" t="str">
        <x:v>2123180802</x:v>
      </x:c>
      <x:c r="M153" t="str">
        <x:v>落笔</x:v>
      </x:c>
      <x:c r="N153" t="str">
        <x:v>14588567</x:v>
      </x:c>
      <x:c r="O153" t="str">
        <x:v>张曦匀</x:v>
      </x:c>
      <x:c r="P153" t="str">
        <x:v>184903735</x:v>
      </x:c>
      <x:c r="Q153" t="str">
        <x:v>落笔</x:v>
      </x:c>
      <x:c r="R153" t="str">
        <x:v>2024-02-06</x:v>
      </x:c>
      <x:c r="S153" t="str"/>
      <x:c r="T153"/>
      <x:c r="U153"/>
      <x:c r="V153" t="str">
        <x:v>https://music.163.com/song?id=2123180802</x:v>
      </x:c>
      <x:c r="W153" t="str">
        <x:v>http://p2.music.126.net/g8OjXvDA6aW7qJcw9myj7A==/109951169305619606.jpg</x:v>
      </x:c>
      <x:c r="X153" t="str">
        <x:v>https://music.163.com/discover/toplist?id=19723756</x:v>
      </x:c>
      <x:c r="Y153" t="str">
        <x:v>https://music.163.com/api/playlist/detail?id=19723756&amp;n=100</x:v>
      </x:c>
      <x:c r="Z153" s="24" t="str">
        <x:f>IFERROR(VLOOKUP(F153,'07_字典与参数'!$A$5:$E$10,3,FALSE),"待映射")</x:f>
        <x:v>网易云音乐</x:v>
      </x:c>
      <x:c r="AA153" s="24" t="str">
        <x:f>IFERROR(VLOOKUP(F153,'07_字典与参数'!$A$5:$E$10,2,FALSE),"待映射")</x:f>
        <x:v>飙升榜</x:v>
      </x:c>
      <x:c r="AB153" s="24" t="str">
        <x:f>IFERROR(VLOOKUP(F153,'07_字典与参数'!$A$5:$E$10,4,FALSE),"待映射")</x:f>
        <x:v>每日</x:v>
      </x:c>
      <x:c r="AC153" s="24" t="str">
        <x:f>D153&amp;"|"&amp;F153&amp;"|"&amp;L153</x:f>
        <x:v>netease_cloud_music|rising|2123180802</x:v>
      </x:c>
      <x:c r="AD153" s="24" t="str">
        <x:f>IF(J153&lt;=10,"是","否")</x:f>
        <x:v>否</x:v>
      </x:c>
      <x:c r="AE153" s="24" t="n">
        <x:f>IFERROR(YEAR(R153),"缺失")</x:f>
        <x:v>2024</x:v>
      </x:c>
    </x:row>
    <x:row r="154">
      <x:c r="A154" t="str">
        <x:v>20260812T132133+0800</x:v>
      </x:c>
      <x:c r="B154" t="n">
        <x:v>46246.22329861111</x:v>
      </x:c>
      <x:c r="C154" t="str">
        <x:v>2026-08-12</x:v>
      </x:c>
      <x:c r="D154" t="str">
        <x:v>netease_cloud_music</x:v>
      </x:c>
      <x:c r="E154" t="str">
        <x:v>CN</x:v>
      </x:c>
      <x:c r="F154" t="str">
        <x:v>rising</x:v>
      </x:c>
      <x:c r="G154" t="str">
        <x:v>飙升榜</x:v>
      </x:c>
      <x:c r="H154" t="str">
        <x:v>19723756</x:v>
      </x:c>
      <x:c r="I154" t="n">
        <x:v>100</x:v>
      </x:c>
      <x:c r="J154" t="n">
        <x:v>50</x:v>
      </x:c>
      <x:c r="K154" t="n">
        <x:v>51</x:v>
      </x:c>
      <x:c r="L154" t="str">
        <x:v>3419378932</x:v>
      </x:c>
      <x:c r="M154" t="str">
        <x:v>傻鱼</x:v>
      </x:c>
      <x:c r="N154" t="str">
        <x:v>5370</x:v>
      </x:c>
      <x:c r="O154" t="str">
        <x:v>王栎鑫</x:v>
      </x:c>
      <x:c r="P154" t="str">
        <x:v>391792614</x:v>
      </x:c>
      <x:c r="Q154" t="str">
        <x:v>傻鱼</x:v>
      </x:c>
      <x:c r="R154" t="str">
        <x:v>2026-08-10</x:v>
      </x:c>
      <x:c r="S154" t="str"/>
      <x:c r="T154"/>
      <x:c r="U154"/>
      <x:c r="V154" t="str">
        <x:v>https://music.163.com/song?id=3419378932</x:v>
      </x:c>
      <x:c r="W154" t="str">
        <x:v>http://p2.music.126.net/E8ZgzHT_2qQt63q2eV-9Aw==/109951173727416122.jpg</x:v>
      </x:c>
      <x:c r="X154" t="str">
        <x:v>https://music.163.com/discover/toplist?id=19723756</x:v>
      </x:c>
      <x:c r="Y154" t="str">
        <x:v>https://music.163.com/api/playlist/detail?id=19723756&amp;n=100</x:v>
      </x:c>
      <x:c r="Z154" s="24" t="str">
        <x:f>IFERROR(VLOOKUP(F154,'07_字典与参数'!$A$5:$E$10,3,FALSE),"待映射")</x:f>
        <x:v>网易云音乐</x:v>
      </x:c>
      <x:c r="AA154" s="24" t="str">
        <x:f>IFERROR(VLOOKUP(F154,'07_字典与参数'!$A$5:$E$10,2,FALSE),"待映射")</x:f>
        <x:v>飙升榜</x:v>
      </x:c>
      <x:c r="AB154" s="24" t="str">
        <x:f>IFERROR(VLOOKUP(F154,'07_字典与参数'!$A$5:$E$10,4,FALSE),"待映射")</x:f>
        <x:v>每日</x:v>
      </x:c>
      <x:c r="AC154" s="24" t="str">
        <x:f>D154&amp;"|"&amp;F154&amp;"|"&amp;L154</x:f>
        <x:v>netease_cloud_music|rising|3419378932</x:v>
      </x:c>
      <x:c r="AD154" s="24" t="str">
        <x:f>IF(J154&lt;=10,"是","否")</x:f>
        <x:v>否</x:v>
      </x:c>
      <x:c r="AE154" s="24" t="n">
        <x:f>IFERROR(YEAR(R154),"缺失")</x:f>
        <x:v>2026</x:v>
      </x:c>
    </x:row>
    <x:row r="155">
      <x:c r="A155" t="str">
        <x:v>20260812T132133+0800</x:v>
      </x:c>
      <x:c r="B155" t="n">
        <x:v>46246.22329861111</x:v>
      </x:c>
      <x:c r="C155" t="str">
        <x:v>2026-08-12</x:v>
      </x:c>
      <x:c r="D155" t="str">
        <x:v>netease_cloud_music</x:v>
      </x:c>
      <x:c r="E155" t="str">
        <x:v>CN</x:v>
      </x:c>
      <x:c r="F155" t="str">
        <x:v>rising</x:v>
      </x:c>
      <x:c r="G155" t="str">
        <x:v>飙升榜</x:v>
      </x:c>
      <x:c r="H155" t="str">
        <x:v>19723756</x:v>
      </x:c>
      <x:c r="I155" t="n">
        <x:v>100</x:v>
      </x:c>
      <x:c r="J155" t="n">
        <x:v>51</x:v>
      </x:c>
      <x:c r="K155" t="n">
        <x:v>50</x:v>
      </x:c>
      <x:c r="L155" t="str">
        <x:v>3417794184</x:v>
      </x:c>
      <x:c r="M155" t="str">
        <x:v>我们的纪念 (Live版)</x:v>
      </x:c>
      <x:c r="N155" t="str">
        <x:v>10199 | 12073309</x:v>
      </x:c>
      <x:c r="O155" t="str">
        <x:v>杨丞琳 | 侯明昊</x:v>
      </x:c>
      <x:c r="P155" t="str">
        <x:v>391306962</x:v>
      </x:c>
      <x:c r="Q155" t="str">
        <x:v>天赐的声音第七季 第9期</x:v>
      </x:c>
      <x:c r="R155" t="str"/>
      <x:c r="S155" t="str"/>
      <x:c r="T155" t="n">
        <x:v>58</x:v>
      </x:c>
      <x:c r="U155" t="n">
        <x:v>7</x:v>
      </x:c>
      <x:c r="V155" t="str">
        <x:v>https://music.163.com/song?id=3417794184</x:v>
      </x:c>
      <x:c r="W155" t="str">
        <x:v>http://p2.music.126.net/CXT__Ad1LlGmPTVNEWnjsA==/109951173710562303.jpg</x:v>
      </x:c>
      <x:c r="X155" t="str">
        <x:v>https://music.163.com/discover/toplist?id=19723756</x:v>
      </x:c>
      <x:c r="Y155" t="str">
        <x:v>https://music.163.com/api/playlist/detail?id=19723756&amp;n=100</x:v>
      </x:c>
      <x:c r="Z155" s="24" t="str">
        <x:f>IFERROR(VLOOKUP(F155,'07_字典与参数'!$A$5:$E$10,3,FALSE),"待映射")</x:f>
        <x:v>网易云音乐</x:v>
      </x:c>
      <x:c r="AA155" s="24" t="str">
        <x:f>IFERROR(VLOOKUP(F155,'07_字典与参数'!$A$5:$E$10,2,FALSE),"待映射")</x:f>
        <x:v>飙升榜</x:v>
      </x:c>
      <x:c r="AB155" s="24" t="str">
        <x:f>IFERROR(VLOOKUP(F155,'07_字典与参数'!$A$5:$E$10,4,FALSE),"待映射")</x:f>
        <x:v>每日</x:v>
      </x:c>
      <x:c r="AC155" s="24" t="str">
        <x:f>D155&amp;"|"&amp;F155&amp;"|"&amp;L155</x:f>
        <x:v>netease_cloud_music|rising|3417794184</x:v>
      </x:c>
      <x:c r="AD155" s="24" t="str">
        <x:f>IF(J155&lt;=10,"是","否")</x:f>
        <x:v>否</x:v>
      </x:c>
      <x:c r="AE155" s="24" t="str">
        <x:f>IFERROR(YEAR(R155),"缺失")</x:f>
        <x:v>缺失</x:v>
      </x:c>
    </x:row>
    <x:row r="156">
      <x:c r="A156" t="str">
        <x:v>20260812T132133+0800</x:v>
      </x:c>
      <x:c r="B156" t="n">
        <x:v>46246.22329861111</x:v>
      </x:c>
      <x:c r="C156" t="str">
        <x:v>2026-08-12</x:v>
      </x:c>
      <x:c r="D156" t="str">
        <x:v>netease_cloud_music</x:v>
      </x:c>
      <x:c r="E156" t="str">
        <x:v>CN</x:v>
      </x:c>
      <x:c r="F156" t="str">
        <x:v>rising</x:v>
      </x:c>
      <x:c r="G156" t="str">
        <x:v>飙升榜</x:v>
      </x:c>
      <x:c r="H156" t="str">
        <x:v>19723756</x:v>
      </x:c>
      <x:c r="I156" t="n">
        <x:v>100</x:v>
      </x:c>
      <x:c r="J156" t="n">
        <x:v>52</x:v>
      </x:c>
      <x:c r="K156" t="n">
        <x:v>49</x:v>
      </x:c>
      <x:c r="L156" t="str">
        <x:v>1899851212</x:v>
      </x:c>
      <x:c r="M156" t="str">
        <x:v>Notion</x:v>
      </x:c>
      <x:c r="N156" t="str">
        <x:v>725252</x:v>
      </x:c>
      <x:c r="O156" t="str">
        <x:v>The Rare Occasions</x:v>
      </x:c>
      <x:c r="P156" t="str">
        <x:v>136906705</x:v>
      </x:c>
      <x:c r="Q156" t="str">
        <x:v>Notion</x:v>
      </x:c>
      <x:c r="R156" t="str">
        <x:v>2021-12-02</x:v>
      </x:c>
      <x:c r="S156" t="str"/>
      <x:c r="T156"/>
      <x:c r="U156"/>
      <x:c r="V156" t="str">
        <x:v>https://music.163.com/song?id=1899851212</x:v>
      </x:c>
      <x:c r="W156" t="str">
        <x:v>http://p2.music.126.net/UCdk2DX-1Q9dSroEg6z9_g==/109951166679341298.jpg</x:v>
      </x:c>
      <x:c r="X156" t="str">
        <x:v>https://music.163.com/discover/toplist?id=19723756</x:v>
      </x:c>
      <x:c r="Y156" t="str">
        <x:v>https://music.163.com/api/playlist/detail?id=19723756&amp;n=100</x:v>
      </x:c>
      <x:c r="Z156" s="24" t="str">
        <x:f>IFERROR(VLOOKUP(F156,'07_字典与参数'!$A$5:$E$10,3,FALSE),"待映射")</x:f>
        <x:v>网易云音乐</x:v>
      </x:c>
      <x:c r="AA156" s="24" t="str">
        <x:f>IFERROR(VLOOKUP(F156,'07_字典与参数'!$A$5:$E$10,2,FALSE),"待映射")</x:f>
        <x:v>飙升榜</x:v>
      </x:c>
      <x:c r="AB156" s="24" t="str">
        <x:f>IFERROR(VLOOKUP(F156,'07_字典与参数'!$A$5:$E$10,4,FALSE),"待映射")</x:f>
        <x:v>每日</x:v>
      </x:c>
      <x:c r="AC156" s="24" t="str">
        <x:f>D156&amp;"|"&amp;F156&amp;"|"&amp;L156</x:f>
        <x:v>netease_cloud_music|rising|1899851212</x:v>
      </x:c>
      <x:c r="AD156" s="24" t="str">
        <x:f>IF(J156&lt;=10,"是","否")</x:f>
        <x:v>否</x:v>
      </x:c>
      <x:c r="AE156" s="24" t="n">
        <x:f>IFERROR(YEAR(R156),"缺失")</x:f>
        <x:v>2021</x:v>
      </x:c>
    </x:row>
    <x:row r="157">
      <x:c r="A157" t="str">
        <x:v>20260812T132133+0800</x:v>
      </x:c>
      <x:c r="B157" t="n">
        <x:v>46246.22329861111</x:v>
      </x:c>
      <x:c r="C157" t="str">
        <x:v>2026-08-12</x:v>
      </x:c>
      <x:c r="D157" t="str">
        <x:v>netease_cloud_music</x:v>
      </x:c>
      <x:c r="E157" t="str">
        <x:v>CN</x:v>
      </x:c>
      <x:c r="F157" t="str">
        <x:v>rising</x:v>
      </x:c>
      <x:c r="G157" t="str">
        <x:v>飙升榜</x:v>
      </x:c>
      <x:c r="H157" t="str">
        <x:v>19723756</x:v>
      </x:c>
      <x:c r="I157" t="n">
        <x:v>100</x:v>
      </x:c>
      <x:c r="J157" t="n">
        <x:v>53</x:v>
      </x:c>
      <x:c r="K157" t="n">
        <x:v>48</x:v>
      </x:c>
      <x:c r="L157" t="str">
        <x:v>25642707</x:v>
      </x:c>
      <x:c r="M157" t="str">
        <x:v>神啊 救救我</x:v>
      </x:c>
      <x:c r="N157" t="str">
        <x:v>2112</x:v>
      </x:c>
      <x:c r="O157" t="str">
        <x:v>陈小春</x:v>
      </x:c>
      <x:c r="P157" t="str">
        <x:v>2263135</x:v>
      </x:c>
      <x:c r="Q157" t="str">
        <x:v>绝对收藏</x:v>
      </x:c>
      <x:c r="R157" t="str">
        <x:v>2008-12-09</x:v>
      </x:c>
      <x:c r="S157" t="str"/>
      <x:c r="T157"/>
      <x:c r="U157"/>
      <x:c r="V157" t="str">
        <x:v>https://music.163.com/song?id=25642707</x:v>
      </x:c>
      <x:c r="W157" t="str">
        <x:v>http://p2.music.126.net/0wKSjHaHoSArmeNRVTcjKw==/755364488324199.jpg</x:v>
      </x:c>
      <x:c r="X157" t="str">
        <x:v>https://music.163.com/discover/toplist?id=19723756</x:v>
      </x:c>
      <x:c r="Y157" t="str">
        <x:v>https://music.163.com/api/playlist/detail?id=19723756&amp;n=100</x:v>
      </x:c>
      <x:c r="Z157" s="24" t="str">
        <x:f>IFERROR(VLOOKUP(F157,'07_字典与参数'!$A$5:$E$10,3,FALSE),"待映射")</x:f>
        <x:v>网易云音乐</x:v>
      </x:c>
      <x:c r="AA157" s="24" t="str">
        <x:f>IFERROR(VLOOKUP(F157,'07_字典与参数'!$A$5:$E$10,2,FALSE),"待映射")</x:f>
        <x:v>飙升榜</x:v>
      </x:c>
      <x:c r="AB157" s="24" t="str">
        <x:f>IFERROR(VLOOKUP(F157,'07_字典与参数'!$A$5:$E$10,4,FALSE),"待映射")</x:f>
        <x:v>每日</x:v>
      </x:c>
      <x:c r="AC157" s="24" t="str">
        <x:f>D157&amp;"|"&amp;F157&amp;"|"&amp;L157</x:f>
        <x:v>netease_cloud_music|rising|25642707</x:v>
      </x:c>
      <x:c r="AD157" s="24" t="str">
        <x:f>IF(J157&lt;=10,"是","否")</x:f>
        <x:v>否</x:v>
      </x:c>
      <x:c r="AE157" s="24" t="n">
        <x:f>IFERROR(YEAR(R157),"缺失")</x:f>
        <x:v>2008</x:v>
      </x:c>
    </x:row>
    <x:row r="158">
      <x:c r="A158" t="str">
        <x:v>20260812T132133+0800</x:v>
      </x:c>
      <x:c r="B158" t="n">
        <x:v>46246.22329861111</x:v>
      </x:c>
      <x:c r="C158" t="str">
        <x:v>2026-08-12</x:v>
      </x:c>
      <x:c r="D158" t="str">
        <x:v>netease_cloud_music</x:v>
      </x:c>
      <x:c r="E158" t="str">
        <x:v>CN</x:v>
      </x:c>
      <x:c r="F158" t="str">
        <x:v>rising</x:v>
      </x:c>
      <x:c r="G158" t="str">
        <x:v>飙升榜</x:v>
      </x:c>
      <x:c r="H158" t="str">
        <x:v>19723756</x:v>
      </x:c>
      <x:c r="I158" t="n">
        <x:v>100</x:v>
      </x:c>
      <x:c r="J158" t="n">
        <x:v>54</x:v>
      </x:c>
      <x:c r="K158" t="n">
        <x:v>47</x:v>
      </x:c>
      <x:c r="L158" t="str">
        <x:v>3406701762</x:v>
      </x:c>
      <x:c r="M158" t="str">
        <x:v>Never Endless</x:v>
      </x:c>
      <x:c r="N158" t="str">
        <x:v>59686611</x:v>
      </x:c>
      <x:c r="O158" t="str">
        <x:v>HKYE</x:v>
      </x:c>
      <x:c r="P158" t="str">
        <x:v>387020080</x:v>
      </x:c>
      <x:c r="Q158" t="str">
        <x:v>Never Endless</x:v>
      </x:c>
      <x:c r="R158" t="str"/>
      <x:c r="S158" t="str"/>
      <x:c r="T158"/>
      <x:c r="U158"/>
      <x:c r="V158" t="str">
        <x:v>https://music.163.com/song?id=3406701762</x:v>
      </x:c>
      <x:c r="W158" t="str">
        <x:v>http://p2.music.126.net/olglexZbdQA__jFLqxyseQ==/109951173560862451.jpg</x:v>
      </x:c>
      <x:c r="X158" t="str">
        <x:v>https://music.163.com/discover/toplist?id=19723756</x:v>
      </x:c>
      <x:c r="Y158" t="str">
        <x:v>https://music.163.com/api/playlist/detail?id=19723756&amp;n=100</x:v>
      </x:c>
      <x:c r="Z158" s="24" t="str">
        <x:f>IFERROR(VLOOKUP(F158,'07_字典与参数'!$A$5:$E$10,3,FALSE),"待映射")</x:f>
        <x:v>网易云音乐</x:v>
      </x:c>
      <x:c r="AA158" s="24" t="str">
        <x:f>IFERROR(VLOOKUP(F158,'07_字典与参数'!$A$5:$E$10,2,FALSE),"待映射")</x:f>
        <x:v>飙升榜</x:v>
      </x:c>
      <x:c r="AB158" s="24" t="str">
        <x:f>IFERROR(VLOOKUP(F158,'07_字典与参数'!$A$5:$E$10,4,FALSE),"待映射")</x:f>
        <x:v>每日</x:v>
      </x:c>
      <x:c r="AC158" s="24" t="str">
        <x:f>D158&amp;"|"&amp;F158&amp;"|"&amp;L158</x:f>
        <x:v>netease_cloud_music|rising|3406701762</x:v>
      </x:c>
      <x:c r="AD158" s="24" t="str">
        <x:f>IF(J158&lt;=10,"是","否")</x:f>
        <x:v>否</x:v>
      </x:c>
      <x:c r="AE158" s="24" t="str">
        <x:f>IFERROR(YEAR(R158),"缺失")</x:f>
        <x:v>缺失</x:v>
      </x:c>
    </x:row>
    <x:row r="159">
      <x:c r="A159" t="str">
        <x:v>20260812T132133+0800</x:v>
      </x:c>
      <x:c r="B159" t="n">
        <x:v>46246.22329861111</x:v>
      </x:c>
      <x:c r="C159" t="str">
        <x:v>2026-08-12</x:v>
      </x:c>
      <x:c r="D159" t="str">
        <x:v>netease_cloud_music</x:v>
      </x:c>
      <x:c r="E159" t="str">
        <x:v>CN</x:v>
      </x:c>
      <x:c r="F159" t="str">
        <x:v>rising</x:v>
      </x:c>
      <x:c r="G159" t="str">
        <x:v>飙升榜</x:v>
      </x:c>
      <x:c r="H159" t="str">
        <x:v>19723756</x:v>
      </x:c>
      <x:c r="I159" t="n">
        <x:v>100</x:v>
      </x:c>
      <x:c r="J159" t="n">
        <x:v>55</x:v>
      </x:c>
      <x:c r="K159" t="n">
        <x:v>46</x:v>
      </x:c>
      <x:c r="L159" t="str">
        <x:v>32358362</x:v>
      </x:c>
      <x:c r="M159" t="str">
        <x:v>女孩</x:v>
      </x:c>
      <x:c r="N159" t="str">
        <x:v>5379</x:v>
      </x:c>
      <x:c r="O159" t="str">
        <x:v>韦礼安</x:v>
      </x:c>
      <x:c r="P159" t="str">
        <x:v>34817761</x:v>
      </x:c>
      <x:c r="Q159" t="str">
        <x:v>硬戳</x:v>
      </x:c>
      <x:c r="R159" t="str">
        <x:v>2015-05-28</x:v>
      </x:c>
      <x:c r="S159" t="str"/>
      <x:c r="T159" t="n">
        <x:v>49</x:v>
      </x:c>
      <x:c r="U159" t="n">
        <x:v>-6</x:v>
      </x:c>
      <x:c r="V159" t="str">
        <x:v>https://music.163.com/song?id=32358362</x:v>
      </x:c>
      <x:c r="W159" t="str">
        <x:v>http://p2.music.126.net/s0AgmipqlXTW-r6YmiwNQg==/109951168079643579.jpg</x:v>
      </x:c>
      <x:c r="X159" t="str">
        <x:v>https://music.163.com/discover/toplist?id=19723756</x:v>
      </x:c>
      <x:c r="Y159" t="str">
        <x:v>https://music.163.com/api/playlist/detail?id=19723756&amp;n=100</x:v>
      </x:c>
      <x:c r="Z159" s="24" t="str">
        <x:f>IFERROR(VLOOKUP(F159,'07_字典与参数'!$A$5:$E$10,3,FALSE),"待映射")</x:f>
        <x:v>网易云音乐</x:v>
      </x:c>
      <x:c r="AA159" s="24" t="str">
        <x:f>IFERROR(VLOOKUP(F159,'07_字典与参数'!$A$5:$E$10,2,FALSE),"待映射")</x:f>
        <x:v>飙升榜</x:v>
      </x:c>
      <x:c r="AB159" s="24" t="str">
        <x:f>IFERROR(VLOOKUP(F159,'07_字典与参数'!$A$5:$E$10,4,FALSE),"待映射")</x:f>
        <x:v>每日</x:v>
      </x:c>
      <x:c r="AC159" s="24" t="str">
        <x:f>D159&amp;"|"&amp;F159&amp;"|"&amp;L159</x:f>
        <x:v>netease_cloud_music|rising|32358362</x:v>
      </x:c>
      <x:c r="AD159" s="24" t="str">
        <x:f>IF(J159&lt;=10,"是","否")</x:f>
        <x:v>否</x:v>
      </x:c>
      <x:c r="AE159" s="24" t="n">
        <x:f>IFERROR(YEAR(R159),"缺失")</x:f>
        <x:v>2015</x:v>
      </x:c>
    </x:row>
    <x:row r="160">
      <x:c r="A160" t="str">
        <x:v>20260812T132133+0800</x:v>
      </x:c>
      <x:c r="B160" t="n">
        <x:v>46246.22329861111</x:v>
      </x:c>
      <x:c r="C160" t="str">
        <x:v>2026-08-12</x:v>
      </x:c>
      <x:c r="D160" t="str">
        <x:v>netease_cloud_music</x:v>
      </x:c>
      <x:c r="E160" t="str">
        <x:v>CN</x:v>
      </x:c>
      <x:c r="F160" t="str">
        <x:v>rising</x:v>
      </x:c>
      <x:c r="G160" t="str">
        <x:v>飙升榜</x:v>
      </x:c>
      <x:c r="H160" t="str">
        <x:v>19723756</x:v>
      </x:c>
      <x:c r="I160" t="n">
        <x:v>100</x:v>
      </x:c>
      <x:c r="J160" t="n">
        <x:v>56</x:v>
      </x:c>
      <x:c r="K160" t="n">
        <x:v>45</x:v>
      </x:c>
      <x:c r="L160" t="str">
        <x:v>1840955452</x:v>
      </x:c>
      <x:c r="M160" t="str">
        <x:v>Soundtrack for Your Backseat</x:v>
      </x:c>
      <x:c r="N160" t="str">
        <x:v>47771683</x:v>
      </x:c>
      <x:c r="O160" t="str">
        <x:v>sundiver ca</x:v>
      </x:c>
      <x:c r="P160" t="str">
        <x:v>126681825</x:v>
      </x:c>
      <x:c r="Q160" t="str">
        <x:v>Superstar Baby</x:v>
      </x:c>
      <x:c r="R160" t="str">
        <x:v>2019-02-28</x:v>
      </x:c>
      <x:c r="S160" t="str"/>
      <x:c r="T160"/>
      <x:c r="U160"/>
      <x:c r="V160" t="str">
        <x:v>https://music.163.com/song?id=1840955452</x:v>
      </x:c>
      <x:c r="W160" t="str">
        <x:v>http://p2.music.126.net/o27aZJWA5zbLzVDMICGBPg==/109951165931040879.jpg</x:v>
      </x:c>
      <x:c r="X160" t="str">
        <x:v>https://music.163.com/discover/toplist?id=19723756</x:v>
      </x:c>
      <x:c r="Y160" t="str">
        <x:v>https://music.163.com/api/playlist/detail?id=19723756&amp;n=100</x:v>
      </x:c>
      <x:c r="Z160" s="24" t="str">
        <x:f>IFERROR(VLOOKUP(F160,'07_字典与参数'!$A$5:$E$10,3,FALSE),"待映射")</x:f>
        <x:v>网易云音乐</x:v>
      </x:c>
      <x:c r="AA160" s="24" t="str">
        <x:f>IFERROR(VLOOKUP(F160,'07_字典与参数'!$A$5:$E$10,2,FALSE),"待映射")</x:f>
        <x:v>飙升榜</x:v>
      </x:c>
      <x:c r="AB160" s="24" t="str">
        <x:f>IFERROR(VLOOKUP(F160,'07_字典与参数'!$A$5:$E$10,4,FALSE),"待映射")</x:f>
        <x:v>每日</x:v>
      </x:c>
      <x:c r="AC160" s="24" t="str">
        <x:f>D160&amp;"|"&amp;F160&amp;"|"&amp;L160</x:f>
        <x:v>netease_cloud_music|rising|1840955452</x:v>
      </x:c>
      <x:c r="AD160" s="24" t="str">
        <x:f>IF(J160&lt;=10,"是","否")</x:f>
        <x:v>否</x:v>
      </x:c>
      <x:c r="AE160" s="24" t="n">
        <x:f>IFERROR(YEAR(R160),"缺失")</x:f>
        <x:v>2019</x:v>
      </x:c>
    </x:row>
    <x:row r="161">
      <x:c r="A161" t="str">
        <x:v>20260812T132133+0800</x:v>
      </x:c>
      <x:c r="B161" t="n">
        <x:v>46246.22329861111</x:v>
      </x:c>
      <x:c r="C161" t="str">
        <x:v>2026-08-12</x:v>
      </x:c>
      <x:c r="D161" t="str">
        <x:v>netease_cloud_music</x:v>
      </x:c>
      <x:c r="E161" t="str">
        <x:v>CN</x:v>
      </x:c>
      <x:c r="F161" t="str">
        <x:v>rising</x:v>
      </x:c>
      <x:c r="G161" t="str">
        <x:v>飙升榜</x:v>
      </x:c>
      <x:c r="H161" t="str">
        <x:v>19723756</x:v>
      </x:c>
      <x:c r="I161" t="n">
        <x:v>100</x:v>
      </x:c>
      <x:c r="J161" t="n">
        <x:v>57</x:v>
      </x:c>
      <x:c r="K161" t="n">
        <x:v>44</x:v>
      </x:c>
      <x:c r="L161" t="str">
        <x:v>3321897050</x:v>
      </x:c>
      <x:c r="M161" t="str">
        <x:v>meaningful love (instrumental)</x:v>
      </x:c>
      <x:c r="N161" t="str">
        <x:v>48256353 | 98587812</x:v>
      </x:c>
      <x:c r="O161" t="str">
        <x:v>Silo | Steven Cranberry</x:v>
      </x:c>
      <x:c r="P161" t="str">
        <x:v>351953190</x:v>
      </x:c>
      <x:c r="Q161" t="str">
        <x:v>meaningful love (instrumental)</x:v>
      </x:c>
      <x:c r="R161" t="str">
        <x:v>2025-11-23</x:v>
      </x:c>
      <x:c r="S161" t="str"/>
      <x:c r="T161"/>
      <x:c r="U161"/>
      <x:c r="V161" t="str">
        <x:v>https://music.163.com/song?id=3321897050</x:v>
      </x:c>
      <x:c r="W161" t="str">
        <x:v>http://p2.music.126.net/kjj7lAPfVUjuFbSctfxckw==/109951172798309669.jpg</x:v>
      </x:c>
      <x:c r="X161" t="str">
        <x:v>https://music.163.com/discover/toplist?id=19723756</x:v>
      </x:c>
      <x:c r="Y161" t="str">
        <x:v>https://music.163.com/api/playlist/detail?id=19723756&amp;n=100</x:v>
      </x:c>
      <x:c r="Z161" s="24" t="str">
        <x:f>IFERROR(VLOOKUP(F161,'07_字典与参数'!$A$5:$E$10,3,FALSE),"待映射")</x:f>
        <x:v>网易云音乐</x:v>
      </x:c>
      <x:c r="AA161" s="24" t="str">
        <x:f>IFERROR(VLOOKUP(F161,'07_字典与参数'!$A$5:$E$10,2,FALSE),"待映射")</x:f>
        <x:v>飙升榜</x:v>
      </x:c>
      <x:c r="AB161" s="24" t="str">
        <x:f>IFERROR(VLOOKUP(F161,'07_字典与参数'!$A$5:$E$10,4,FALSE),"待映射")</x:f>
        <x:v>每日</x:v>
      </x:c>
      <x:c r="AC161" s="24" t="str">
        <x:f>D161&amp;"|"&amp;F161&amp;"|"&amp;L161</x:f>
        <x:v>netease_cloud_music|rising|3321897050</x:v>
      </x:c>
      <x:c r="AD161" s="24" t="str">
        <x:f>IF(J161&lt;=10,"是","否")</x:f>
        <x:v>否</x:v>
      </x:c>
      <x:c r="AE161" s="24" t="n">
        <x:f>IFERROR(YEAR(R161),"缺失")</x:f>
        <x:v>2025</x:v>
      </x:c>
    </x:row>
    <x:row r="162">
      <x:c r="A162" t="str">
        <x:v>20260812T132133+0800</x:v>
      </x:c>
      <x:c r="B162" t="n">
        <x:v>46246.22329861111</x:v>
      </x:c>
      <x:c r="C162" t="str">
        <x:v>2026-08-12</x:v>
      </x:c>
      <x:c r="D162" t="str">
        <x:v>netease_cloud_music</x:v>
      </x:c>
      <x:c r="E162" t="str">
        <x:v>CN</x:v>
      </x:c>
      <x:c r="F162" t="str">
        <x:v>rising</x:v>
      </x:c>
      <x:c r="G162" t="str">
        <x:v>飙升榜</x:v>
      </x:c>
      <x:c r="H162" t="str">
        <x:v>19723756</x:v>
      </x:c>
      <x:c r="I162" t="n">
        <x:v>100</x:v>
      </x:c>
      <x:c r="J162" t="n">
        <x:v>58</x:v>
      </x:c>
      <x:c r="K162" t="n">
        <x:v>43</x:v>
      </x:c>
      <x:c r="L162" t="str">
        <x:v>471385043</x:v>
      </x:c>
      <x:c r="M162" t="str">
        <x:v>暧昧</x:v>
      </x:c>
      <x:c r="N162" t="str">
        <x:v>5781</x:v>
      </x:c>
      <x:c r="O162" t="str">
        <x:v>薛之谦</x:v>
      </x:c>
      <x:c r="P162" t="str">
        <x:v>36855053</x:v>
      </x:c>
      <x:c r="Q162" t="str">
        <x:v>渡</x:v>
      </x:c>
      <x:c r="R162" t="str">
        <x:v>2017-04-11</x:v>
      </x:c>
      <x:c r="S162" t="str"/>
      <x:c r="T162" t="n">
        <x:v>69</x:v>
      </x:c>
      <x:c r="U162" t="n">
        <x:v>11</x:v>
      </x:c>
      <x:c r="V162" t="str">
        <x:v>https://music.163.com/song?id=471385043</x:v>
      </x:c>
      <x:c r="W162" t="str">
        <x:v>http://p2.music.126.net/fNbj5uDwltSDLbETdnEYYQ==/109951163069265719.jpg</x:v>
      </x:c>
      <x:c r="X162" t="str">
        <x:v>https://music.163.com/discover/toplist?id=19723756</x:v>
      </x:c>
      <x:c r="Y162" t="str">
        <x:v>https://music.163.com/api/playlist/detail?id=19723756&amp;n=100</x:v>
      </x:c>
      <x:c r="Z162" s="24" t="str">
        <x:f>IFERROR(VLOOKUP(F162,'07_字典与参数'!$A$5:$E$10,3,FALSE),"待映射")</x:f>
        <x:v>网易云音乐</x:v>
      </x:c>
      <x:c r="AA162" s="24" t="str">
        <x:f>IFERROR(VLOOKUP(F162,'07_字典与参数'!$A$5:$E$10,2,FALSE),"待映射")</x:f>
        <x:v>飙升榜</x:v>
      </x:c>
      <x:c r="AB162" s="24" t="str">
        <x:f>IFERROR(VLOOKUP(F162,'07_字典与参数'!$A$5:$E$10,4,FALSE),"待映射")</x:f>
        <x:v>每日</x:v>
      </x:c>
      <x:c r="AC162" s="24" t="str">
        <x:f>D162&amp;"|"&amp;F162&amp;"|"&amp;L162</x:f>
        <x:v>netease_cloud_music|rising|471385043</x:v>
      </x:c>
      <x:c r="AD162" s="24" t="str">
        <x:f>IF(J162&lt;=10,"是","否")</x:f>
        <x:v>否</x:v>
      </x:c>
      <x:c r="AE162" s="24" t="n">
        <x:f>IFERROR(YEAR(R162),"缺失")</x:f>
        <x:v>2017</x:v>
      </x:c>
    </x:row>
    <x:row r="163">
      <x:c r="A163" t="str">
        <x:v>20260812T132133+0800</x:v>
      </x:c>
      <x:c r="B163" t="n">
        <x:v>46246.22329861111</x:v>
      </x:c>
      <x:c r="C163" t="str">
        <x:v>2026-08-12</x:v>
      </x:c>
      <x:c r="D163" t="str">
        <x:v>netease_cloud_music</x:v>
      </x:c>
      <x:c r="E163" t="str">
        <x:v>CN</x:v>
      </x:c>
      <x:c r="F163" t="str">
        <x:v>rising</x:v>
      </x:c>
      <x:c r="G163" t="str">
        <x:v>飙升榜</x:v>
      </x:c>
      <x:c r="H163" t="str">
        <x:v>19723756</x:v>
      </x:c>
      <x:c r="I163" t="n">
        <x:v>100</x:v>
      </x:c>
      <x:c r="J163" t="n">
        <x:v>59</x:v>
      </x:c>
      <x:c r="K163" t="n">
        <x:v>42</x:v>
      </x:c>
      <x:c r="L163" t="str">
        <x:v>3416373898</x:v>
      </x:c>
      <x:c r="M163" t="str">
        <x:v>RAP4</x:v>
      </x:c>
      <x:c r="N163" t="str">
        <x:v>12094558 | 865007</x:v>
      </x:c>
      <x:c r="O163" t="str">
        <x:v>Buzzy | 法老</x:v>
      </x:c>
      <x:c r="P163" t="str">
        <x:v>390736008</x:v>
      </x:c>
      <x:c r="Q163" t="str">
        <x:v>RAP4</x:v>
      </x:c>
      <x:c r="R163" t="str"/>
      <x:c r="S163" t="str"/>
      <x:c r="T163"/>
      <x:c r="U163"/>
      <x:c r="V163" t="str">
        <x:v>https://music.163.com/song?id=3416373898</x:v>
      </x:c>
      <x:c r="W163" t="str">
        <x:v>http://p2.music.126.net/Jy7TvlkSqb3nomdc0gW0zQ==/109951173706047145.jpg</x:v>
      </x:c>
      <x:c r="X163" t="str">
        <x:v>https://music.163.com/discover/toplist?id=19723756</x:v>
      </x:c>
      <x:c r="Y163" t="str">
        <x:v>https://music.163.com/api/playlist/detail?id=19723756&amp;n=100</x:v>
      </x:c>
      <x:c r="Z163" s="24" t="str">
        <x:f>IFERROR(VLOOKUP(F163,'07_字典与参数'!$A$5:$E$10,3,FALSE),"待映射")</x:f>
        <x:v>网易云音乐</x:v>
      </x:c>
      <x:c r="AA163" s="24" t="str">
        <x:f>IFERROR(VLOOKUP(F163,'07_字典与参数'!$A$5:$E$10,2,FALSE),"待映射")</x:f>
        <x:v>飙升榜</x:v>
      </x:c>
      <x:c r="AB163" s="24" t="str">
        <x:f>IFERROR(VLOOKUP(F163,'07_字典与参数'!$A$5:$E$10,4,FALSE),"待映射")</x:f>
        <x:v>每日</x:v>
      </x:c>
      <x:c r="AC163" s="24" t="str">
        <x:f>D163&amp;"|"&amp;F163&amp;"|"&amp;L163</x:f>
        <x:v>netease_cloud_music|rising|3416373898</x:v>
      </x:c>
      <x:c r="AD163" s="24" t="str">
        <x:f>IF(J163&lt;=10,"是","否")</x:f>
        <x:v>否</x:v>
      </x:c>
      <x:c r="AE163" s="24" t="str">
        <x:f>IFERROR(YEAR(R163),"缺失")</x:f>
        <x:v>缺失</x:v>
      </x:c>
    </x:row>
    <x:row r="164">
      <x:c r="A164" t="str">
        <x:v>20260812T132133+0800</x:v>
      </x:c>
      <x:c r="B164" t="n">
        <x:v>46246.22329861111</x:v>
      </x:c>
      <x:c r="C164" t="str">
        <x:v>2026-08-12</x:v>
      </x:c>
      <x:c r="D164" t="str">
        <x:v>netease_cloud_music</x:v>
      </x:c>
      <x:c r="E164" t="str">
        <x:v>CN</x:v>
      </x:c>
      <x:c r="F164" t="str">
        <x:v>rising</x:v>
      </x:c>
      <x:c r="G164" t="str">
        <x:v>飙升榜</x:v>
      </x:c>
      <x:c r="H164" t="str">
        <x:v>19723756</x:v>
      </x:c>
      <x:c r="I164" t="n">
        <x:v>100</x:v>
      </x:c>
      <x:c r="J164" t="n">
        <x:v>60</x:v>
      </x:c>
      <x:c r="K164" t="n">
        <x:v>41</x:v>
      </x:c>
      <x:c r="L164" t="str">
        <x:v>3406604171</x:v>
      </x:c>
      <x:c r="M164" t="str">
        <x:v>如果你也刚好抬头看树</x:v>
      </x:c>
      <x:c r="N164" t="str">
        <x:v>29648284</x:v>
      </x:c>
      <x:c r="O164" t="str">
        <x:v>孙天宇</x:v>
      </x:c>
      <x:c r="P164" t="str">
        <x:v>387031947</x:v>
      </x:c>
      <x:c r="Q164" t="str">
        <x:v>如果你也刚好抬头看树</x:v>
      </x:c>
      <x:c r="R164" t="str">
        <x:v>2026-07-20</x:v>
      </x:c>
      <x:c r="S164" t="str"/>
      <x:c r="T164"/>
      <x:c r="U164"/>
      <x:c r="V164" t="str">
        <x:v>https://music.163.com/song?id=3406604171</x:v>
      </x:c>
      <x:c r="W164" t="str">
        <x:v>http://p2.music.126.net/HW1EhOPR0MF56LOW7cAPjA==/109951173559311201.jpg</x:v>
      </x:c>
      <x:c r="X164" t="str">
        <x:v>https://music.163.com/discover/toplist?id=19723756</x:v>
      </x:c>
      <x:c r="Y164" t="str">
        <x:v>https://music.163.com/api/playlist/detail?id=19723756&amp;n=100</x:v>
      </x:c>
      <x:c r="Z164" s="24" t="str">
        <x:f>IFERROR(VLOOKUP(F164,'07_字典与参数'!$A$5:$E$10,3,FALSE),"待映射")</x:f>
        <x:v>网易云音乐</x:v>
      </x:c>
      <x:c r="AA164" s="24" t="str">
        <x:f>IFERROR(VLOOKUP(F164,'07_字典与参数'!$A$5:$E$10,2,FALSE),"待映射")</x:f>
        <x:v>飙升榜</x:v>
      </x:c>
      <x:c r="AB164" s="24" t="str">
        <x:f>IFERROR(VLOOKUP(F164,'07_字典与参数'!$A$5:$E$10,4,FALSE),"待映射")</x:f>
        <x:v>每日</x:v>
      </x:c>
      <x:c r="AC164" s="24" t="str">
        <x:f>D164&amp;"|"&amp;F164&amp;"|"&amp;L164</x:f>
        <x:v>netease_cloud_music|rising|3406604171</x:v>
      </x:c>
      <x:c r="AD164" s="24" t="str">
        <x:f>IF(J164&lt;=10,"是","否")</x:f>
        <x:v>否</x:v>
      </x:c>
      <x:c r="AE164" s="24" t="n">
        <x:f>IFERROR(YEAR(R164),"缺失")</x:f>
        <x:v>2026</x:v>
      </x:c>
    </x:row>
    <x:row r="165">
      <x:c r="A165" t="str">
        <x:v>20260812T132133+0800</x:v>
      </x:c>
      <x:c r="B165" t="n">
        <x:v>46246.22329861111</x:v>
      </x:c>
      <x:c r="C165" t="str">
        <x:v>2026-08-12</x:v>
      </x:c>
      <x:c r="D165" t="str">
        <x:v>netease_cloud_music</x:v>
      </x:c>
      <x:c r="E165" t="str">
        <x:v>CN</x:v>
      </x:c>
      <x:c r="F165" t="str">
        <x:v>rising</x:v>
      </x:c>
      <x:c r="G165" t="str">
        <x:v>飙升榜</x:v>
      </x:c>
      <x:c r="H165" t="str">
        <x:v>19723756</x:v>
      </x:c>
      <x:c r="I165" t="n">
        <x:v>100</x:v>
      </x:c>
      <x:c r="J165" t="n">
        <x:v>61</x:v>
      </x:c>
      <x:c r="K165" t="n">
        <x:v>40</x:v>
      </x:c>
      <x:c r="L165" t="str">
        <x:v>3410198541</x:v>
      </x:c>
      <x:c r="M165" t="str">
        <x:v>水为媒</x:v>
      </x:c>
      <x:c r="N165" t="str">
        <x:v>30433236</x:v>
      </x:c>
      <x:c r="O165" t="str">
        <x:v>礼越</x:v>
      </x:c>
      <x:c r="P165" t="str">
        <x:v>388557567</x:v>
      </x:c>
      <x:c r="Q165" t="str">
        <x:v>水为媒</x:v>
      </x:c>
      <x:c r="R165" t="str">
        <x:v>2026-07-24</x:v>
      </x:c>
      <x:c r="S165" t="str"/>
      <x:c r="T165"/>
      <x:c r="U165"/>
      <x:c r="V165" t="str">
        <x:v>https://music.163.com/song?id=3410198541</x:v>
      </x:c>
      <x:c r="W165" t="str">
        <x:v>http://p2.music.126.net/fFYdwrRt6wt87dwvv-qOYw==/109951173621996343.jpg</x:v>
      </x:c>
      <x:c r="X165" t="str">
        <x:v>https://music.163.com/discover/toplist?id=19723756</x:v>
      </x:c>
      <x:c r="Y165" t="str">
        <x:v>https://music.163.com/api/playlist/detail?id=19723756&amp;n=100</x:v>
      </x:c>
      <x:c r="Z165" s="24" t="str">
        <x:f>IFERROR(VLOOKUP(F165,'07_字典与参数'!$A$5:$E$10,3,FALSE),"待映射")</x:f>
        <x:v>网易云音乐</x:v>
      </x:c>
      <x:c r="AA165" s="24" t="str">
        <x:f>IFERROR(VLOOKUP(F165,'07_字典与参数'!$A$5:$E$10,2,FALSE),"待映射")</x:f>
        <x:v>飙升榜</x:v>
      </x:c>
      <x:c r="AB165" s="24" t="str">
        <x:f>IFERROR(VLOOKUP(F165,'07_字典与参数'!$A$5:$E$10,4,FALSE),"待映射")</x:f>
        <x:v>每日</x:v>
      </x:c>
      <x:c r="AC165" s="24" t="str">
        <x:f>D165&amp;"|"&amp;F165&amp;"|"&amp;L165</x:f>
        <x:v>netease_cloud_music|rising|3410198541</x:v>
      </x:c>
      <x:c r="AD165" s="24" t="str">
        <x:f>IF(J165&lt;=10,"是","否")</x:f>
        <x:v>否</x:v>
      </x:c>
      <x:c r="AE165" s="24" t="n">
        <x:f>IFERROR(YEAR(R165),"缺失")</x:f>
        <x:v>2026</x:v>
      </x:c>
    </x:row>
    <x:row r="166">
      <x:c r="A166" t="str">
        <x:v>20260812T132133+0800</x:v>
      </x:c>
      <x:c r="B166" t="n">
        <x:v>46246.22329861111</x:v>
      </x:c>
      <x:c r="C166" t="str">
        <x:v>2026-08-12</x:v>
      </x:c>
      <x:c r="D166" t="str">
        <x:v>netease_cloud_music</x:v>
      </x:c>
      <x:c r="E166" t="str">
        <x:v>CN</x:v>
      </x:c>
      <x:c r="F166" t="str">
        <x:v>rising</x:v>
      </x:c>
      <x:c r="G166" t="str">
        <x:v>飙升榜</x:v>
      </x:c>
      <x:c r="H166" t="str">
        <x:v>19723756</x:v>
      </x:c>
      <x:c r="I166" t="n">
        <x:v>100</x:v>
      </x:c>
      <x:c r="J166" t="n">
        <x:v>62</x:v>
      </x:c>
      <x:c r="K166" t="n">
        <x:v>39</x:v>
      </x:c>
      <x:c r="L166" t="str">
        <x:v>3410153999</x:v>
      </x:c>
      <x:c r="M166" t="str">
        <x:v>好景不长</x:v>
      </x:c>
      <x:c r="N166" t="str">
        <x:v>97638899</x:v>
      </x:c>
      <x:c r="O166" t="str">
        <x:v>M3mo</x:v>
      </x:c>
      <x:c r="P166" t="str">
        <x:v>388542051</x:v>
      </x:c>
      <x:c r="Q166" t="str">
        <x:v>好景不长</x:v>
      </x:c>
      <x:c r="R166" t="str">
        <x:v>2026-07-23</x:v>
      </x:c>
      <x:c r="S166" t="str"/>
      <x:c r="T166" t="n">
        <x:v>91</x:v>
      </x:c>
      <x:c r="U166" t="n">
        <x:v>29</x:v>
      </x:c>
      <x:c r="V166" t="str">
        <x:v>https://music.163.com/song?id=3410153999</x:v>
      </x:c>
      <x:c r="W166" t="str">
        <x:v>http://p2.music.126.net/QZy85QuOfWVpQUBK269Rgg==/109951173621512423.jpg</x:v>
      </x:c>
      <x:c r="X166" t="str">
        <x:v>https://music.163.com/discover/toplist?id=19723756</x:v>
      </x:c>
      <x:c r="Y166" t="str">
        <x:v>https://music.163.com/api/playlist/detail?id=19723756&amp;n=100</x:v>
      </x:c>
      <x:c r="Z166" s="24" t="str">
        <x:f>IFERROR(VLOOKUP(F166,'07_字典与参数'!$A$5:$E$10,3,FALSE),"待映射")</x:f>
        <x:v>网易云音乐</x:v>
      </x:c>
      <x:c r="AA166" s="24" t="str">
        <x:f>IFERROR(VLOOKUP(F166,'07_字典与参数'!$A$5:$E$10,2,FALSE),"待映射")</x:f>
        <x:v>飙升榜</x:v>
      </x:c>
      <x:c r="AB166" s="24" t="str">
        <x:f>IFERROR(VLOOKUP(F166,'07_字典与参数'!$A$5:$E$10,4,FALSE),"待映射")</x:f>
        <x:v>每日</x:v>
      </x:c>
      <x:c r="AC166" s="24" t="str">
        <x:f>D166&amp;"|"&amp;F166&amp;"|"&amp;L166</x:f>
        <x:v>netease_cloud_music|rising|3410153999</x:v>
      </x:c>
      <x:c r="AD166" s="24" t="str">
        <x:f>IF(J166&lt;=10,"是","否")</x:f>
        <x:v>否</x:v>
      </x:c>
      <x:c r="AE166" s="24" t="n">
        <x:f>IFERROR(YEAR(R166),"缺失")</x:f>
        <x:v>2026</x:v>
      </x:c>
    </x:row>
    <x:row r="167">
      <x:c r="A167" t="str">
        <x:v>20260812T132133+0800</x:v>
      </x:c>
      <x:c r="B167" t="n">
        <x:v>46246.22329861111</x:v>
      </x:c>
      <x:c r="C167" t="str">
        <x:v>2026-08-12</x:v>
      </x:c>
      <x:c r="D167" t="str">
        <x:v>netease_cloud_music</x:v>
      </x:c>
      <x:c r="E167" t="str">
        <x:v>CN</x:v>
      </x:c>
      <x:c r="F167" t="str">
        <x:v>rising</x:v>
      </x:c>
      <x:c r="G167" t="str">
        <x:v>飙升榜</x:v>
      </x:c>
      <x:c r="H167" t="str">
        <x:v>19723756</x:v>
      </x:c>
      <x:c r="I167" t="n">
        <x:v>100</x:v>
      </x:c>
      <x:c r="J167" t="n">
        <x:v>63</x:v>
      </x:c>
      <x:c r="K167" t="n">
        <x:v>38</x:v>
      </x:c>
      <x:c r="L167" t="str">
        <x:v>2157969686</x:v>
      </x:c>
      <x:c r="M167" t="str">
        <x:v>九张机</x:v>
      </x:c>
      <x:c r="N167" t="str">
        <x:v>12186038</x:v>
      </x:c>
      <x:c r="O167" t="str">
        <x:v>叶炫清</x:v>
      </x:c>
      <x:c r="P167" t="str">
        <x:v>196670451</x:v>
      </x:c>
      <x:c r="Q167" t="str">
        <x:v>九张机</x:v>
      </x:c>
      <x:c r="R167" t="str">
        <x:v>2024-06-24</x:v>
      </x:c>
      <x:c r="S167" t="str"/>
      <x:c r="T167"/>
      <x:c r="U167"/>
      <x:c r="V167" t="str">
        <x:v>https://music.163.com/song?id=2157969686</x:v>
      </x:c>
      <x:c r="W167" t="str">
        <x:v>http://p2.music.126.net/PLhn-O1sRgDrLK07m7bf2g==/109951169710790311.jpg</x:v>
      </x:c>
      <x:c r="X167" t="str">
        <x:v>https://music.163.com/discover/toplist?id=19723756</x:v>
      </x:c>
      <x:c r="Y167" t="str">
        <x:v>https://music.163.com/api/playlist/detail?id=19723756&amp;n=100</x:v>
      </x:c>
      <x:c r="Z167" s="24" t="str">
        <x:f>IFERROR(VLOOKUP(F167,'07_字典与参数'!$A$5:$E$10,3,FALSE),"待映射")</x:f>
        <x:v>网易云音乐</x:v>
      </x:c>
      <x:c r="AA167" s="24" t="str">
        <x:f>IFERROR(VLOOKUP(F167,'07_字典与参数'!$A$5:$E$10,2,FALSE),"待映射")</x:f>
        <x:v>飙升榜</x:v>
      </x:c>
      <x:c r="AB167" s="24" t="str">
        <x:f>IFERROR(VLOOKUP(F167,'07_字典与参数'!$A$5:$E$10,4,FALSE),"待映射")</x:f>
        <x:v>每日</x:v>
      </x:c>
      <x:c r="AC167" s="24" t="str">
        <x:f>D167&amp;"|"&amp;F167&amp;"|"&amp;L167</x:f>
        <x:v>netease_cloud_music|rising|2157969686</x:v>
      </x:c>
      <x:c r="AD167" s="24" t="str">
        <x:f>IF(J167&lt;=10,"是","否")</x:f>
        <x:v>否</x:v>
      </x:c>
      <x:c r="AE167" s="24" t="n">
        <x:f>IFERROR(YEAR(R167),"缺失")</x:f>
        <x:v>2024</x:v>
      </x:c>
    </x:row>
    <x:row r="168">
      <x:c r="A168" t="str">
        <x:v>20260812T132133+0800</x:v>
      </x:c>
      <x:c r="B168" t="n">
        <x:v>46246.22329861111</x:v>
      </x:c>
      <x:c r="C168" t="str">
        <x:v>2026-08-12</x:v>
      </x:c>
      <x:c r="D168" t="str">
        <x:v>netease_cloud_music</x:v>
      </x:c>
      <x:c r="E168" t="str">
        <x:v>CN</x:v>
      </x:c>
      <x:c r="F168" t="str">
        <x:v>rising</x:v>
      </x:c>
      <x:c r="G168" t="str">
        <x:v>飙升榜</x:v>
      </x:c>
      <x:c r="H168" t="str">
        <x:v>19723756</x:v>
      </x:c>
      <x:c r="I168" t="n">
        <x:v>100</x:v>
      </x:c>
      <x:c r="J168" t="n">
        <x:v>64</x:v>
      </x:c>
      <x:c r="K168" t="n">
        <x:v>37</x:v>
      </x:c>
      <x:c r="L168" t="str">
        <x:v>287274</x:v>
      </x:c>
      <x:c r="M168" t="str">
        <x:v>我的爱</x:v>
      </x:c>
      <x:c r="N168" t="str">
        <x:v>9272</x:v>
      </x:c>
      <x:c r="O168" t="str">
        <x:v>孙燕姿</x:v>
      </x:c>
      <x:c r="P168" t="str">
        <x:v>28532</x:v>
      </x:c>
      <x:c r="Q168" t="str">
        <x:v>Stefanie</x:v>
      </x:c>
      <x:c r="R168" t="str">
        <x:v>2004-10-26</x:v>
      </x:c>
      <x:c r="S168" t="str"/>
      <x:c r="T168" t="n">
        <x:v>34</x:v>
      </x:c>
      <x:c r="U168" t="n">
        <x:v>-30</x:v>
      </x:c>
      <x:c r="V168" t="str">
        <x:v>https://music.163.com/song?id=287274</x:v>
      </x:c>
      <x:c r="W168" t="str">
        <x:v>http://p2.music.126.net/EZu5tfacW02KP_UeUjVBYQ==/109951166890613011.jpg</x:v>
      </x:c>
      <x:c r="X168" t="str">
        <x:v>https://music.163.com/discover/toplist?id=19723756</x:v>
      </x:c>
      <x:c r="Y168" t="str">
        <x:v>https://music.163.com/api/playlist/detail?id=19723756&amp;n=100</x:v>
      </x:c>
      <x:c r="Z168" s="24" t="str">
        <x:f>IFERROR(VLOOKUP(F168,'07_字典与参数'!$A$5:$E$10,3,FALSE),"待映射")</x:f>
        <x:v>网易云音乐</x:v>
      </x:c>
      <x:c r="AA168" s="24" t="str">
        <x:f>IFERROR(VLOOKUP(F168,'07_字典与参数'!$A$5:$E$10,2,FALSE),"待映射")</x:f>
        <x:v>飙升榜</x:v>
      </x:c>
      <x:c r="AB168" s="24" t="str">
        <x:f>IFERROR(VLOOKUP(F168,'07_字典与参数'!$A$5:$E$10,4,FALSE),"待映射")</x:f>
        <x:v>每日</x:v>
      </x:c>
      <x:c r="AC168" s="24" t="str">
        <x:f>D168&amp;"|"&amp;F168&amp;"|"&amp;L168</x:f>
        <x:v>netease_cloud_music|rising|287274</x:v>
      </x:c>
      <x:c r="AD168" s="24" t="str">
        <x:f>IF(J168&lt;=10,"是","否")</x:f>
        <x:v>否</x:v>
      </x:c>
      <x:c r="AE168" s="24" t="n">
        <x:f>IFERROR(YEAR(R168),"缺失")</x:f>
        <x:v>2004</x:v>
      </x:c>
    </x:row>
    <x:row r="169">
      <x:c r="A169" t="str">
        <x:v>20260812T132133+0800</x:v>
      </x:c>
      <x:c r="B169" t="n">
        <x:v>46246.22329861111</x:v>
      </x:c>
      <x:c r="C169" t="str">
        <x:v>2026-08-12</x:v>
      </x:c>
      <x:c r="D169" t="str">
        <x:v>netease_cloud_music</x:v>
      </x:c>
      <x:c r="E169" t="str">
        <x:v>CN</x:v>
      </x:c>
      <x:c r="F169" t="str">
        <x:v>rising</x:v>
      </x:c>
      <x:c r="G169" t="str">
        <x:v>飙升榜</x:v>
      </x:c>
      <x:c r="H169" t="str">
        <x:v>19723756</x:v>
      </x:c>
      <x:c r="I169" t="n">
        <x:v>100</x:v>
      </x:c>
      <x:c r="J169" t="n">
        <x:v>65</x:v>
      </x:c>
      <x:c r="K169" t="n">
        <x:v>36</x:v>
      </x:c>
      <x:c r="L169" t="str">
        <x:v>16434100</x:v>
      </x:c>
      <x:c r="M169" t="str">
        <x:v>If I Ain't Got You</x:v>
      </x:c>
      <x:c r="N169" t="str">
        <x:v>46489</x:v>
      </x:c>
      <x:c r="O169" t="str">
        <x:v>Alicia Keys</x:v>
      </x:c>
      <x:c r="P169" t="str">
        <x:v>1515264</x:v>
      </x:c>
      <x:c r="Q169" t="str">
        <x:v>If I Ain't Got You</x:v>
      </x:c>
      <x:c r="R169" t="str">
        <x:v>2004-02-17</x:v>
      </x:c>
      <x:c r="S169" t="str"/>
      <x:c r="T169"/>
      <x:c r="U169"/>
      <x:c r="V169" t="str">
        <x:v>https://music.163.com/song?id=16434100</x:v>
      </x:c>
      <x:c r="W169" t="str">
        <x:v>http://p2.music.126.net/Mac0wDTvq5_EJI7vDibOWQ==/759762534800468.jpg</x:v>
      </x:c>
      <x:c r="X169" t="str">
        <x:v>https://music.163.com/discover/toplist?id=19723756</x:v>
      </x:c>
      <x:c r="Y169" t="str">
        <x:v>https://music.163.com/api/playlist/detail?id=19723756&amp;n=100</x:v>
      </x:c>
      <x:c r="Z169" s="24" t="str">
        <x:f>IFERROR(VLOOKUP(F169,'07_字典与参数'!$A$5:$E$10,3,FALSE),"待映射")</x:f>
        <x:v>网易云音乐</x:v>
      </x:c>
      <x:c r="AA169" s="24" t="str">
        <x:f>IFERROR(VLOOKUP(F169,'07_字典与参数'!$A$5:$E$10,2,FALSE),"待映射")</x:f>
        <x:v>飙升榜</x:v>
      </x:c>
      <x:c r="AB169" s="24" t="str">
        <x:f>IFERROR(VLOOKUP(F169,'07_字典与参数'!$A$5:$E$10,4,FALSE),"待映射")</x:f>
        <x:v>每日</x:v>
      </x:c>
      <x:c r="AC169" s="24" t="str">
        <x:f>D169&amp;"|"&amp;F169&amp;"|"&amp;L169</x:f>
        <x:v>netease_cloud_music|rising|16434100</x:v>
      </x:c>
      <x:c r="AD169" s="24" t="str">
        <x:f>IF(J169&lt;=10,"是","否")</x:f>
        <x:v>否</x:v>
      </x:c>
      <x:c r="AE169" s="24" t="n">
        <x:f>IFERROR(YEAR(R169),"缺失")</x:f>
        <x:v>2004</x:v>
      </x:c>
    </x:row>
    <x:row r="170">
      <x:c r="A170" t="str">
        <x:v>20260812T132133+0800</x:v>
      </x:c>
      <x:c r="B170" t="n">
        <x:v>46246.22329861111</x:v>
      </x:c>
      <x:c r="C170" t="str">
        <x:v>2026-08-12</x:v>
      </x:c>
      <x:c r="D170" t="str">
        <x:v>netease_cloud_music</x:v>
      </x:c>
      <x:c r="E170" t="str">
        <x:v>CN</x:v>
      </x:c>
      <x:c r="F170" t="str">
        <x:v>rising</x:v>
      </x:c>
      <x:c r="G170" t="str">
        <x:v>飙升榜</x:v>
      </x:c>
      <x:c r="H170" t="str">
        <x:v>19723756</x:v>
      </x:c>
      <x:c r="I170" t="n">
        <x:v>100</x:v>
      </x:c>
      <x:c r="J170" t="n">
        <x:v>66</x:v>
      </x:c>
      <x:c r="K170" t="n">
        <x:v>35</x:v>
      </x:c>
      <x:c r="L170" t="str">
        <x:v>1971623167</x:v>
      </x:c>
      <x:c r="M170" t="str">
        <x:v>Love Quotes</x:v>
      </x:c>
      <x:c r="N170" t="str">
        <x:v>34338350</x:v>
      </x:c>
      <x:c r="O170" t="str">
        <x:v>Jenevieve</x:v>
      </x:c>
      <x:c r="P170" t="str">
        <x:v>149603383</x:v>
      </x:c>
      <x:c r="Q170" t="str">
        <x:v>Love Quotes</x:v>
      </x:c>
      <x:c r="R170" t="str">
        <x:v>2022-08-12</x:v>
      </x:c>
      <x:c r="S170" t="str"/>
      <x:c r="T170"/>
      <x:c r="U170"/>
      <x:c r="V170" t="str">
        <x:v>https://music.163.com/song?id=1971623167</x:v>
      </x:c>
      <x:c r="W170" t="str">
        <x:v>http://p2.music.126.net/jzlrWXSrTf5m8cMpdBp5UA==/109951167788156703.jpg</x:v>
      </x:c>
      <x:c r="X170" t="str">
        <x:v>https://music.163.com/discover/toplist?id=19723756</x:v>
      </x:c>
      <x:c r="Y170" t="str">
        <x:v>https://music.163.com/api/playlist/detail?id=19723756&amp;n=100</x:v>
      </x:c>
      <x:c r="Z170" s="24" t="str">
        <x:f>IFERROR(VLOOKUP(F170,'07_字典与参数'!$A$5:$E$10,3,FALSE),"待映射")</x:f>
        <x:v>网易云音乐</x:v>
      </x:c>
      <x:c r="AA170" s="24" t="str">
        <x:f>IFERROR(VLOOKUP(F170,'07_字典与参数'!$A$5:$E$10,2,FALSE),"待映射")</x:f>
        <x:v>飙升榜</x:v>
      </x:c>
      <x:c r="AB170" s="24" t="str">
        <x:f>IFERROR(VLOOKUP(F170,'07_字典与参数'!$A$5:$E$10,4,FALSE),"待映射")</x:f>
        <x:v>每日</x:v>
      </x:c>
      <x:c r="AC170" s="24" t="str">
        <x:f>D170&amp;"|"&amp;F170&amp;"|"&amp;L170</x:f>
        <x:v>netease_cloud_music|rising|1971623167</x:v>
      </x:c>
      <x:c r="AD170" s="24" t="str">
        <x:f>IF(J170&lt;=10,"是","否")</x:f>
        <x:v>否</x:v>
      </x:c>
      <x:c r="AE170" s="24" t="n">
        <x:f>IFERROR(YEAR(R170),"缺失")</x:f>
        <x:v>2022</x:v>
      </x:c>
    </x:row>
    <x:row r="171">
      <x:c r="A171" t="str">
        <x:v>20260812T132133+0800</x:v>
      </x:c>
      <x:c r="B171" t="n">
        <x:v>46246.22329861111</x:v>
      </x:c>
      <x:c r="C171" t="str">
        <x:v>2026-08-12</x:v>
      </x:c>
      <x:c r="D171" t="str">
        <x:v>netease_cloud_music</x:v>
      </x:c>
      <x:c r="E171" t="str">
        <x:v>CN</x:v>
      </x:c>
      <x:c r="F171" t="str">
        <x:v>rising</x:v>
      </x:c>
      <x:c r="G171" t="str">
        <x:v>飙升榜</x:v>
      </x:c>
      <x:c r="H171" t="str">
        <x:v>19723756</x:v>
      </x:c>
      <x:c r="I171" t="n">
        <x:v>100</x:v>
      </x:c>
      <x:c r="J171" t="n">
        <x:v>67</x:v>
      </x:c>
      <x:c r="K171" t="n">
        <x:v>34</x:v>
      </x:c>
      <x:c r="L171" t="str">
        <x:v>26305542</x:v>
      </x:c>
      <x:c r="M171" t="str">
        <x:v>街道</x:v>
      </x:c>
      <x:c r="N171" t="str">
        <x:v>3684</x:v>
      </x:c>
      <x:c r="O171" t="str">
        <x:v>林俊杰</x:v>
      </x:c>
      <x:c r="P171" t="str">
        <x:v>2448339</x:v>
      </x:c>
      <x:c r="Q171" t="str">
        <x:v>他是…JJ林俊杰</x:v>
      </x:c>
      <x:c r="R171" t="str">
        <x:v>2012-12-21</x:v>
      </x:c>
      <x:c r="S171" t="str"/>
      <x:c r="T171" t="n">
        <x:v>11</x:v>
      </x:c>
      <x:c r="U171" t="n">
        <x:v>-56</x:v>
      </x:c>
      <x:c r="V171" t="str">
        <x:v>https://music.163.com/song?id=26305542</x:v>
      </x:c>
      <x:c r="W171" t="str">
        <x:v>http://p2.music.126.net/Pz4sEpA7nsiyIdIrswTx9A==/109951167894836691.jpg</x:v>
      </x:c>
      <x:c r="X171" t="str">
        <x:v>https://music.163.com/discover/toplist?id=19723756</x:v>
      </x:c>
      <x:c r="Y171" t="str">
        <x:v>https://music.163.com/api/playlist/detail?id=19723756&amp;n=100</x:v>
      </x:c>
      <x:c r="Z171" s="24" t="str">
        <x:f>IFERROR(VLOOKUP(F171,'07_字典与参数'!$A$5:$E$10,3,FALSE),"待映射")</x:f>
        <x:v>网易云音乐</x:v>
      </x:c>
      <x:c r="AA171" s="24" t="str">
        <x:f>IFERROR(VLOOKUP(F171,'07_字典与参数'!$A$5:$E$10,2,FALSE),"待映射")</x:f>
        <x:v>飙升榜</x:v>
      </x:c>
      <x:c r="AB171" s="24" t="str">
        <x:f>IFERROR(VLOOKUP(F171,'07_字典与参数'!$A$5:$E$10,4,FALSE),"待映射")</x:f>
        <x:v>每日</x:v>
      </x:c>
      <x:c r="AC171" s="24" t="str">
        <x:f>D171&amp;"|"&amp;F171&amp;"|"&amp;L171</x:f>
        <x:v>netease_cloud_music|rising|26305542</x:v>
      </x:c>
      <x:c r="AD171" s="24" t="str">
        <x:f>IF(J171&lt;=10,"是","否")</x:f>
        <x:v>否</x:v>
      </x:c>
      <x:c r="AE171" s="24" t="n">
        <x:f>IFERROR(YEAR(R171),"缺失")</x:f>
        <x:v>2012</x:v>
      </x:c>
    </x:row>
    <x:row r="172">
      <x:c r="A172" t="str">
        <x:v>20260812T132133+0800</x:v>
      </x:c>
      <x:c r="B172" t="n">
        <x:v>46246.22329861111</x:v>
      </x:c>
      <x:c r="C172" t="str">
        <x:v>2026-08-12</x:v>
      </x:c>
      <x:c r="D172" t="str">
        <x:v>netease_cloud_music</x:v>
      </x:c>
      <x:c r="E172" t="str">
        <x:v>CN</x:v>
      </x:c>
      <x:c r="F172" t="str">
        <x:v>rising</x:v>
      </x:c>
      <x:c r="G172" t="str">
        <x:v>飙升榜</x:v>
      </x:c>
      <x:c r="H172" t="str">
        <x:v>19723756</x:v>
      </x:c>
      <x:c r="I172" t="n">
        <x:v>100</x:v>
      </x:c>
      <x:c r="J172" t="n">
        <x:v>68</x:v>
      </x:c>
      <x:c r="K172" t="n">
        <x:v>33</x:v>
      </x:c>
      <x:c r="L172" t="str">
        <x:v>2714755642</x:v>
      </x:c>
      <x:c r="M172" t="str">
        <x:v>可惜了</x:v>
      </x:c>
      <x:c r="N172" t="str">
        <x:v>12937171 | 12050019</x:v>
      </x:c>
      <x:c r="O172" t="str">
        <x:v>庄东茹（豆芽鱼） | LvJam</x:v>
      </x:c>
      <x:c r="P172" t="str">
        <x:v>274951115</x:v>
      </x:c>
      <x:c r="Q172" t="str">
        <x:v>可惜了</x:v>
      </x:c>
      <x:c r="R172" t="str">
        <x:v>2025-06-13</x:v>
      </x:c>
      <x:c r="S172" t="str"/>
      <x:c r="T172"/>
      <x:c r="U172"/>
      <x:c r="V172" t="str">
        <x:v>https://music.163.com/song?id=2714755642</x:v>
      </x:c>
      <x:c r="W172" t="str">
        <x:v>http://p2.music.126.net/FcoywN7psd6RuGoR_Fsy9Q==/109951171295825868.jpg</x:v>
      </x:c>
      <x:c r="X172" t="str">
        <x:v>https://music.163.com/discover/toplist?id=19723756</x:v>
      </x:c>
      <x:c r="Y172" t="str">
        <x:v>https://music.163.com/api/playlist/detail?id=19723756&amp;n=100</x:v>
      </x:c>
      <x:c r="Z172" s="24" t="str">
        <x:f>IFERROR(VLOOKUP(F172,'07_字典与参数'!$A$5:$E$10,3,FALSE),"待映射")</x:f>
        <x:v>网易云音乐</x:v>
      </x:c>
      <x:c r="AA172" s="24" t="str">
        <x:f>IFERROR(VLOOKUP(F172,'07_字典与参数'!$A$5:$E$10,2,FALSE),"待映射")</x:f>
        <x:v>飙升榜</x:v>
      </x:c>
      <x:c r="AB172" s="24" t="str">
        <x:f>IFERROR(VLOOKUP(F172,'07_字典与参数'!$A$5:$E$10,4,FALSE),"待映射")</x:f>
        <x:v>每日</x:v>
      </x:c>
      <x:c r="AC172" s="24" t="str">
        <x:f>D172&amp;"|"&amp;F172&amp;"|"&amp;L172</x:f>
        <x:v>netease_cloud_music|rising|2714755642</x:v>
      </x:c>
      <x:c r="AD172" s="24" t="str">
        <x:f>IF(J172&lt;=10,"是","否")</x:f>
        <x:v>否</x:v>
      </x:c>
      <x:c r="AE172" s="24" t="n">
        <x:f>IFERROR(YEAR(R172),"缺失")</x:f>
        <x:v>2025</x:v>
      </x:c>
    </x:row>
    <x:row r="173">
      <x:c r="A173" t="str">
        <x:v>20260812T132133+0800</x:v>
      </x:c>
      <x:c r="B173" t="n">
        <x:v>46246.22329861111</x:v>
      </x:c>
      <x:c r="C173" t="str">
        <x:v>2026-08-12</x:v>
      </x:c>
      <x:c r="D173" t="str">
        <x:v>netease_cloud_music</x:v>
      </x:c>
      <x:c r="E173" t="str">
        <x:v>CN</x:v>
      </x:c>
      <x:c r="F173" t="str">
        <x:v>rising</x:v>
      </x:c>
      <x:c r="G173" t="str">
        <x:v>飙升榜</x:v>
      </x:c>
      <x:c r="H173" t="str">
        <x:v>19723756</x:v>
      </x:c>
      <x:c r="I173" t="n">
        <x:v>100</x:v>
      </x:c>
      <x:c r="J173" t="n">
        <x:v>69</x:v>
      </x:c>
      <x:c r="K173" t="n">
        <x:v>32</x:v>
      </x:c>
      <x:c r="L173" t="str">
        <x:v>3417798345</x:v>
      </x:c>
      <x:c r="M173" t="str">
        <x:v>再见 (live)</x:v>
      </x:c>
      <x:c r="N173" t="str">
        <x:v>12001060</x:v>
      </x:c>
      <x:c r="O173" t="str">
        <x:v>万妮达Vinida Weng</x:v>
      </x:c>
      <x:c r="P173" t="str">
        <x:v>391308088</x:v>
      </x:c>
      <x:c r="Q173" t="str">
        <x:v>歌手2026 第12期</x:v>
      </x:c>
      <x:c r="R173" t="str"/>
      <x:c r="S173" t="str"/>
      <x:c r="T173" t="n">
        <x:v>42</x:v>
      </x:c>
      <x:c r="U173" t="n">
        <x:v>-27</x:v>
      </x:c>
      <x:c r="V173" t="str">
        <x:v>https://music.163.com/song?id=3417798345</x:v>
      </x:c>
      <x:c r="W173" t="str">
        <x:v>http://p2.music.126.net/pDZPHgzMSeTA9Maw0ifn4w==/109951173710607097.jpg</x:v>
      </x:c>
      <x:c r="X173" t="str">
        <x:v>https://music.163.com/discover/toplist?id=19723756</x:v>
      </x:c>
      <x:c r="Y173" t="str">
        <x:v>https://music.163.com/api/playlist/detail?id=19723756&amp;n=100</x:v>
      </x:c>
      <x:c r="Z173" s="24" t="str">
        <x:f>IFERROR(VLOOKUP(F173,'07_字典与参数'!$A$5:$E$10,3,FALSE),"待映射")</x:f>
        <x:v>网易云音乐</x:v>
      </x:c>
      <x:c r="AA173" s="24" t="str">
        <x:f>IFERROR(VLOOKUP(F173,'07_字典与参数'!$A$5:$E$10,2,FALSE),"待映射")</x:f>
        <x:v>飙升榜</x:v>
      </x:c>
      <x:c r="AB173" s="24" t="str">
        <x:f>IFERROR(VLOOKUP(F173,'07_字典与参数'!$A$5:$E$10,4,FALSE),"待映射")</x:f>
        <x:v>每日</x:v>
      </x:c>
      <x:c r="AC173" s="24" t="str">
        <x:f>D173&amp;"|"&amp;F173&amp;"|"&amp;L173</x:f>
        <x:v>netease_cloud_music|rising|3417798345</x:v>
      </x:c>
      <x:c r="AD173" s="24" t="str">
        <x:f>IF(J173&lt;=10,"是","否")</x:f>
        <x:v>否</x:v>
      </x:c>
      <x:c r="AE173" s="24" t="str">
        <x:f>IFERROR(YEAR(R173),"缺失")</x:f>
        <x:v>缺失</x:v>
      </x:c>
    </x:row>
    <x:row r="174">
      <x:c r="A174" t="str">
        <x:v>20260812T132133+0800</x:v>
      </x:c>
      <x:c r="B174" t="n">
        <x:v>46246.22329861111</x:v>
      </x:c>
      <x:c r="C174" t="str">
        <x:v>2026-08-12</x:v>
      </x:c>
      <x:c r="D174" t="str">
        <x:v>netease_cloud_music</x:v>
      </x:c>
      <x:c r="E174" t="str">
        <x:v>CN</x:v>
      </x:c>
      <x:c r="F174" t="str">
        <x:v>rising</x:v>
      </x:c>
      <x:c r="G174" t="str">
        <x:v>飙升榜</x:v>
      </x:c>
      <x:c r="H174" t="str">
        <x:v>19723756</x:v>
      </x:c>
      <x:c r="I174" t="n">
        <x:v>100</x:v>
      </x:c>
      <x:c r="J174" t="n">
        <x:v>70</x:v>
      </x:c>
      <x:c r="K174" t="n">
        <x:v>31</x:v>
      </x:c>
      <x:c r="L174" t="str">
        <x:v>3417782581</x:v>
      </x:c>
      <x:c r="M174" t="str">
        <x:v>Still</x:v>
      </x:c>
      <x:c r="N174" t="str">
        <x:v>1087168 | 178059</x:v>
      </x:c>
      <x:c r="O174" t="str">
        <x:v>KAROL G | Bruno Mars</x:v>
      </x:c>
      <x:c r="P174" t="str">
        <x:v>391304970</x:v>
      </x:c>
      <x:c r="Q174" t="str">
        <x:v>NO ME ARREPIENTO DE SENTIR TANTO</x:v>
      </x:c>
      <x:c r="R174" t="str">
        <x:v>2026-08-07</x:v>
      </x:c>
      <x:c r="S174" t="str"/>
      <x:c r="T174"/>
      <x:c r="U174"/>
      <x:c r="V174" t="str">
        <x:v>https://music.163.com/song?id=3417782581</x:v>
      </x:c>
      <x:c r="W174" t="str">
        <x:v>http://p2.music.126.net/M6XUJHIuBbTVoAR_7k6EnQ==/109951173710489068.jpg</x:v>
      </x:c>
      <x:c r="X174" t="str">
        <x:v>https://music.163.com/discover/toplist?id=19723756</x:v>
      </x:c>
      <x:c r="Y174" t="str">
        <x:v>https://music.163.com/api/playlist/detail?id=19723756&amp;n=100</x:v>
      </x:c>
      <x:c r="Z174" s="24" t="str">
        <x:f>IFERROR(VLOOKUP(F174,'07_字典与参数'!$A$5:$E$10,3,FALSE),"待映射")</x:f>
        <x:v>网易云音乐</x:v>
      </x:c>
      <x:c r="AA174" s="24" t="str">
        <x:f>IFERROR(VLOOKUP(F174,'07_字典与参数'!$A$5:$E$10,2,FALSE),"待映射")</x:f>
        <x:v>飙升榜</x:v>
      </x:c>
      <x:c r="AB174" s="24" t="str">
        <x:f>IFERROR(VLOOKUP(F174,'07_字典与参数'!$A$5:$E$10,4,FALSE),"待映射")</x:f>
        <x:v>每日</x:v>
      </x:c>
      <x:c r="AC174" s="24" t="str">
        <x:f>D174&amp;"|"&amp;F174&amp;"|"&amp;L174</x:f>
        <x:v>netease_cloud_music|rising|3417782581</x:v>
      </x:c>
      <x:c r="AD174" s="24" t="str">
        <x:f>IF(J174&lt;=10,"是","否")</x:f>
        <x:v>否</x:v>
      </x:c>
      <x:c r="AE174" s="24" t="n">
        <x:f>IFERROR(YEAR(R174),"缺失")</x:f>
        <x:v>2026</x:v>
      </x:c>
    </x:row>
    <x:row r="175">
      <x:c r="A175" t="str">
        <x:v>20260812T132133+0800</x:v>
      </x:c>
      <x:c r="B175" t="n">
        <x:v>46246.22329861111</x:v>
      </x:c>
      <x:c r="C175" t="str">
        <x:v>2026-08-12</x:v>
      </x:c>
      <x:c r="D175" t="str">
        <x:v>netease_cloud_music</x:v>
      </x:c>
      <x:c r="E175" t="str">
        <x:v>CN</x:v>
      </x:c>
      <x:c r="F175" t="str">
        <x:v>rising</x:v>
      </x:c>
      <x:c r="G175" t="str">
        <x:v>飙升榜</x:v>
      </x:c>
      <x:c r="H175" t="str">
        <x:v>19723756</x:v>
      </x:c>
      <x:c r="I175" t="n">
        <x:v>100</x:v>
      </x:c>
      <x:c r="J175" t="n">
        <x:v>71</x:v>
      </x:c>
      <x:c r="K175" t="n">
        <x:v>30</x:v>
      </x:c>
      <x:c r="L175" t="str">
        <x:v>4224657</x:v>
      </x:c>
      <x:c r="M175" t="str">
        <x:v>Apologize</x:v>
      </x:c>
      <x:c r="N175" t="str">
        <x:v>98105</x:v>
      </x:c>
      <x:c r="O175" t="str">
        <x:v>OneRepublic</x:v>
      </x:c>
      <x:c r="P175" t="str">
        <x:v>427146</x:v>
      </x:c>
      <x:c r="Q175" t="str">
        <x:v>Dreaming Out Loud (Tour Edition)</x:v>
      </x:c>
      <x:c r="R175" t="str">
        <x:v>2007-11-20</x:v>
      </x:c>
      <x:c r="S175" t="str"/>
      <x:c r="T175"/>
      <x:c r="U175"/>
      <x:c r="V175" t="str">
        <x:v>https://music.163.com/song?id=4224657</x:v>
      </x:c>
      <x:c r="W175" t="str">
        <x:v>http://p2.music.126.net/RnAXhfMkmqIvTw1kMd_dzQ==/1749322999805209.jpg</x:v>
      </x:c>
      <x:c r="X175" t="str">
        <x:v>https://music.163.com/discover/toplist?id=19723756</x:v>
      </x:c>
      <x:c r="Y175" t="str">
        <x:v>https://music.163.com/api/playlist/detail?id=19723756&amp;n=100</x:v>
      </x:c>
      <x:c r="Z175" s="24" t="str">
        <x:f>IFERROR(VLOOKUP(F175,'07_字典与参数'!$A$5:$E$10,3,FALSE),"待映射")</x:f>
        <x:v>网易云音乐</x:v>
      </x:c>
      <x:c r="AA175" s="24" t="str">
        <x:f>IFERROR(VLOOKUP(F175,'07_字典与参数'!$A$5:$E$10,2,FALSE),"待映射")</x:f>
        <x:v>飙升榜</x:v>
      </x:c>
      <x:c r="AB175" s="24" t="str">
        <x:f>IFERROR(VLOOKUP(F175,'07_字典与参数'!$A$5:$E$10,4,FALSE),"待映射")</x:f>
        <x:v>每日</x:v>
      </x:c>
      <x:c r="AC175" s="24" t="str">
        <x:f>D175&amp;"|"&amp;F175&amp;"|"&amp;L175</x:f>
        <x:v>netease_cloud_music|rising|4224657</x:v>
      </x:c>
      <x:c r="AD175" s="24" t="str">
        <x:f>IF(J175&lt;=10,"是","否")</x:f>
        <x:v>否</x:v>
      </x:c>
      <x:c r="AE175" s="24" t="n">
        <x:f>IFERROR(YEAR(R175),"缺失")</x:f>
        <x:v>2007</x:v>
      </x:c>
    </x:row>
    <x:row r="176">
      <x:c r="A176" t="str">
        <x:v>20260812T132133+0800</x:v>
      </x:c>
      <x:c r="B176" t="n">
        <x:v>46246.22329861111</x:v>
      </x:c>
      <x:c r="C176" t="str">
        <x:v>2026-08-12</x:v>
      </x:c>
      <x:c r="D176" t="str">
        <x:v>netease_cloud_music</x:v>
      </x:c>
      <x:c r="E176" t="str">
        <x:v>CN</x:v>
      </x:c>
      <x:c r="F176" t="str">
        <x:v>rising</x:v>
      </x:c>
      <x:c r="G176" t="str">
        <x:v>飙升榜</x:v>
      </x:c>
      <x:c r="H176" t="str">
        <x:v>19723756</x:v>
      </x:c>
      <x:c r="I176" t="n">
        <x:v>100</x:v>
      </x:c>
      <x:c r="J176" t="n">
        <x:v>72</x:v>
      </x:c>
      <x:c r="K176" t="n">
        <x:v>29</x:v>
      </x:c>
      <x:c r="L176" t="str">
        <x:v>1824025235</x:v>
      </x:c>
      <x:c r="M176" t="str">
        <x:v>Slowly Fall in Love(Instrumental)</x:v>
      </x:c>
      <x:c r="N176" t="str">
        <x:v>188141</x:v>
      </x:c>
      <x:c r="O176" t="str">
        <x:v>满舒克</x:v>
      </x:c>
      <x:c r="P176" t="str">
        <x:v>123720309</x:v>
      </x:c>
      <x:c r="Q176" t="str">
        <x:v>慢热</x:v>
      </x:c>
      <x:c r="R176" t="str">
        <x:v>2021-03-06</x:v>
      </x:c>
      <x:c r="S176" t="str"/>
      <x:c r="T176"/>
      <x:c r="U176"/>
      <x:c r="V176" t="str">
        <x:v>https://music.163.com/song?id=1824025235</x:v>
      </x:c>
      <x:c r="W176" t="str">
        <x:v>http://p2.music.126.net/-HdZrLn0NpxshDBIhrxp-Q==/109951165959141349.jpg</x:v>
      </x:c>
      <x:c r="X176" t="str">
        <x:v>https://music.163.com/discover/toplist?id=19723756</x:v>
      </x:c>
      <x:c r="Y176" t="str">
        <x:v>https://music.163.com/api/playlist/detail?id=19723756&amp;n=100</x:v>
      </x:c>
      <x:c r="Z176" s="24" t="str">
        <x:f>IFERROR(VLOOKUP(F176,'07_字典与参数'!$A$5:$E$10,3,FALSE),"待映射")</x:f>
        <x:v>网易云音乐</x:v>
      </x:c>
      <x:c r="AA176" s="24" t="str">
        <x:f>IFERROR(VLOOKUP(F176,'07_字典与参数'!$A$5:$E$10,2,FALSE),"待映射")</x:f>
        <x:v>飙升榜</x:v>
      </x:c>
      <x:c r="AB176" s="24" t="str">
        <x:f>IFERROR(VLOOKUP(F176,'07_字典与参数'!$A$5:$E$10,4,FALSE),"待映射")</x:f>
        <x:v>每日</x:v>
      </x:c>
      <x:c r="AC176" s="24" t="str">
        <x:f>D176&amp;"|"&amp;F176&amp;"|"&amp;L176</x:f>
        <x:v>netease_cloud_music|rising|1824025235</x:v>
      </x:c>
      <x:c r="AD176" s="24" t="str">
        <x:f>IF(J176&lt;=10,"是","否")</x:f>
        <x:v>否</x:v>
      </x:c>
      <x:c r="AE176" s="24" t="n">
        <x:f>IFERROR(YEAR(R176),"缺失")</x:f>
        <x:v>2021</x:v>
      </x:c>
    </x:row>
    <x:row r="177">
      <x:c r="A177" t="str">
        <x:v>20260812T132133+0800</x:v>
      </x:c>
      <x:c r="B177" t="n">
        <x:v>46246.22329861111</x:v>
      </x:c>
      <x:c r="C177" t="str">
        <x:v>2026-08-12</x:v>
      </x:c>
      <x:c r="D177" t="str">
        <x:v>netease_cloud_music</x:v>
      </x:c>
      <x:c r="E177" t="str">
        <x:v>CN</x:v>
      </x:c>
      <x:c r="F177" t="str">
        <x:v>rising</x:v>
      </x:c>
      <x:c r="G177" t="str">
        <x:v>飙升榜</x:v>
      </x:c>
      <x:c r="H177" t="str">
        <x:v>19723756</x:v>
      </x:c>
      <x:c r="I177" t="n">
        <x:v>100</x:v>
      </x:c>
      <x:c r="J177" t="n">
        <x:v>73</x:v>
      </x:c>
      <x:c r="K177" t="n">
        <x:v>28</x:v>
      </x:c>
      <x:c r="L177" t="str">
        <x:v>2755500197</x:v>
      </x:c>
      <x:c r="M177" t="str">
        <x:v>Loser</x:v>
      </x:c>
      <x:c r="N177" t="str">
        <x:v>102939</x:v>
      </x:c>
      <x:c r="O177" t="str">
        <x:v>Tame Impala</x:v>
      </x:c>
      <x:c r="P177" t="str">
        <x:v>288440155</x:v>
      </x:c>
      <x:c r="Q177" t="str">
        <x:v>Deadbeat</x:v>
      </x:c>
      <x:c r="R177" t="str">
        <x:v>2025-10-17</x:v>
      </x:c>
      <x:c r="S177" t="str"/>
      <x:c r="T177"/>
      <x:c r="U177"/>
      <x:c r="V177" t="str">
        <x:v>https://music.163.com/song?id=2755500197</x:v>
      </x:c>
      <x:c r="W177" t="str">
        <x:v>http://p2.music.126.net/bpLhQPiYSZL0z3od-Ufk9w==/109951172150980393.jpg</x:v>
      </x:c>
      <x:c r="X177" t="str">
        <x:v>https://music.163.com/discover/toplist?id=19723756</x:v>
      </x:c>
      <x:c r="Y177" t="str">
        <x:v>https://music.163.com/api/playlist/detail?id=19723756&amp;n=100</x:v>
      </x:c>
      <x:c r="Z177" s="24" t="str">
        <x:f>IFERROR(VLOOKUP(F177,'07_字典与参数'!$A$5:$E$10,3,FALSE),"待映射")</x:f>
        <x:v>网易云音乐</x:v>
      </x:c>
      <x:c r="AA177" s="24" t="str">
        <x:f>IFERROR(VLOOKUP(F177,'07_字典与参数'!$A$5:$E$10,2,FALSE),"待映射")</x:f>
        <x:v>飙升榜</x:v>
      </x:c>
      <x:c r="AB177" s="24" t="str">
        <x:f>IFERROR(VLOOKUP(F177,'07_字典与参数'!$A$5:$E$10,4,FALSE),"待映射")</x:f>
        <x:v>每日</x:v>
      </x:c>
      <x:c r="AC177" s="24" t="str">
        <x:f>D177&amp;"|"&amp;F177&amp;"|"&amp;L177</x:f>
        <x:v>netease_cloud_music|rising|2755500197</x:v>
      </x:c>
      <x:c r="AD177" s="24" t="str">
        <x:f>IF(J177&lt;=10,"是","否")</x:f>
        <x:v>否</x:v>
      </x:c>
      <x:c r="AE177" s="24" t="n">
        <x:f>IFERROR(YEAR(R177),"缺失")</x:f>
        <x:v>2025</x:v>
      </x:c>
    </x:row>
    <x:row r="178">
      <x:c r="A178" t="str">
        <x:v>20260812T132133+0800</x:v>
      </x:c>
      <x:c r="B178" t="n">
        <x:v>46246.22329861111</x:v>
      </x:c>
      <x:c r="C178" t="str">
        <x:v>2026-08-12</x:v>
      </x:c>
      <x:c r="D178" t="str">
        <x:v>netease_cloud_music</x:v>
      </x:c>
      <x:c r="E178" t="str">
        <x:v>CN</x:v>
      </x:c>
      <x:c r="F178" t="str">
        <x:v>rising</x:v>
      </x:c>
      <x:c r="G178" t="str">
        <x:v>飙升榜</x:v>
      </x:c>
      <x:c r="H178" t="str">
        <x:v>19723756</x:v>
      </x:c>
      <x:c r="I178" t="n">
        <x:v>100</x:v>
      </x:c>
      <x:c r="J178" t="n">
        <x:v>74</x:v>
      </x:c>
      <x:c r="K178" t="n">
        <x:v>27</x:v>
      </x:c>
      <x:c r="L178" t="str">
        <x:v>110215</x:v>
      </x:c>
      <x:c r="M178" t="str">
        <x:v>风吹麦浪</x:v>
      </x:c>
      <x:c r="N178" t="str">
        <x:v>3695</x:v>
      </x:c>
      <x:c r="O178" t="str">
        <x:v>李健</x:v>
      </x:c>
      <x:c r="P178" t="str">
        <x:v>10908</x:v>
      </x:c>
      <x:c r="Q178" t="str">
        <x:v>想念你</x:v>
      </x:c>
      <x:c r="R178" t="str">
        <x:v>2007-04-01</x:v>
      </x:c>
      <x:c r="S178" t="str"/>
      <x:c r="T178"/>
      <x:c r="U178"/>
      <x:c r="V178" t="str">
        <x:v>https://music.163.com/song?id=110215</x:v>
      </x:c>
      <x:c r="W178" t="str">
        <x:v>http://p2.music.126.net/AFbJ1KzfXApdFO9owHCEfA==/109951163432573502.jpg</x:v>
      </x:c>
      <x:c r="X178" t="str">
        <x:v>https://music.163.com/discover/toplist?id=19723756</x:v>
      </x:c>
      <x:c r="Y178" t="str">
        <x:v>https://music.163.com/api/playlist/detail?id=19723756&amp;n=100</x:v>
      </x:c>
      <x:c r="Z178" s="24" t="str">
        <x:f>IFERROR(VLOOKUP(F178,'07_字典与参数'!$A$5:$E$10,3,FALSE),"待映射")</x:f>
        <x:v>网易云音乐</x:v>
      </x:c>
      <x:c r="AA178" s="24" t="str">
        <x:f>IFERROR(VLOOKUP(F178,'07_字典与参数'!$A$5:$E$10,2,FALSE),"待映射")</x:f>
        <x:v>飙升榜</x:v>
      </x:c>
      <x:c r="AB178" s="24" t="str">
        <x:f>IFERROR(VLOOKUP(F178,'07_字典与参数'!$A$5:$E$10,4,FALSE),"待映射")</x:f>
        <x:v>每日</x:v>
      </x:c>
      <x:c r="AC178" s="24" t="str">
        <x:f>D178&amp;"|"&amp;F178&amp;"|"&amp;L178</x:f>
        <x:v>netease_cloud_music|rising|110215</x:v>
      </x:c>
      <x:c r="AD178" s="24" t="str">
        <x:f>IF(J178&lt;=10,"是","否")</x:f>
        <x:v>否</x:v>
      </x:c>
      <x:c r="AE178" s="24" t="n">
        <x:f>IFERROR(YEAR(R178),"缺失")</x:f>
        <x:v>2007</x:v>
      </x:c>
    </x:row>
    <x:row r="179">
      <x:c r="A179" t="str">
        <x:v>20260812T132133+0800</x:v>
      </x:c>
      <x:c r="B179" t="n">
        <x:v>46246.22329861111</x:v>
      </x:c>
      <x:c r="C179" t="str">
        <x:v>2026-08-12</x:v>
      </x:c>
      <x:c r="D179" t="str">
        <x:v>netease_cloud_music</x:v>
      </x:c>
      <x:c r="E179" t="str">
        <x:v>CN</x:v>
      </x:c>
      <x:c r="F179" t="str">
        <x:v>rising</x:v>
      </x:c>
      <x:c r="G179" t="str">
        <x:v>飙升榜</x:v>
      </x:c>
      <x:c r="H179" t="str">
        <x:v>19723756</x:v>
      </x:c>
      <x:c r="I179" t="n">
        <x:v>100</x:v>
      </x:c>
      <x:c r="J179" t="n">
        <x:v>75</x:v>
      </x:c>
      <x:c r="K179" t="n">
        <x:v>26</x:v>
      </x:c>
      <x:c r="L179" t="str">
        <x:v>254143</x:v>
      </x:c>
      <x:c r="M179" t="str">
        <x:v>失忆</x:v>
      </x:c>
      <x:c r="N179" t="str">
        <x:v>8325</x:v>
      </x:c>
      <x:c r="O179" t="str">
        <x:v>梁静茹</x:v>
      </x:c>
      <x:c r="P179" t="str">
        <x:v>25388</x:v>
      </x:c>
      <x:c r="Q179" t="str">
        <x:v>亲亲</x:v>
      </x:c>
      <x:c r="R179" t="str">
        <x:v>2006-10-06</x:v>
      </x:c>
      <x:c r="S179" t="str"/>
      <x:c r="T179"/>
      <x:c r="U179"/>
      <x:c r="V179" t="str">
        <x:v>https://music.163.com/song?id=254143</x:v>
      </x:c>
      <x:c r="W179" t="str">
        <x:v>http://p2.music.126.net/OpFMH1NN5u3DaOUdruORlw==/109951168144462962.jpg</x:v>
      </x:c>
      <x:c r="X179" t="str">
        <x:v>https://music.163.com/discover/toplist?id=19723756</x:v>
      </x:c>
      <x:c r="Y179" t="str">
        <x:v>https://music.163.com/api/playlist/detail?id=19723756&amp;n=100</x:v>
      </x:c>
      <x:c r="Z179" s="24" t="str">
        <x:f>IFERROR(VLOOKUP(F179,'07_字典与参数'!$A$5:$E$10,3,FALSE),"待映射")</x:f>
        <x:v>网易云音乐</x:v>
      </x:c>
      <x:c r="AA179" s="24" t="str">
        <x:f>IFERROR(VLOOKUP(F179,'07_字典与参数'!$A$5:$E$10,2,FALSE),"待映射")</x:f>
        <x:v>飙升榜</x:v>
      </x:c>
      <x:c r="AB179" s="24" t="str">
        <x:f>IFERROR(VLOOKUP(F179,'07_字典与参数'!$A$5:$E$10,4,FALSE),"待映射")</x:f>
        <x:v>每日</x:v>
      </x:c>
      <x:c r="AC179" s="24" t="str">
        <x:f>D179&amp;"|"&amp;F179&amp;"|"&amp;L179</x:f>
        <x:v>netease_cloud_music|rising|254143</x:v>
      </x:c>
      <x:c r="AD179" s="24" t="str">
        <x:f>IF(J179&lt;=10,"是","否")</x:f>
        <x:v>否</x:v>
      </x:c>
      <x:c r="AE179" s="24" t="n">
        <x:f>IFERROR(YEAR(R179),"缺失")</x:f>
        <x:v>2006</x:v>
      </x:c>
    </x:row>
    <x:row r="180">
      <x:c r="A180" t="str">
        <x:v>20260812T132133+0800</x:v>
      </x:c>
      <x:c r="B180" t="n">
        <x:v>46246.22329861111</x:v>
      </x:c>
      <x:c r="C180" t="str">
        <x:v>2026-08-12</x:v>
      </x:c>
      <x:c r="D180" t="str">
        <x:v>netease_cloud_music</x:v>
      </x:c>
      <x:c r="E180" t="str">
        <x:v>CN</x:v>
      </x:c>
      <x:c r="F180" t="str">
        <x:v>rising</x:v>
      </x:c>
      <x:c r="G180" t="str">
        <x:v>飙升榜</x:v>
      </x:c>
      <x:c r="H180" t="str">
        <x:v>19723756</x:v>
      </x:c>
      <x:c r="I180" t="n">
        <x:v>100</x:v>
      </x:c>
      <x:c r="J180" t="n">
        <x:v>76</x:v>
      </x:c>
      <x:c r="K180" t="n">
        <x:v>25</x:v>
      </x:c>
      <x:c r="L180" t="str">
        <x:v>3408940397</x:v>
      </x:c>
      <x:c r="M180" t="str">
        <x:v>Just a Mind</x:v>
      </x:c>
      <x:c r="N180" t="str">
        <x:v>94439994</x:v>
      </x:c>
      <x:c r="O180" t="str">
        <x:v>Agera</x:v>
      </x:c>
      <x:c r="P180" t="str">
        <x:v>387965141</x:v>
      </x:c>
      <x:c r="Q180" t="str">
        <x:v>Just a Mind</x:v>
      </x:c>
      <x:c r="R180" t="str"/>
      <x:c r="S180" t="str"/>
      <x:c r="T180"/>
      <x:c r="U180"/>
      <x:c r="V180" t="str">
        <x:v>https://music.163.com/song?id=3408940397</x:v>
      </x:c>
      <x:c r="W180" t="str">
        <x:v>http://p2.music.126.net/_0iL_hUjLUuor5KzbAcbCQ==/109951173598307428.jpg</x:v>
      </x:c>
      <x:c r="X180" t="str">
        <x:v>https://music.163.com/discover/toplist?id=19723756</x:v>
      </x:c>
      <x:c r="Y180" t="str">
        <x:v>https://music.163.com/api/playlist/detail?id=19723756&amp;n=100</x:v>
      </x:c>
      <x:c r="Z180" s="24" t="str">
        <x:f>IFERROR(VLOOKUP(F180,'07_字典与参数'!$A$5:$E$10,3,FALSE),"待映射")</x:f>
        <x:v>网易云音乐</x:v>
      </x:c>
      <x:c r="AA180" s="24" t="str">
        <x:f>IFERROR(VLOOKUP(F180,'07_字典与参数'!$A$5:$E$10,2,FALSE),"待映射")</x:f>
        <x:v>飙升榜</x:v>
      </x:c>
      <x:c r="AB180" s="24" t="str">
        <x:f>IFERROR(VLOOKUP(F180,'07_字典与参数'!$A$5:$E$10,4,FALSE),"待映射")</x:f>
        <x:v>每日</x:v>
      </x:c>
      <x:c r="AC180" s="24" t="str">
        <x:f>D180&amp;"|"&amp;F180&amp;"|"&amp;L180</x:f>
        <x:v>netease_cloud_music|rising|3408940397</x:v>
      </x:c>
      <x:c r="AD180" s="24" t="str">
        <x:f>IF(J180&lt;=10,"是","否")</x:f>
        <x:v>否</x:v>
      </x:c>
      <x:c r="AE180" s="24" t="str">
        <x:f>IFERROR(YEAR(R180),"缺失")</x:f>
        <x:v>缺失</x:v>
      </x:c>
    </x:row>
    <x:row r="181">
      <x:c r="A181" t="str">
        <x:v>20260812T132133+0800</x:v>
      </x:c>
      <x:c r="B181" t="n">
        <x:v>46246.22329861111</x:v>
      </x:c>
      <x:c r="C181" t="str">
        <x:v>2026-08-12</x:v>
      </x:c>
      <x:c r="D181" t="str">
        <x:v>netease_cloud_music</x:v>
      </x:c>
      <x:c r="E181" t="str">
        <x:v>CN</x:v>
      </x:c>
      <x:c r="F181" t="str">
        <x:v>rising</x:v>
      </x:c>
      <x:c r="G181" t="str">
        <x:v>飙升榜</x:v>
      </x:c>
      <x:c r="H181" t="str">
        <x:v>19723756</x:v>
      </x:c>
      <x:c r="I181" t="n">
        <x:v>100</x:v>
      </x:c>
      <x:c r="J181" t="n">
        <x:v>77</x:v>
      </x:c>
      <x:c r="K181" t="n">
        <x:v>24</x:v>
      </x:c>
      <x:c r="L181" t="str">
        <x:v>3164518</x:v>
      </x:c>
      <x:c r="M181" t="str">
        <x:v>I Want You Back (Radio Edit)</x:v>
      </x:c>
      <x:c r="N181" t="str">
        <x:v>69322</x:v>
      </x:c>
      <x:c r="O181" t="str">
        <x:v>*NSYNC</x:v>
      </x:c>
      <x:c r="P181" t="str">
        <x:v>320250</x:v>
      </x:c>
      <x:c r="Q181" t="str">
        <x:v>*NSYNC</x:v>
      </x:c>
      <x:c r="R181" t="str">
        <x:v>1997-05-26</x:v>
      </x:c>
      <x:c r="S181" t="str"/>
      <x:c r="T181"/>
      <x:c r="U181"/>
      <x:c r="V181" t="str">
        <x:v>https://music.163.com/song?id=3164518</x:v>
      </x:c>
      <x:c r="W181" t="str">
        <x:v>http://p2.music.126.net/dKQs_B_cMCJjDh-rAN5_0w==/109951163208474401.jpg</x:v>
      </x:c>
      <x:c r="X181" t="str">
        <x:v>https://music.163.com/discover/toplist?id=19723756</x:v>
      </x:c>
      <x:c r="Y181" t="str">
        <x:v>https://music.163.com/api/playlist/detail?id=19723756&amp;n=100</x:v>
      </x:c>
      <x:c r="Z181" s="24" t="str">
        <x:f>IFERROR(VLOOKUP(F181,'07_字典与参数'!$A$5:$E$10,3,FALSE),"待映射")</x:f>
        <x:v>网易云音乐</x:v>
      </x:c>
      <x:c r="AA181" s="24" t="str">
        <x:f>IFERROR(VLOOKUP(F181,'07_字典与参数'!$A$5:$E$10,2,FALSE),"待映射")</x:f>
        <x:v>飙升榜</x:v>
      </x:c>
      <x:c r="AB181" s="24" t="str">
        <x:f>IFERROR(VLOOKUP(F181,'07_字典与参数'!$A$5:$E$10,4,FALSE),"待映射")</x:f>
        <x:v>每日</x:v>
      </x:c>
      <x:c r="AC181" s="24" t="str">
        <x:f>D181&amp;"|"&amp;F181&amp;"|"&amp;L181</x:f>
        <x:v>netease_cloud_music|rising|3164518</x:v>
      </x:c>
      <x:c r="AD181" s="24" t="str">
        <x:f>IF(J181&lt;=10,"是","否")</x:f>
        <x:v>否</x:v>
      </x:c>
      <x:c r="AE181" s="24" t="n">
        <x:f>IFERROR(YEAR(R181),"缺失")</x:f>
        <x:v>1997</x:v>
      </x:c>
    </x:row>
    <x:row r="182">
      <x:c r="A182" t="str">
        <x:v>20260812T132133+0800</x:v>
      </x:c>
      <x:c r="B182" t="n">
        <x:v>46246.22329861111</x:v>
      </x:c>
      <x:c r="C182" t="str">
        <x:v>2026-08-12</x:v>
      </x:c>
      <x:c r="D182" t="str">
        <x:v>netease_cloud_music</x:v>
      </x:c>
      <x:c r="E182" t="str">
        <x:v>CN</x:v>
      </x:c>
      <x:c r="F182" t="str">
        <x:v>rising</x:v>
      </x:c>
      <x:c r="G182" t="str">
        <x:v>飙升榜</x:v>
      </x:c>
      <x:c r="H182" t="str">
        <x:v>19723756</x:v>
      </x:c>
      <x:c r="I182" t="n">
        <x:v>100</x:v>
      </x:c>
      <x:c r="J182" t="n">
        <x:v>78</x:v>
      </x:c>
      <x:c r="K182" t="n">
        <x:v>23</x:v>
      </x:c>
      <x:c r="L182" t="str">
        <x:v>3395321378</x:v>
      </x:c>
      <x:c r="M182" t="str">
        <x:v>Female</x:v>
      </x:c>
      <x:c r="N182" t="str">
        <x:v>98925269 | 58581295</x:v>
      </x:c>
      <x:c r="O182" t="str">
        <x:v>Master666 | Jasr</x:v>
      </x:c>
      <x:c r="P182" t="str">
        <x:v>382369027</x:v>
      </x:c>
      <x:c r="Q182" t="str">
        <x:v>Female</x:v>
      </x:c>
      <x:c r="R182" t="str"/>
      <x:c r="S182" t="str"/>
      <x:c r="T182"/>
      <x:c r="U182"/>
      <x:c r="V182" t="str">
        <x:v>https://music.163.com/song?id=3395321378</x:v>
      </x:c>
      <x:c r="W182" t="str">
        <x:v>http://p2.music.126.net/PudvDR0CS2V7A66R2CH8iw==/109951173417033191.jpg</x:v>
      </x:c>
      <x:c r="X182" t="str">
        <x:v>https://music.163.com/discover/toplist?id=19723756</x:v>
      </x:c>
      <x:c r="Y182" t="str">
        <x:v>https://music.163.com/api/playlist/detail?id=19723756&amp;n=100</x:v>
      </x:c>
      <x:c r="Z182" s="24" t="str">
        <x:f>IFERROR(VLOOKUP(F182,'07_字典与参数'!$A$5:$E$10,3,FALSE),"待映射")</x:f>
        <x:v>网易云音乐</x:v>
      </x:c>
      <x:c r="AA182" s="24" t="str">
        <x:f>IFERROR(VLOOKUP(F182,'07_字典与参数'!$A$5:$E$10,2,FALSE),"待映射")</x:f>
        <x:v>飙升榜</x:v>
      </x:c>
      <x:c r="AB182" s="24" t="str">
        <x:f>IFERROR(VLOOKUP(F182,'07_字典与参数'!$A$5:$E$10,4,FALSE),"待映射")</x:f>
        <x:v>每日</x:v>
      </x:c>
      <x:c r="AC182" s="24" t="str">
        <x:f>D182&amp;"|"&amp;F182&amp;"|"&amp;L182</x:f>
        <x:v>netease_cloud_music|rising|3395321378</x:v>
      </x:c>
      <x:c r="AD182" s="24" t="str">
        <x:f>IF(J182&lt;=10,"是","否")</x:f>
        <x:v>否</x:v>
      </x:c>
      <x:c r="AE182" s="24" t="str">
        <x:f>IFERROR(YEAR(R182),"缺失")</x:f>
        <x:v>缺失</x:v>
      </x:c>
    </x:row>
    <x:row r="183">
      <x:c r="A183" t="str">
        <x:v>20260812T132133+0800</x:v>
      </x:c>
      <x:c r="B183" t="n">
        <x:v>46246.22329861111</x:v>
      </x:c>
      <x:c r="C183" t="str">
        <x:v>2026-08-12</x:v>
      </x:c>
      <x:c r="D183" t="str">
        <x:v>netease_cloud_music</x:v>
      </x:c>
      <x:c r="E183" t="str">
        <x:v>CN</x:v>
      </x:c>
      <x:c r="F183" t="str">
        <x:v>rising</x:v>
      </x:c>
      <x:c r="G183" t="str">
        <x:v>飙升榜</x:v>
      </x:c>
      <x:c r="H183" t="str">
        <x:v>19723756</x:v>
      </x:c>
      <x:c r="I183" t="n">
        <x:v>100</x:v>
      </x:c>
      <x:c r="J183" t="n">
        <x:v>79</x:v>
      </x:c>
      <x:c r="K183" t="n">
        <x:v>22</x:v>
      </x:c>
      <x:c r="L183" t="str">
        <x:v>3391395350</x:v>
      </x:c>
      <x:c r="M183" t="str">
        <x:v>One Sided</x:v>
      </x:c>
      <x:c r="N183" t="str">
        <x:v>30211820</x:v>
      </x:c>
      <x:c r="O183" t="str">
        <x:v>Myles Lloyd</x:v>
      </x:c>
      <x:c r="P183" t="str">
        <x:v>380665737</x:v>
      </x:c>
      <x:c r="Q183" t="str">
        <x:v>One Sided</x:v>
      </x:c>
      <x:c r="R183" t="str">
        <x:v>2026-07-10</x:v>
      </x:c>
      <x:c r="S183" t="str"/>
      <x:c r="T183"/>
      <x:c r="U183"/>
      <x:c r="V183" t="str">
        <x:v>https://music.163.com/song?id=3391395350</x:v>
      </x:c>
      <x:c r="W183" t="str">
        <x:v>http://p2.music.126.net/kkGWyUfl3QNdX6tWi3IIyQ==/109951173353341266.jpg</x:v>
      </x:c>
      <x:c r="X183" t="str">
        <x:v>https://music.163.com/discover/toplist?id=19723756</x:v>
      </x:c>
      <x:c r="Y183" t="str">
        <x:v>https://music.163.com/api/playlist/detail?id=19723756&amp;n=100</x:v>
      </x:c>
      <x:c r="Z183" s="24" t="str">
        <x:f>IFERROR(VLOOKUP(F183,'07_字典与参数'!$A$5:$E$10,3,FALSE),"待映射")</x:f>
        <x:v>网易云音乐</x:v>
      </x:c>
      <x:c r="AA183" s="24" t="str">
        <x:f>IFERROR(VLOOKUP(F183,'07_字典与参数'!$A$5:$E$10,2,FALSE),"待映射")</x:f>
        <x:v>飙升榜</x:v>
      </x:c>
      <x:c r="AB183" s="24" t="str">
        <x:f>IFERROR(VLOOKUP(F183,'07_字典与参数'!$A$5:$E$10,4,FALSE),"待映射")</x:f>
        <x:v>每日</x:v>
      </x:c>
      <x:c r="AC183" s="24" t="str">
        <x:f>D183&amp;"|"&amp;F183&amp;"|"&amp;L183</x:f>
        <x:v>netease_cloud_music|rising|3391395350</x:v>
      </x:c>
      <x:c r="AD183" s="24" t="str">
        <x:f>IF(J183&lt;=10,"是","否")</x:f>
        <x:v>否</x:v>
      </x:c>
      <x:c r="AE183" s="24" t="n">
        <x:f>IFERROR(YEAR(R183),"缺失")</x:f>
        <x:v>2026</x:v>
      </x:c>
    </x:row>
    <x:row r="184">
      <x:c r="A184" t="str">
        <x:v>20260812T132133+0800</x:v>
      </x:c>
      <x:c r="B184" t="n">
        <x:v>46246.22329861111</x:v>
      </x:c>
      <x:c r="C184" t="str">
        <x:v>2026-08-12</x:v>
      </x:c>
      <x:c r="D184" t="str">
        <x:v>netease_cloud_music</x:v>
      </x:c>
      <x:c r="E184" t="str">
        <x:v>CN</x:v>
      </x:c>
      <x:c r="F184" t="str">
        <x:v>rising</x:v>
      </x:c>
      <x:c r="G184" t="str">
        <x:v>飙升榜</x:v>
      </x:c>
      <x:c r="H184" t="str">
        <x:v>19723756</x:v>
      </x:c>
      <x:c r="I184" t="n">
        <x:v>100</x:v>
      </x:c>
      <x:c r="J184" t="n">
        <x:v>80</x:v>
      </x:c>
      <x:c r="K184" t="n">
        <x:v>21</x:v>
      </x:c>
      <x:c r="L184" t="str">
        <x:v>1974976095</x:v>
      </x:c>
      <x:c r="M184" t="str">
        <x:v>绫波丽</x:v>
      </x:c>
      <x:c r="N184" t="str">
        <x:v>12870490</x:v>
      </x:c>
      <x:c r="O184" t="str">
        <x:v>Toryondacloud</x:v>
      </x:c>
      <x:c r="P184" t="str">
        <x:v>150242561</x:v>
      </x:c>
      <x:c r="Q184" t="str">
        <x:v>Toryondacloud Vol.2:Top Asian</x:v>
      </x:c>
      <x:c r="R184" t="str">
        <x:v>2022-08-28</x:v>
      </x:c>
      <x:c r="S184" t="str"/>
      <x:c r="T184" t="n">
        <x:v>55</x:v>
      </x:c>
      <x:c r="U184" t="n">
        <x:v>-25</x:v>
      </x:c>
      <x:c r="V184" t="str">
        <x:v>https://music.163.com/song?id=1974976095</x:v>
      </x:c>
      <x:c r="W184" t="str">
        <x:v>http://p2.music.126.net/-WOWHWVsxCVGE7jk29Wj4A==/109951170629591706.jpg</x:v>
      </x:c>
      <x:c r="X184" t="str">
        <x:v>https://music.163.com/discover/toplist?id=19723756</x:v>
      </x:c>
      <x:c r="Y184" t="str">
        <x:v>https://music.163.com/api/playlist/detail?id=19723756&amp;n=100</x:v>
      </x:c>
      <x:c r="Z184" s="24" t="str">
        <x:f>IFERROR(VLOOKUP(F184,'07_字典与参数'!$A$5:$E$10,3,FALSE),"待映射")</x:f>
        <x:v>网易云音乐</x:v>
      </x:c>
      <x:c r="AA184" s="24" t="str">
        <x:f>IFERROR(VLOOKUP(F184,'07_字典与参数'!$A$5:$E$10,2,FALSE),"待映射")</x:f>
        <x:v>飙升榜</x:v>
      </x:c>
      <x:c r="AB184" s="24" t="str">
        <x:f>IFERROR(VLOOKUP(F184,'07_字典与参数'!$A$5:$E$10,4,FALSE),"待映射")</x:f>
        <x:v>每日</x:v>
      </x:c>
      <x:c r="AC184" s="24" t="str">
        <x:f>D184&amp;"|"&amp;F184&amp;"|"&amp;L184</x:f>
        <x:v>netease_cloud_music|rising|1974976095</x:v>
      </x:c>
      <x:c r="AD184" s="24" t="str">
        <x:f>IF(J184&lt;=10,"是","否")</x:f>
        <x:v>否</x:v>
      </x:c>
      <x:c r="AE184" s="24" t="n">
        <x:f>IFERROR(YEAR(R184),"缺失")</x:f>
        <x:v>2022</x:v>
      </x:c>
    </x:row>
    <x:row r="185">
      <x:c r="A185" t="str">
        <x:v>20260812T132133+0800</x:v>
      </x:c>
      <x:c r="B185" t="n">
        <x:v>46246.22329861111</x:v>
      </x:c>
      <x:c r="C185" t="str">
        <x:v>2026-08-12</x:v>
      </x:c>
      <x:c r="D185" t="str">
        <x:v>netease_cloud_music</x:v>
      </x:c>
      <x:c r="E185" t="str">
        <x:v>CN</x:v>
      </x:c>
      <x:c r="F185" t="str">
        <x:v>rising</x:v>
      </x:c>
      <x:c r="G185" t="str">
        <x:v>飙升榜</x:v>
      </x:c>
      <x:c r="H185" t="str">
        <x:v>19723756</x:v>
      </x:c>
      <x:c r="I185" t="n">
        <x:v>100</x:v>
      </x:c>
      <x:c r="J185" t="n">
        <x:v>81</x:v>
      </x:c>
      <x:c r="K185" t="n">
        <x:v>20</x:v>
      </x:c>
      <x:c r="L185" t="str">
        <x:v>3410699492</x:v>
      </x:c>
      <x:c r="M185" t="str">
        <x:v>Not The Time</x:v>
      </x:c>
      <x:c r="N185" t="str">
        <x:v>62133881</x:v>
      </x:c>
      <x:c r="O185" t="str">
        <x:v>Suki32</x:v>
      </x:c>
      <x:c r="P185" t="str">
        <x:v>388723478</x:v>
      </x:c>
      <x:c r="Q185" t="str">
        <x:v>Not The Time</x:v>
      </x:c>
      <x:c r="R185" t="str"/>
      <x:c r="S185" t="str"/>
      <x:c r="T185"/>
      <x:c r="U185"/>
      <x:c r="V185" t="str">
        <x:v>https://music.163.com/song?id=3410699492</x:v>
      </x:c>
      <x:c r="W185" t="str">
        <x:v>http://p2.music.126.net/XWT_VlJ-6WG_dCsYlPiYBA==/109951173628278178.jpg</x:v>
      </x:c>
      <x:c r="X185" t="str">
        <x:v>https://music.163.com/discover/toplist?id=19723756</x:v>
      </x:c>
      <x:c r="Y185" t="str">
        <x:v>https://music.163.com/api/playlist/detail?id=19723756&amp;n=100</x:v>
      </x:c>
      <x:c r="Z185" s="24" t="str">
        <x:f>IFERROR(VLOOKUP(F185,'07_字典与参数'!$A$5:$E$10,3,FALSE),"待映射")</x:f>
        <x:v>网易云音乐</x:v>
      </x:c>
      <x:c r="AA185" s="24" t="str">
        <x:f>IFERROR(VLOOKUP(F185,'07_字典与参数'!$A$5:$E$10,2,FALSE),"待映射")</x:f>
        <x:v>飙升榜</x:v>
      </x:c>
      <x:c r="AB185" s="24" t="str">
        <x:f>IFERROR(VLOOKUP(F185,'07_字典与参数'!$A$5:$E$10,4,FALSE),"待映射")</x:f>
        <x:v>每日</x:v>
      </x:c>
      <x:c r="AC185" s="24" t="str">
        <x:f>D185&amp;"|"&amp;F185&amp;"|"&amp;L185</x:f>
        <x:v>netease_cloud_music|rising|3410699492</x:v>
      </x:c>
      <x:c r="AD185" s="24" t="str">
        <x:f>IF(J185&lt;=10,"是","否")</x:f>
        <x:v>否</x:v>
      </x:c>
      <x:c r="AE185" s="24" t="str">
        <x:f>IFERROR(YEAR(R185),"缺失")</x:f>
        <x:v>缺失</x:v>
      </x:c>
    </x:row>
    <x:row r="186">
      <x:c r="A186" t="str">
        <x:v>20260812T132133+0800</x:v>
      </x:c>
      <x:c r="B186" t="n">
        <x:v>46246.22329861111</x:v>
      </x:c>
      <x:c r="C186" t="str">
        <x:v>2026-08-12</x:v>
      </x:c>
      <x:c r="D186" t="str">
        <x:v>netease_cloud_music</x:v>
      </x:c>
      <x:c r="E186" t="str">
        <x:v>CN</x:v>
      </x:c>
      <x:c r="F186" t="str">
        <x:v>rising</x:v>
      </x:c>
      <x:c r="G186" t="str">
        <x:v>飙升榜</x:v>
      </x:c>
      <x:c r="H186" t="str">
        <x:v>19723756</x:v>
      </x:c>
      <x:c r="I186" t="n">
        <x:v>100</x:v>
      </x:c>
      <x:c r="J186" t="n">
        <x:v>82</x:v>
      </x:c>
      <x:c r="K186" t="n">
        <x:v>19</x:v>
      </x:c>
      <x:c r="L186" t="str">
        <x:v>516358565</x:v>
      </x:c>
      <x:c r="M186" t="str">
        <x:v>Best Friend</x:v>
      </x:c>
      <x:c r="N186" t="str">
        <x:v>12213093</x:v>
      </x:c>
      <x:c r="O186" t="str">
        <x:v>Rex Orange County</x:v>
      </x:c>
      <x:c r="P186" t="str">
        <x:v>36526009</x:v>
      </x:c>
      <x:c r="Q186" t="str">
        <x:v>Best Friend</x:v>
      </x:c>
      <x:c r="R186" t="str">
        <x:v>2017-01-25</x:v>
      </x:c>
      <x:c r="S186" t="str"/>
      <x:c r="T186"/>
      <x:c r="U186"/>
      <x:c r="V186" t="str">
        <x:v>https://music.163.com/song?id=516358565</x:v>
      </x:c>
      <x:c r="W186" t="str">
        <x:v>http://p2.music.126.net/bDmDU8-XWYSfEcFVuQ6-uA==/109951163094674266.jpg</x:v>
      </x:c>
      <x:c r="X186" t="str">
        <x:v>https://music.163.com/discover/toplist?id=19723756</x:v>
      </x:c>
      <x:c r="Y186" t="str">
        <x:v>https://music.163.com/api/playlist/detail?id=19723756&amp;n=100</x:v>
      </x:c>
      <x:c r="Z186" s="24" t="str">
        <x:f>IFERROR(VLOOKUP(F186,'07_字典与参数'!$A$5:$E$10,3,FALSE),"待映射")</x:f>
        <x:v>网易云音乐</x:v>
      </x:c>
      <x:c r="AA186" s="24" t="str">
        <x:f>IFERROR(VLOOKUP(F186,'07_字典与参数'!$A$5:$E$10,2,FALSE),"待映射")</x:f>
        <x:v>飙升榜</x:v>
      </x:c>
      <x:c r="AB186" s="24" t="str">
        <x:f>IFERROR(VLOOKUP(F186,'07_字典与参数'!$A$5:$E$10,4,FALSE),"待映射")</x:f>
        <x:v>每日</x:v>
      </x:c>
      <x:c r="AC186" s="24" t="str">
        <x:f>D186&amp;"|"&amp;F186&amp;"|"&amp;L186</x:f>
        <x:v>netease_cloud_music|rising|516358565</x:v>
      </x:c>
      <x:c r="AD186" s="24" t="str">
        <x:f>IF(J186&lt;=10,"是","否")</x:f>
        <x:v>否</x:v>
      </x:c>
      <x:c r="AE186" s="24" t="n">
        <x:f>IFERROR(YEAR(R186),"缺失")</x:f>
        <x:v>2017</x:v>
      </x:c>
    </x:row>
    <x:row r="187">
      <x:c r="A187" t="str">
        <x:v>20260812T132133+0800</x:v>
      </x:c>
      <x:c r="B187" t="n">
        <x:v>46246.22329861111</x:v>
      </x:c>
      <x:c r="C187" t="str">
        <x:v>2026-08-12</x:v>
      </x:c>
      <x:c r="D187" t="str">
        <x:v>netease_cloud_music</x:v>
      </x:c>
      <x:c r="E187" t="str">
        <x:v>CN</x:v>
      </x:c>
      <x:c r="F187" t="str">
        <x:v>rising</x:v>
      </x:c>
      <x:c r="G187" t="str">
        <x:v>飙升榜</x:v>
      </x:c>
      <x:c r="H187" t="str">
        <x:v>19723756</x:v>
      </x:c>
      <x:c r="I187" t="n">
        <x:v>100</x:v>
      </x:c>
      <x:c r="J187" t="n">
        <x:v>83</x:v>
      </x:c>
      <x:c r="K187" t="n">
        <x:v>18</x:v>
      </x:c>
      <x:c r="L187" t="str">
        <x:v>3417855761</x:v>
      </x:c>
      <x:c r="M187" t="str">
        <x:v>Candy Pink Magic Hole Flip Phone (나 어떡해)</x:v>
      </x:c>
      <x:c r="N187" t="str">
        <x:v>97197815</x:v>
      </x:c>
      <x:c r="O187" t="str">
        <x:v>KiiiKiii</x:v>
      </x:c>
      <x:c r="P187" t="str">
        <x:v>391328479</x:v>
      </x:c>
      <x:c r="Q187" t="str">
        <x:v>WhyKiiiKiii</x:v>
      </x:c>
      <x:c r="R187" t="str"/>
      <x:c r="S187" t="str"/>
      <x:c r="T187" t="n">
        <x:v>32</x:v>
      </x:c>
      <x:c r="U187" t="n">
        <x:v>-51</x:v>
      </x:c>
      <x:c r="V187" t="str">
        <x:v>https://music.163.com/song?id=3417855761</x:v>
      </x:c>
      <x:c r="W187" t="str">
        <x:v>http://p2.music.126.net/WkoRkzt-5-E6g4W1gqN7ZQ==/109951173711211073.jpg</x:v>
      </x:c>
      <x:c r="X187" t="str">
        <x:v>https://music.163.com/discover/toplist?id=19723756</x:v>
      </x:c>
      <x:c r="Y187" t="str">
        <x:v>https://music.163.com/api/playlist/detail?id=19723756&amp;n=100</x:v>
      </x:c>
      <x:c r="Z187" s="24" t="str">
        <x:f>IFERROR(VLOOKUP(F187,'07_字典与参数'!$A$5:$E$10,3,FALSE),"待映射")</x:f>
        <x:v>网易云音乐</x:v>
      </x:c>
      <x:c r="AA187" s="24" t="str">
        <x:f>IFERROR(VLOOKUP(F187,'07_字典与参数'!$A$5:$E$10,2,FALSE),"待映射")</x:f>
        <x:v>飙升榜</x:v>
      </x:c>
      <x:c r="AB187" s="24" t="str">
        <x:f>IFERROR(VLOOKUP(F187,'07_字典与参数'!$A$5:$E$10,4,FALSE),"待映射")</x:f>
        <x:v>每日</x:v>
      </x:c>
      <x:c r="AC187" s="24" t="str">
        <x:f>D187&amp;"|"&amp;F187&amp;"|"&amp;L187</x:f>
        <x:v>netease_cloud_music|rising|3417855761</x:v>
      </x:c>
      <x:c r="AD187" s="24" t="str">
        <x:f>IF(J187&lt;=10,"是","否")</x:f>
        <x:v>否</x:v>
      </x:c>
      <x:c r="AE187" s="24" t="str">
        <x:f>IFERROR(YEAR(R187),"缺失")</x:f>
        <x:v>缺失</x:v>
      </x:c>
    </x:row>
    <x:row r="188">
      <x:c r="A188" t="str">
        <x:v>20260812T132133+0800</x:v>
      </x:c>
      <x:c r="B188" t="n">
        <x:v>46246.22329861111</x:v>
      </x:c>
      <x:c r="C188" t="str">
        <x:v>2026-08-12</x:v>
      </x:c>
      <x:c r="D188" t="str">
        <x:v>netease_cloud_music</x:v>
      </x:c>
      <x:c r="E188" t="str">
        <x:v>CN</x:v>
      </x:c>
      <x:c r="F188" t="str">
        <x:v>rising</x:v>
      </x:c>
      <x:c r="G188" t="str">
        <x:v>飙升榜</x:v>
      </x:c>
      <x:c r="H188" t="str">
        <x:v>19723756</x:v>
      </x:c>
      <x:c r="I188" t="n">
        <x:v>100</x:v>
      </x:c>
      <x:c r="J188" t="n">
        <x:v>84</x:v>
      </x:c>
      <x:c r="K188" t="n">
        <x:v>17</x:v>
      </x:c>
      <x:c r="L188" t="str">
        <x:v>1317285056</x:v>
      </x:c>
      <x:c r="M188" t="str">
        <x:v>真夜中のドア〜stay with me (シングルver.)</x:v>
      </x:c>
      <x:c r="N188" t="str">
        <x:v>160053</x:v>
      </x:c>
      <x:c r="O188" t="str">
        <x:v>松原みき</x:v>
      </x:c>
      <x:c r="P188" t="str">
        <x:v>73881727</x:v>
      </x:c>
      <x:c r="Q188" t="str">
        <x:v>Light Mellow 松原みき</x:v>
      </x:c>
      <x:c r="R188" t="str">
        <x:v>1979-11-01</x:v>
      </x:c>
      <x:c r="S188" t="str"/>
      <x:c r="T188"/>
      <x:c r="U188"/>
      <x:c r="V188" t="str">
        <x:v>https://music.163.com/song?id=1317285056</x:v>
      </x:c>
      <x:c r="W188" t="str">
        <x:v>http://p2.music.126.net/rddYSzo2ZLxZ3HMerP_-0A==/109951172387752494.jpg</x:v>
      </x:c>
      <x:c r="X188" t="str">
        <x:v>https://music.163.com/discover/toplist?id=19723756</x:v>
      </x:c>
      <x:c r="Y188" t="str">
        <x:v>https://music.163.com/api/playlist/detail?id=19723756&amp;n=100</x:v>
      </x:c>
      <x:c r="Z188" s="24" t="str">
        <x:f>IFERROR(VLOOKUP(F188,'07_字典与参数'!$A$5:$E$10,3,FALSE),"待映射")</x:f>
        <x:v>网易云音乐</x:v>
      </x:c>
      <x:c r="AA188" s="24" t="str">
        <x:f>IFERROR(VLOOKUP(F188,'07_字典与参数'!$A$5:$E$10,2,FALSE),"待映射")</x:f>
        <x:v>飙升榜</x:v>
      </x:c>
      <x:c r="AB188" s="24" t="str">
        <x:f>IFERROR(VLOOKUP(F188,'07_字典与参数'!$A$5:$E$10,4,FALSE),"待映射")</x:f>
        <x:v>每日</x:v>
      </x:c>
      <x:c r="AC188" s="24" t="str">
        <x:f>D188&amp;"|"&amp;F188&amp;"|"&amp;L188</x:f>
        <x:v>netease_cloud_music|rising|1317285056</x:v>
      </x:c>
      <x:c r="AD188" s="24" t="str">
        <x:f>IF(J188&lt;=10,"是","否")</x:f>
        <x:v>否</x:v>
      </x:c>
      <x:c r="AE188" s="24" t="n">
        <x:f>IFERROR(YEAR(R188),"缺失")</x:f>
        <x:v>1979</x:v>
      </x:c>
    </x:row>
    <x:row r="189">
      <x:c r="A189" t="str">
        <x:v>20260812T132133+0800</x:v>
      </x:c>
      <x:c r="B189" t="n">
        <x:v>46246.22329861111</x:v>
      </x:c>
      <x:c r="C189" t="str">
        <x:v>2026-08-12</x:v>
      </x:c>
      <x:c r="D189" t="str">
        <x:v>netease_cloud_music</x:v>
      </x:c>
      <x:c r="E189" t="str">
        <x:v>CN</x:v>
      </x:c>
      <x:c r="F189" t="str">
        <x:v>rising</x:v>
      </x:c>
      <x:c r="G189" t="str">
        <x:v>飙升榜</x:v>
      </x:c>
      <x:c r="H189" t="str">
        <x:v>19723756</x:v>
      </x:c>
      <x:c r="I189" t="n">
        <x:v>100</x:v>
      </x:c>
      <x:c r="J189" t="n">
        <x:v>85</x:v>
      </x:c>
      <x:c r="K189" t="n">
        <x:v>16</x:v>
      </x:c>
      <x:c r="L189" t="str">
        <x:v>491943377</x:v>
      </x:c>
      <x:c r="M189" t="str">
        <x:v>See You Again</x:v>
      </x:c>
      <x:c r="N189" t="str">
        <x:v>44708 | 1070056</x:v>
      </x:c>
      <x:c r="O189" t="str">
        <x:v>Tyler, The Creator | Kali Uchis</x:v>
      </x:c>
      <x:c r="P189" t="str">
        <x:v>35745181</x:v>
      </x:c>
      <x:c r="Q189" t="str">
        <x:v>Flower Boy</x:v>
      </x:c>
      <x:c r="R189" t="str">
        <x:v>2017-07-21</x:v>
      </x:c>
      <x:c r="S189" t="str"/>
      <x:c r="T189" t="n">
        <x:v>99</x:v>
      </x:c>
      <x:c r="U189" t="n">
        <x:v>14</x:v>
      </x:c>
      <x:c r="V189" t="str">
        <x:v>https://music.163.com/song?id=491943377</x:v>
      </x:c>
      <x:c r="W189" t="str">
        <x:v>http://p2.music.126.net/oNpudpqK5cC2_g5pu3aYIA==/109951165982246534.jpg</x:v>
      </x:c>
      <x:c r="X189" t="str">
        <x:v>https://music.163.com/discover/toplist?id=19723756</x:v>
      </x:c>
      <x:c r="Y189" t="str">
        <x:v>https://music.163.com/api/playlist/detail?id=19723756&amp;n=100</x:v>
      </x:c>
      <x:c r="Z189" s="24" t="str">
        <x:f>IFERROR(VLOOKUP(F189,'07_字典与参数'!$A$5:$E$10,3,FALSE),"待映射")</x:f>
        <x:v>网易云音乐</x:v>
      </x:c>
      <x:c r="AA189" s="24" t="str">
        <x:f>IFERROR(VLOOKUP(F189,'07_字典与参数'!$A$5:$E$10,2,FALSE),"待映射")</x:f>
        <x:v>飙升榜</x:v>
      </x:c>
      <x:c r="AB189" s="24" t="str">
        <x:f>IFERROR(VLOOKUP(F189,'07_字典与参数'!$A$5:$E$10,4,FALSE),"待映射")</x:f>
        <x:v>每日</x:v>
      </x:c>
      <x:c r="AC189" s="24" t="str">
        <x:f>D189&amp;"|"&amp;F189&amp;"|"&amp;L189</x:f>
        <x:v>netease_cloud_music|rising|491943377</x:v>
      </x:c>
      <x:c r="AD189" s="24" t="str">
        <x:f>IF(J189&lt;=10,"是","否")</x:f>
        <x:v>否</x:v>
      </x:c>
      <x:c r="AE189" s="24" t="n">
        <x:f>IFERROR(YEAR(R189),"缺失")</x:f>
        <x:v>2017</x:v>
      </x:c>
    </x:row>
    <x:row r="190">
      <x:c r="A190" t="str">
        <x:v>20260812T132133+0800</x:v>
      </x:c>
      <x:c r="B190" t="n">
        <x:v>46246.22329861111</x:v>
      </x:c>
      <x:c r="C190" t="str">
        <x:v>2026-08-12</x:v>
      </x:c>
      <x:c r="D190" t="str">
        <x:v>netease_cloud_music</x:v>
      </x:c>
      <x:c r="E190" t="str">
        <x:v>CN</x:v>
      </x:c>
      <x:c r="F190" t="str">
        <x:v>rising</x:v>
      </x:c>
      <x:c r="G190" t="str">
        <x:v>飙升榜</x:v>
      </x:c>
      <x:c r="H190" t="str">
        <x:v>19723756</x:v>
      </x:c>
      <x:c r="I190" t="n">
        <x:v>100</x:v>
      </x:c>
      <x:c r="J190" t="n">
        <x:v>86</x:v>
      </x:c>
      <x:c r="K190" t="n">
        <x:v>15</x:v>
      </x:c>
      <x:c r="L190" t="str">
        <x:v>3417228038</x:v>
      </x:c>
      <x:c r="M190" t="str">
        <x:v>Sparkling Days</x:v>
      </x:c>
      <x:c r="N190" t="str">
        <x:v>32540734 | 96677442 | 34512777</x:v>
      </x:c>
      <x:c r="O190" t="str">
        <x:v>塞壬唱片-MSR | Castalia Audio | Bangler</x:v>
      </x:c>
      <x:c r="P190" t="str">
        <x:v>391110550</x:v>
      </x:c>
      <x:c r="Q190" t="str">
        <x:v>奇象巡展OST</x:v>
      </x:c>
      <x:c r="R190" t="str">
        <x:v>2026-08-10</x:v>
      </x:c>
      <x:c r="S190" t="str"/>
      <x:c r="T190" t="n">
        <x:v>31</x:v>
      </x:c>
      <x:c r="U190" t="n">
        <x:v>-55</x:v>
      </x:c>
      <x:c r="V190" t="str">
        <x:v>https://music.163.com/song?id=3417228038</x:v>
      </x:c>
      <x:c r="W190" t="str">
        <x:v>http://p2.music.126.net/s0YdreYoQL_PLpFL4UvZhA==/109951173704018052.jpg</x:v>
      </x:c>
      <x:c r="X190" t="str">
        <x:v>https://music.163.com/discover/toplist?id=19723756</x:v>
      </x:c>
      <x:c r="Y190" t="str">
        <x:v>https://music.163.com/api/playlist/detail?id=19723756&amp;n=100</x:v>
      </x:c>
      <x:c r="Z190" s="24" t="str">
        <x:f>IFERROR(VLOOKUP(F190,'07_字典与参数'!$A$5:$E$10,3,FALSE),"待映射")</x:f>
        <x:v>网易云音乐</x:v>
      </x:c>
      <x:c r="AA190" s="24" t="str">
        <x:f>IFERROR(VLOOKUP(F190,'07_字典与参数'!$A$5:$E$10,2,FALSE),"待映射")</x:f>
        <x:v>飙升榜</x:v>
      </x:c>
      <x:c r="AB190" s="24" t="str">
        <x:f>IFERROR(VLOOKUP(F190,'07_字典与参数'!$A$5:$E$10,4,FALSE),"待映射")</x:f>
        <x:v>每日</x:v>
      </x:c>
      <x:c r="AC190" s="24" t="str">
        <x:f>D190&amp;"|"&amp;F190&amp;"|"&amp;L190</x:f>
        <x:v>netease_cloud_music|rising|3417228038</x:v>
      </x:c>
      <x:c r="AD190" s="24" t="str">
        <x:f>IF(J190&lt;=10,"是","否")</x:f>
        <x:v>否</x:v>
      </x:c>
      <x:c r="AE190" s="24" t="n">
        <x:f>IFERROR(YEAR(R190),"缺失")</x:f>
        <x:v>2026</x:v>
      </x:c>
    </x:row>
    <x:row r="191">
      <x:c r="A191" t="str">
        <x:v>20260812T132133+0800</x:v>
      </x:c>
      <x:c r="B191" t="n">
        <x:v>46246.22329861111</x:v>
      </x:c>
      <x:c r="C191" t="str">
        <x:v>2026-08-12</x:v>
      </x:c>
      <x:c r="D191" t="str">
        <x:v>netease_cloud_music</x:v>
      </x:c>
      <x:c r="E191" t="str">
        <x:v>CN</x:v>
      </x:c>
      <x:c r="F191" t="str">
        <x:v>rising</x:v>
      </x:c>
      <x:c r="G191" t="str">
        <x:v>飙升榜</x:v>
      </x:c>
      <x:c r="H191" t="str">
        <x:v>19723756</x:v>
      </x:c>
      <x:c r="I191" t="n">
        <x:v>100</x:v>
      </x:c>
      <x:c r="J191" t="n">
        <x:v>87</x:v>
      </x:c>
      <x:c r="K191" t="n">
        <x:v>14</x:v>
      </x:c>
      <x:c r="L191" t="str">
        <x:v>3391548306</x:v>
      </x:c>
      <x:c r="M191" t="str">
        <x:v>芳华慢+霜雪千年</x:v>
      </x:c>
      <x:c r="N191" t="str">
        <x:v>122378168</x:v>
      </x:c>
      <x:c r="O191" t="str">
        <x:v>郭靖</x:v>
      </x:c>
      <x:c r="P191" t="str">
        <x:v>380738860</x:v>
      </x:c>
      <x:c r="Q191" t="str">
        <x:v>芳华慢+霜雪千年</x:v>
      </x:c>
      <x:c r="R191" t="str"/>
      <x:c r="S191" t="str"/>
      <x:c r="T191"/>
      <x:c r="U191"/>
      <x:c r="V191" t="str">
        <x:v>https://music.163.com/song?id=3391548306</x:v>
      </x:c>
      <x:c r="W191" t="str">
        <x:v>http://p2.music.126.net/lXG5Bwn6cedIY_u4bDo_lg==/109951173354750936.jpg</x:v>
      </x:c>
      <x:c r="X191" t="str">
        <x:v>https://music.163.com/discover/toplist?id=19723756</x:v>
      </x:c>
      <x:c r="Y191" t="str">
        <x:v>https://music.163.com/api/playlist/detail?id=19723756&amp;n=100</x:v>
      </x:c>
      <x:c r="Z191" s="24" t="str">
        <x:f>IFERROR(VLOOKUP(F191,'07_字典与参数'!$A$5:$E$10,3,FALSE),"待映射")</x:f>
        <x:v>网易云音乐</x:v>
      </x:c>
      <x:c r="AA191" s="24" t="str">
        <x:f>IFERROR(VLOOKUP(F191,'07_字典与参数'!$A$5:$E$10,2,FALSE),"待映射")</x:f>
        <x:v>飙升榜</x:v>
      </x:c>
      <x:c r="AB191" s="24" t="str">
        <x:f>IFERROR(VLOOKUP(F191,'07_字典与参数'!$A$5:$E$10,4,FALSE),"待映射")</x:f>
        <x:v>每日</x:v>
      </x:c>
      <x:c r="AC191" s="24" t="str">
        <x:f>D191&amp;"|"&amp;F191&amp;"|"&amp;L191</x:f>
        <x:v>netease_cloud_music|rising|3391548306</x:v>
      </x:c>
      <x:c r="AD191" s="24" t="str">
        <x:f>IF(J191&lt;=10,"是","否")</x:f>
        <x:v>否</x:v>
      </x:c>
      <x:c r="AE191" s="24" t="str">
        <x:f>IFERROR(YEAR(R191),"缺失")</x:f>
        <x:v>缺失</x:v>
      </x:c>
    </x:row>
    <x:row r="192">
      <x:c r="A192" t="str">
        <x:v>20260812T132133+0800</x:v>
      </x:c>
      <x:c r="B192" t="n">
        <x:v>46246.22329861111</x:v>
      </x:c>
      <x:c r="C192" t="str">
        <x:v>2026-08-12</x:v>
      </x:c>
      <x:c r="D192" t="str">
        <x:v>netease_cloud_music</x:v>
      </x:c>
      <x:c r="E192" t="str">
        <x:v>CN</x:v>
      </x:c>
      <x:c r="F192" t="str">
        <x:v>rising</x:v>
      </x:c>
      <x:c r="G192" t="str">
        <x:v>飙升榜</x:v>
      </x:c>
      <x:c r="H192" t="str">
        <x:v>19723756</x:v>
      </x:c>
      <x:c r="I192" t="n">
        <x:v>100</x:v>
      </x:c>
      <x:c r="J192" t="n">
        <x:v>88</x:v>
      </x:c>
      <x:c r="K192" t="n">
        <x:v>13</x:v>
      </x:c>
      <x:c r="L192" t="str">
        <x:v>3415679955</x:v>
      </x:c>
      <x:c r="M192" t="str">
        <x:v>爱一个人需要理由吗</x:v>
      </x:c>
      <x:c r="N192" t="str">
        <x:v>30475641 | 51177677 | 30597750</x:v>
      </x:c>
      <x:c r="O192" t="str">
        <x:v>藤竹京 | DY | 鯨</x:v>
      </x:c>
      <x:c r="P192" t="str">
        <x:v>390435262</x:v>
      </x:c>
      <x:c r="Q192" t="str">
        <x:v>爱一个人需要理由吗</x:v>
      </x:c>
      <x:c r="R192" t="str"/>
      <x:c r="S192" t="str"/>
      <x:c r="T192"/>
      <x:c r="U192"/>
      <x:c r="V192" t="str">
        <x:v>https://music.163.com/song?id=3415679955</x:v>
      </x:c>
      <x:c r="W192" t="str">
        <x:v>http://p2.music.126.net/Iv8JMntAvWupSe4OH7glog==/109951173685196655.jpg</x:v>
      </x:c>
      <x:c r="X192" t="str">
        <x:v>https://music.163.com/discover/toplist?id=19723756</x:v>
      </x:c>
      <x:c r="Y192" t="str">
        <x:v>https://music.163.com/api/playlist/detail?id=19723756&amp;n=100</x:v>
      </x:c>
      <x:c r="Z192" s="24" t="str">
        <x:f>IFERROR(VLOOKUP(F192,'07_字典与参数'!$A$5:$E$10,3,FALSE),"待映射")</x:f>
        <x:v>网易云音乐</x:v>
      </x:c>
      <x:c r="AA192" s="24" t="str">
        <x:f>IFERROR(VLOOKUP(F192,'07_字典与参数'!$A$5:$E$10,2,FALSE),"待映射")</x:f>
        <x:v>飙升榜</x:v>
      </x:c>
      <x:c r="AB192" s="24" t="str">
        <x:f>IFERROR(VLOOKUP(F192,'07_字典与参数'!$A$5:$E$10,4,FALSE),"待映射")</x:f>
        <x:v>每日</x:v>
      </x:c>
      <x:c r="AC192" s="24" t="str">
        <x:f>D192&amp;"|"&amp;F192&amp;"|"&amp;L192</x:f>
        <x:v>netease_cloud_music|rising|3415679955</x:v>
      </x:c>
      <x:c r="AD192" s="24" t="str">
        <x:f>IF(J192&lt;=10,"是","否")</x:f>
        <x:v>否</x:v>
      </x:c>
      <x:c r="AE192" s="24" t="str">
        <x:f>IFERROR(YEAR(R192),"缺失")</x:f>
        <x:v>缺失</x:v>
      </x:c>
    </x:row>
    <x:row r="193">
      <x:c r="A193" t="str">
        <x:v>20260812T132133+0800</x:v>
      </x:c>
      <x:c r="B193" t="n">
        <x:v>46246.22329861111</x:v>
      </x:c>
      <x:c r="C193" t="str">
        <x:v>2026-08-12</x:v>
      </x:c>
      <x:c r="D193" t="str">
        <x:v>netease_cloud_music</x:v>
      </x:c>
      <x:c r="E193" t="str">
        <x:v>CN</x:v>
      </x:c>
      <x:c r="F193" t="str">
        <x:v>rising</x:v>
      </x:c>
      <x:c r="G193" t="str">
        <x:v>飙升榜</x:v>
      </x:c>
      <x:c r="H193" t="str">
        <x:v>19723756</x:v>
      </x:c>
      <x:c r="I193" t="n">
        <x:v>100</x:v>
      </x:c>
      <x:c r="J193" t="n">
        <x:v>89</x:v>
      </x:c>
      <x:c r="K193" t="n">
        <x:v>12</x:v>
      </x:c>
      <x:c r="L193" t="str">
        <x:v>3406901871</x:v>
      </x:c>
      <x:c r="M193" t="str">
        <x:v>New Memories</x:v>
      </x:c>
      <x:c r="N193" t="str">
        <x:v>125343967 | 58581295</x:v>
      </x:c>
      <x:c r="O193" t="str">
        <x:v>Director | Jasr</x:v>
      </x:c>
      <x:c r="P193" t="str">
        <x:v>387076800</x:v>
      </x:c>
      <x:c r="Q193" t="str">
        <x:v>New Memories</x:v>
      </x:c>
      <x:c r="R193" t="str"/>
      <x:c r="S193" t="str"/>
      <x:c r="T193"/>
      <x:c r="U193"/>
      <x:c r="V193" t="str">
        <x:v>https://music.163.com/song?id=3406901871</x:v>
      </x:c>
      <x:c r="W193" t="str">
        <x:v>http://p2.music.126.net/JqicPUAYntFtYr8Xr705yg==/109951173563514223.jpg</x:v>
      </x:c>
      <x:c r="X193" t="str">
        <x:v>https://music.163.com/discover/toplist?id=19723756</x:v>
      </x:c>
      <x:c r="Y193" t="str">
        <x:v>https://music.163.com/api/playlist/detail?id=19723756&amp;n=100</x:v>
      </x:c>
      <x:c r="Z193" s="24" t="str">
        <x:f>IFERROR(VLOOKUP(F193,'07_字典与参数'!$A$5:$E$10,3,FALSE),"待映射")</x:f>
        <x:v>网易云音乐</x:v>
      </x:c>
      <x:c r="AA193" s="24" t="str">
        <x:f>IFERROR(VLOOKUP(F193,'07_字典与参数'!$A$5:$E$10,2,FALSE),"待映射")</x:f>
        <x:v>飙升榜</x:v>
      </x:c>
      <x:c r="AB193" s="24" t="str">
        <x:f>IFERROR(VLOOKUP(F193,'07_字典与参数'!$A$5:$E$10,4,FALSE),"待映射")</x:f>
        <x:v>每日</x:v>
      </x:c>
      <x:c r="AC193" s="24" t="str">
        <x:f>D193&amp;"|"&amp;F193&amp;"|"&amp;L193</x:f>
        <x:v>netease_cloud_music|rising|3406901871</x:v>
      </x:c>
      <x:c r="AD193" s="24" t="str">
        <x:f>IF(J193&lt;=10,"是","否")</x:f>
        <x:v>否</x:v>
      </x:c>
      <x:c r="AE193" s="24" t="str">
        <x:f>IFERROR(YEAR(R193),"缺失")</x:f>
        <x:v>缺失</x:v>
      </x:c>
    </x:row>
    <x:row r="194">
      <x:c r="A194" t="str">
        <x:v>20260812T132133+0800</x:v>
      </x:c>
      <x:c r="B194" t="n">
        <x:v>46246.22329861111</x:v>
      </x:c>
      <x:c r="C194" t="str">
        <x:v>2026-08-12</x:v>
      </x:c>
      <x:c r="D194" t="str">
        <x:v>netease_cloud_music</x:v>
      </x:c>
      <x:c r="E194" t="str">
        <x:v>CN</x:v>
      </x:c>
      <x:c r="F194" t="str">
        <x:v>rising</x:v>
      </x:c>
      <x:c r="G194" t="str">
        <x:v>飙升榜</x:v>
      </x:c>
      <x:c r="H194" t="str">
        <x:v>19723756</x:v>
      </x:c>
      <x:c r="I194" t="n">
        <x:v>100</x:v>
      </x:c>
      <x:c r="J194" t="n">
        <x:v>90</x:v>
      </x:c>
      <x:c r="K194" t="n">
        <x:v>11</x:v>
      </x:c>
      <x:c r="L194" t="str">
        <x:v>167876</x:v>
      </x:c>
      <x:c r="M194" t="str">
        <x:v>有何不可</x:v>
      </x:c>
      <x:c r="N194" t="str">
        <x:v>5771</x:v>
      </x:c>
      <x:c r="O194" t="str">
        <x:v>许嵩</x:v>
      </x:c>
      <x:c r="P194" t="str">
        <x:v>16953</x:v>
      </x:c>
      <x:c r="Q194" t="str">
        <x:v>自定义</x:v>
      </x:c>
      <x:c r="R194" t="str">
        <x:v>2009-01-10</x:v>
      </x:c>
      <x:c r="S194" t="str"/>
      <x:c r="T194"/>
      <x:c r="U194"/>
      <x:c r="V194" t="str">
        <x:v>https://music.163.com/song?id=167876</x:v>
      </x:c>
      <x:c r="W194" t="str">
        <x:v>http://p2.music.126.net/Zg4XDfsiRi5vawjSWPP8Ng==/109951172899966259.jpg</x:v>
      </x:c>
      <x:c r="X194" t="str">
        <x:v>https://music.163.com/discover/toplist?id=19723756</x:v>
      </x:c>
      <x:c r="Y194" t="str">
        <x:v>https://music.163.com/api/playlist/detail?id=19723756&amp;n=100</x:v>
      </x:c>
      <x:c r="Z194" s="24" t="str">
        <x:f>IFERROR(VLOOKUP(F194,'07_字典与参数'!$A$5:$E$10,3,FALSE),"待映射")</x:f>
        <x:v>网易云音乐</x:v>
      </x:c>
      <x:c r="AA194" s="24" t="str">
        <x:f>IFERROR(VLOOKUP(F194,'07_字典与参数'!$A$5:$E$10,2,FALSE),"待映射")</x:f>
        <x:v>飙升榜</x:v>
      </x:c>
      <x:c r="AB194" s="24" t="str">
        <x:f>IFERROR(VLOOKUP(F194,'07_字典与参数'!$A$5:$E$10,4,FALSE),"待映射")</x:f>
        <x:v>每日</x:v>
      </x:c>
      <x:c r="AC194" s="24" t="str">
        <x:f>D194&amp;"|"&amp;F194&amp;"|"&amp;L194</x:f>
        <x:v>netease_cloud_music|rising|167876</x:v>
      </x:c>
      <x:c r="AD194" s="24" t="str">
        <x:f>IF(J194&lt;=10,"是","否")</x:f>
        <x:v>否</x:v>
      </x:c>
      <x:c r="AE194" s="24" t="n">
        <x:f>IFERROR(YEAR(R194),"缺失")</x:f>
        <x:v>2009</x:v>
      </x:c>
    </x:row>
    <x:row r="195">
      <x:c r="A195" t="str">
        <x:v>20260812T132133+0800</x:v>
      </x:c>
      <x:c r="B195" t="n">
        <x:v>46246.22329861111</x:v>
      </x:c>
      <x:c r="C195" t="str">
        <x:v>2026-08-12</x:v>
      </x:c>
      <x:c r="D195" t="str">
        <x:v>netease_cloud_music</x:v>
      </x:c>
      <x:c r="E195" t="str">
        <x:v>CN</x:v>
      </x:c>
      <x:c r="F195" t="str">
        <x:v>rising</x:v>
      </x:c>
      <x:c r="G195" t="str">
        <x:v>飙升榜</x:v>
      </x:c>
      <x:c r="H195" t="str">
        <x:v>19723756</x:v>
      </x:c>
      <x:c r="I195" t="n">
        <x:v>100</x:v>
      </x:c>
      <x:c r="J195" t="n">
        <x:v>91</x:v>
      </x:c>
      <x:c r="K195" t="n">
        <x:v>10</x:v>
      </x:c>
      <x:c r="L195" t="str">
        <x:v>2157157093</x:v>
      </x:c>
      <x:c r="M195" t="str">
        <x:v>走い走い</x:v>
      </x:c>
      <x:c r="N195" t="str">
        <x:v>49044443</x:v>
      </x:c>
      <x:c r="O195" t="str">
        <x:v>Barry</x:v>
      </x:c>
      <x:c r="P195" t="str">
        <x:v>131093453</x:v>
      </x:c>
      <x:c r="Q195" t="str">
        <x:v>看海</x:v>
      </x:c>
      <x:c r="R195" t="str"/>
      <x:c r="S195" t="str"/>
      <x:c r="T195"/>
      <x:c r="U195"/>
      <x:c r="V195" t="str">
        <x:v>https://music.163.com/song?id=2157157093</x:v>
      </x:c>
      <x:c r="W195" t="str">
        <x:v>http://p1.music.126.net/M9aq5VBTz2KA6xJsOdoZDw==/109951166230753421.jpg</x:v>
      </x:c>
      <x:c r="X195" t="str">
        <x:v>https://music.163.com/discover/toplist?id=19723756</x:v>
      </x:c>
      <x:c r="Y195" t="str">
        <x:v>https://music.163.com/api/playlist/detail?id=19723756&amp;n=100</x:v>
      </x:c>
      <x:c r="Z195" s="24" t="str">
        <x:f>IFERROR(VLOOKUP(F195,'07_字典与参数'!$A$5:$E$10,3,FALSE),"待映射")</x:f>
        <x:v>网易云音乐</x:v>
      </x:c>
      <x:c r="AA195" s="24" t="str">
        <x:f>IFERROR(VLOOKUP(F195,'07_字典与参数'!$A$5:$E$10,2,FALSE),"待映射")</x:f>
        <x:v>飙升榜</x:v>
      </x:c>
      <x:c r="AB195" s="24" t="str">
        <x:f>IFERROR(VLOOKUP(F195,'07_字典与参数'!$A$5:$E$10,4,FALSE),"待映射")</x:f>
        <x:v>每日</x:v>
      </x:c>
      <x:c r="AC195" s="24" t="str">
        <x:f>D195&amp;"|"&amp;F195&amp;"|"&amp;L195</x:f>
        <x:v>netease_cloud_music|rising|2157157093</x:v>
      </x:c>
      <x:c r="AD195" s="24" t="str">
        <x:f>IF(J195&lt;=10,"是","否")</x:f>
        <x:v>否</x:v>
      </x:c>
      <x:c r="AE195" s="24" t="str">
        <x:f>IFERROR(YEAR(R195),"缺失")</x:f>
        <x:v>缺失</x:v>
      </x:c>
    </x:row>
    <x:row r="196">
      <x:c r="A196" t="str">
        <x:v>20260812T132133+0800</x:v>
      </x:c>
      <x:c r="B196" t="n">
        <x:v>46246.22329861111</x:v>
      </x:c>
      <x:c r="C196" t="str">
        <x:v>2026-08-12</x:v>
      </x:c>
      <x:c r="D196" t="str">
        <x:v>netease_cloud_music</x:v>
      </x:c>
      <x:c r="E196" t="str">
        <x:v>CN</x:v>
      </x:c>
      <x:c r="F196" t="str">
        <x:v>rising</x:v>
      </x:c>
      <x:c r="G196" t="str">
        <x:v>飙升榜</x:v>
      </x:c>
      <x:c r="H196" t="str">
        <x:v>19723756</x:v>
      </x:c>
      <x:c r="I196" t="n">
        <x:v>100</x:v>
      </x:c>
      <x:c r="J196" t="n">
        <x:v>92</x:v>
      </x:c>
      <x:c r="K196" t="n">
        <x:v>9</x:v>
      </x:c>
      <x:c r="L196" t="str">
        <x:v>3417855760</x:v>
      </x:c>
      <x:c r="M196" t="str">
        <x:v>SWEET SOUR</x:v>
      </x:c>
      <x:c r="N196" t="str">
        <x:v>97197815</x:v>
      </x:c>
      <x:c r="O196" t="str">
        <x:v>KiiiKiii</x:v>
      </x:c>
      <x:c r="P196" t="str">
        <x:v>391328479</x:v>
      </x:c>
      <x:c r="Q196" t="str">
        <x:v>WhyKiiiKiii</x:v>
      </x:c>
      <x:c r="R196" t="str"/>
      <x:c r="S196" t="str"/>
      <x:c r="T196" t="n">
        <x:v>30</x:v>
      </x:c>
      <x:c r="U196" t="n">
        <x:v>-62</x:v>
      </x:c>
      <x:c r="V196" t="str">
        <x:v>https://music.163.com/song?id=3417855760</x:v>
      </x:c>
      <x:c r="W196" t="str">
        <x:v>http://p1.music.126.net/WkoRkzt-5-E6g4W1gqN7ZQ==/109951173711211073.jpg</x:v>
      </x:c>
      <x:c r="X196" t="str">
        <x:v>https://music.163.com/discover/toplist?id=19723756</x:v>
      </x:c>
      <x:c r="Y196" t="str">
        <x:v>https://music.163.com/api/playlist/detail?id=19723756&amp;n=100</x:v>
      </x:c>
      <x:c r="Z196" s="24" t="str">
        <x:f>IFERROR(VLOOKUP(F196,'07_字典与参数'!$A$5:$E$10,3,FALSE),"待映射")</x:f>
        <x:v>网易云音乐</x:v>
      </x:c>
      <x:c r="AA196" s="24" t="str">
        <x:f>IFERROR(VLOOKUP(F196,'07_字典与参数'!$A$5:$E$10,2,FALSE),"待映射")</x:f>
        <x:v>飙升榜</x:v>
      </x:c>
      <x:c r="AB196" s="24" t="str">
        <x:f>IFERROR(VLOOKUP(F196,'07_字典与参数'!$A$5:$E$10,4,FALSE),"待映射")</x:f>
        <x:v>每日</x:v>
      </x:c>
      <x:c r="AC196" s="24" t="str">
        <x:f>D196&amp;"|"&amp;F196&amp;"|"&amp;L196</x:f>
        <x:v>netease_cloud_music|rising|3417855760</x:v>
      </x:c>
      <x:c r="AD196" s="24" t="str">
        <x:f>IF(J196&lt;=10,"是","否")</x:f>
        <x:v>否</x:v>
      </x:c>
      <x:c r="AE196" s="24" t="str">
        <x:f>IFERROR(YEAR(R196),"缺失")</x:f>
        <x:v>缺失</x:v>
      </x:c>
    </x:row>
    <x:row r="197">
      <x:c r="A197" t="str">
        <x:v>20260812T132133+0800</x:v>
      </x:c>
      <x:c r="B197" t="n">
        <x:v>46246.22329861111</x:v>
      </x:c>
      <x:c r="C197" t="str">
        <x:v>2026-08-12</x:v>
      </x:c>
      <x:c r="D197" t="str">
        <x:v>netease_cloud_music</x:v>
      </x:c>
      <x:c r="E197" t="str">
        <x:v>CN</x:v>
      </x:c>
      <x:c r="F197" t="str">
        <x:v>rising</x:v>
      </x:c>
      <x:c r="G197" t="str">
        <x:v>飙升榜</x:v>
      </x:c>
      <x:c r="H197" t="str">
        <x:v>19723756</x:v>
      </x:c>
      <x:c r="I197" t="n">
        <x:v>100</x:v>
      </x:c>
      <x:c r="J197" t="n">
        <x:v>93</x:v>
      </x:c>
      <x:c r="K197" t="n">
        <x:v>8</x:v>
      </x:c>
      <x:c r="L197" t="str">
        <x:v>2755924964</x:v>
      </x:c>
      <x:c r="M197" t="str">
        <x:v>挂机（厌倦了吵架厌倦了迷人的谎话）</x:v>
      </x:c>
      <x:c r="N197" t="str">
        <x:v>58226205</x:v>
      </x:c>
      <x:c r="O197" t="str">
        <x:v>Lefty</x:v>
      </x:c>
      <x:c r="P197" t="str">
        <x:v>288605169</x:v>
      </x:c>
      <x:c r="Q197" t="str">
        <x:v>挂机（厌倦了吵架厌倦了迷人的谎话）</x:v>
      </x:c>
      <x:c r="R197" t="str">
        <x:v>2025-10-17</x:v>
      </x:c>
      <x:c r="S197" t="str"/>
      <x:c r="T197" t="n">
        <x:v>64</x:v>
      </x:c>
      <x:c r="U197" t="n">
        <x:v>-29</x:v>
      </x:c>
      <x:c r="V197" t="str">
        <x:v>https://music.163.com/song?id=2755924964</x:v>
      </x:c>
      <x:c r="W197" t="str">
        <x:v>http://p1.music.126.net/Kf7bf40FoxrDissVeDPIXg==/109951172156257022.jpg</x:v>
      </x:c>
      <x:c r="X197" t="str">
        <x:v>https://music.163.com/discover/toplist?id=19723756</x:v>
      </x:c>
      <x:c r="Y197" t="str">
        <x:v>https://music.163.com/api/playlist/detail?id=19723756&amp;n=100</x:v>
      </x:c>
      <x:c r="Z197" s="24" t="str">
        <x:f>IFERROR(VLOOKUP(F197,'07_字典与参数'!$A$5:$E$10,3,FALSE),"待映射")</x:f>
        <x:v>网易云音乐</x:v>
      </x:c>
      <x:c r="AA197" s="24" t="str">
        <x:f>IFERROR(VLOOKUP(F197,'07_字典与参数'!$A$5:$E$10,2,FALSE),"待映射")</x:f>
        <x:v>飙升榜</x:v>
      </x:c>
      <x:c r="AB197" s="24" t="str">
        <x:f>IFERROR(VLOOKUP(F197,'07_字典与参数'!$A$5:$E$10,4,FALSE),"待映射")</x:f>
        <x:v>每日</x:v>
      </x:c>
      <x:c r="AC197" s="24" t="str">
        <x:f>D197&amp;"|"&amp;F197&amp;"|"&amp;L197</x:f>
        <x:v>netease_cloud_music|rising|2755924964</x:v>
      </x:c>
      <x:c r="AD197" s="24" t="str">
        <x:f>IF(J197&lt;=10,"是","否")</x:f>
        <x:v>否</x:v>
      </x:c>
      <x:c r="AE197" s="24" t="n">
        <x:f>IFERROR(YEAR(R197),"缺失")</x:f>
        <x:v>2025</x:v>
      </x:c>
    </x:row>
    <x:row r="198">
      <x:c r="A198" t="str">
        <x:v>20260812T132133+0800</x:v>
      </x:c>
      <x:c r="B198" t="n">
        <x:v>46246.22329861111</x:v>
      </x:c>
      <x:c r="C198" t="str">
        <x:v>2026-08-12</x:v>
      </x:c>
      <x:c r="D198" t="str">
        <x:v>netease_cloud_music</x:v>
      </x:c>
      <x:c r="E198" t="str">
        <x:v>CN</x:v>
      </x:c>
      <x:c r="F198" t="str">
        <x:v>rising</x:v>
      </x:c>
      <x:c r="G198" t="str">
        <x:v>飙升榜</x:v>
      </x:c>
      <x:c r="H198" t="str">
        <x:v>19723756</x:v>
      </x:c>
      <x:c r="I198" t="n">
        <x:v>100</x:v>
      </x:c>
      <x:c r="J198" t="n">
        <x:v>94</x:v>
      </x:c>
      <x:c r="K198" t="n">
        <x:v>7</x:v>
      </x:c>
      <x:c r="L198" t="str">
        <x:v>3414474378</x:v>
      </x:c>
      <x:c r="M198" t="str">
        <x:v>独库公路G217</x:v>
      </x:c>
      <x:c r="N198" t="str">
        <x:v>125634525</x:v>
      </x:c>
      <x:c r="O198" t="str">
        <x:v>生命树下</x:v>
      </x:c>
      <x:c r="P198" t="str">
        <x:v>390098361</x:v>
      </x:c>
      <x:c r="Q198" t="str">
        <x:v>独库公路G217</x:v>
      </x:c>
      <x:c r="R198" t="str">
        <x:v>2026-07-31</x:v>
      </x:c>
      <x:c r="S198" t="str"/>
      <x:c r="T198"/>
      <x:c r="U198"/>
      <x:c r="V198" t="str">
        <x:v>https://music.163.com/song?id=3414474378</x:v>
      </x:c>
      <x:c r="W198" t="str">
        <x:v>http://p1.music.126.net/zoPcm8UIW9rKTCUSbYk8qA==/109951173671525868.jpg</x:v>
      </x:c>
      <x:c r="X198" t="str">
        <x:v>https://music.163.com/discover/toplist?id=19723756</x:v>
      </x:c>
      <x:c r="Y198" t="str">
        <x:v>https://music.163.com/api/playlist/detail?id=19723756&amp;n=100</x:v>
      </x:c>
      <x:c r="Z198" s="24" t="str">
        <x:f>IFERROR(VLOOKUP(F198,'07_字典与参数'!$A$5:$E$10,3,FALSE),"待映射")</x:f>
        <x:v>网易云音乐</x:v>
      </x:c>
      <x:c r="AA198" s="24" t="str">
        <x:f>IFERROR(VLOOKUP(F198,'07_字典与参数'!$A$5:$E$10,2,FALSE),"待映射")</x:f>
        <x:v>飙升榜</x:v>
      </x:c>
      <x:c r="AB198" s="24" t="str">
        <x:f>IFERROR(VLOOKUP(F198,'07_字典与参数'!$A$5:$E$10,4,FALSE),"待映射")</x:f>
        <x:v>每日</x:v>
      </x:c>
      <x:c r="AC198" s="24" t="str">
        <x:f>D198&amp;"|"&amp;F198&amp;"|"&amp;L198</x:f>
        <x:v>netease_cloud_music|rising|3414474378</x:v>
      </x:c>
      <x:c r="AD198" s="24" t="str">
        <x:f>IF(J198&lt;=10,"是","否")</x:f>
        <x:v>否</x:v>
      </x:c>
      <x:c r="AE198" s="24" t="n">
        <x:f>IFERROR(YEAR(R198),"缺失")</x:f>
        <x:v>2026</x:v>
      </x:c>
    </x:row>
    <x:row r="199">
      <x:c r="A199" t="str">
        <x:v>20260812T132133+0800</x:v>
      </x:c>
      <x:c r="B199" t="n">
        <x:v>46246.22329861111</x:v>
      </x:c>
      <x:c r="C199" t="str">
        <x:v>2026-08-12</x:v>
      </x:c>
      <x:c r="D199" t="str">
        <x:v>netease_cloud_music</x:v>
      </x:c>
      <x:c r="E199" t="str">
        <x:v>CN</x:v>
      </x:c>
      <x:c r="F199" t="str">
        <x:v>rising</x:v>
      </x:c>
      <x:c r="G199" t="str">
        <x:v>飙升榜</x:v>
      </x:c>
      <x:c r="H199" t="str">
        <x:v>19723756</x:v>
      </x:c>
      <x:c r="I199" t="n">
        <x:v>100</x:v>
      </x:c>
      <x:c r="J199" t="n">
        <x:v>95</x:v>
      </x:c>
      <x:c r="K199" t="n">
        <x:v>6</x:v>
      </x:c>
      <x:c r="L199" t="str">
        <x:v>2718538860</x:v>
      </x:c>
      <x:c r="M199" t="str">
        <x:v>妒恨 Beat</x:v>
      </x:c>
      <x:c r="N199" t="str">
        <x:v>34497677</x:v>
      </x:c>
      <x:c r="O199" t="str">
        <x:v>罗恩Rune</x:v>
      </x:c>
      <x:c r="P199" t="str">
        <x:v>276038251</x:v>
      </x:c>
      <x:c r="Q199" t="str">
        <x:v>妒恨</x:v>
      </x:c>
      <x:c r="R199" t="str"/>
      <x:c r="S199" t="str"/>
      <x:c r="T199" t="n">
        <x:v>73</x:v>
      </x:c>
      <x:c r="U199" t="n">
        <x:v>-22</x:v>
      </x:c>
      <x:c r="V199" t="str">
        <x:v>https://music.163.com/song?id=2718538860</x:v>
      </x:c>
      <x:c r="W199" t="str">
        <x:v>http://p1.music.126.net/SGw1G3tnTLGbHKKQQBXOPA==/109951171350060287.jpg</x:v>
      </x:c>
      <x:c r="X199" t="str">
        <x:v>https://music.163.com/discover/toplist?id=19723756</x:v>
      </x:c>
      <x:c r="Y199" t="str">
        <x:v>https://music.163.com/api/playlist/detail?id=19723756&amp;n=100</x:v>
      </x:c>
      <x:c r="Z199" s="24" t="str">
        <x:f>IFERROR(VLOOKUP(F199,'07_字典与参数'!$A$5:$E$10,3,FALSE),"待映射")</x:f>
        <x:v>网易云音乐</x:v>
      </x:c>
      <x:c r="AA199" s="24" t="str">
        <x:f>IFERROR(VLOOKUP(F199,'07_字典与参数'!$A$5:$E$10,2,FALSE),"待映射")</x:f>
        <x:v>飙升榜</x:v>
      </x:c>
      <x:c r="AB199" s="24" t="str">
        <x:f>IFERROR(VLOOKUP(F199,'07_字典与参数'!$A$5:$E$10,4,FALSE),"待映射")</x:f>
        <x:v>每日</x:v>
      </x:c>
      <x:c r="AC199" s="24" t="str">
        <x:f>D199&amp;"|"&amp;F199&amp;"|"&amp;L199</x:f>
        <x:v>netease_cloud_music|rising|2718538860</x:v>
      </x:c>
      <x:c r="AD199" s="24" t="str">
        <x:f>IF(J199&lt;=10,"是","否")</x:f>
        <x:v>否</x:v>
      </x:c>
      <x:c r="AE199" s="24" t="str">
        <x:f>IFERROR(YEAR(R199),"缺失")</x:f>
        <x:v>缺失</x:v>
      </x:c>
    </x:row>
    <x:row r="200">
      <x:c r="A200" t="str">
        <x:v>20260812T132133+0800</x:v>
      </x:c>
      <x:c r="B200" t="n">
        <x:v>46246.22329861111</x:v>
      </x:c>
      <x:c r="C200" t="str">
        <x:v>2026-08-12</x:v>
      </x:c>
      <x:c r="D200" t="str">
        <x:v>netease_cloud_music</x:v>
      </x:c>
      <x:c r="E200" t="str">
        <x:v>CN</x:v>
      </x:c>
      <x:c r="F200" t="str">
        <x:v>rising</x:v>
      </x:c>
      <x:c r="G200" t="str">
        <x:v>飙升榜</x:v>
      </x:c>
      <x:c r="H200" t="str">
        <x:v>19723756</x:v>
      </x:c>
      <x:c r="I200" t="n">
        <x:v>100</x:v>
      </x:c>
      <x:c r="J200" t="n">
        <x:v>96</x:v>
      </x:c>
      <x:c r="K200" t="n">
        <x:v>5</x:v>
      </x:c>
      <x:c r="L200" t="str">
        <x:v>3414473440</x:v>
      </x:c>
      <x:c r="M200" t="str">
        <x:v>开始懂了 (Live)</x:v>
      </x:c>
      <x:c r="N200" t="str">
        <x:v>2112</x:v>
      </x:c>
      <x:c r="O200" t="str">
        <x:v>陈小春</x:v>
      </x:c>
      <x:c r="P200" t="str">
        <x:v>390097848</x:v>
      </x:c>
      <x:c r="Q200" t="str">
        <x:v>国乐无双 第10期</x:v>
      </x:c>
      <x:c r="R200" t="str"/>
      <x:c r="S200" t="str"/>
      <x:c r="T200"/>
      <x:c r="U200"/>
      <x:c r="V200" t="str">
        <x:v>https://music.163.com/song?id=3414473440</x:v>
      </x:c>
      <x:c r="W200" t="str">
        <x:v>http://p1.music.126.net/DE9__VdDCVQCdAdz_92hww==/109951173671527853.jpg</x:v>
      </x:c>
      <x:c r="X200" t="str">
        <x:v>https://music.163.com/discover/toplist?id=19723756</x:v>
      </x:c>
      <x:c r="Y200" t="str">
        <x:v>https://music.163.com/api/playlist/detail?id=19723756&amp;n=100</x:v>
      </x:c>
      <x:c r="Z200" s="24" t="str">
        <x:f>IFERROR(VLOOKUP(F200,'07_字典与参数'!$A$5:$E$10,3,FALSE),"待映射")</x:f>
        <x:v>网易云音乐</x:v>
      </x:c>
      <x:c r="AA200" s="24" t="str">
        <x:f>IFERROR(VLOOKUP(F200,'07_字典与参数'!$A$5:$E$10,2,FALSE),"待映射")</x:f>
        <x:v>飙升榜</x:v>
      </x:c>
      <x:c r="AB200" s="24" t="str">
        <x:f>IFERROR(VLOOKUP(F200,'07_字典与参数'!$A$5:$E$10,4,FALSE),"待映射")</x:f>
        <x:v>每日</x:v>
      </x:c>
      <x:c r="AC200" s="24" t="str">
        <x:f>D200&amp;"|"&amp;F200&amp;"|"&amp;L200</x:f>
        <x:v>netease_cloud_music|rising|3414473440</x:v>
      </x:c>
      <x:c r="AD200" s="24" t="str">
        <x:f>IF(J200&lt;=10,"是","否")</x:f>
        <x:v>否</x:v>
      </x:c>
      <x:c r="AE200" s="24" t="str">
        <x:f>IFERROR(YEAR(R200),"缺失")</x:f>
        <x:v>缺失</x:v>
      </x:c>
    </x:row>
    <x:row r="201">
      <x:c r="A201" t="str">
        <x:v>20260812T132133+0800</x:v>
      </x:c>
      <x:c r="B201" t="n">
        <x:v>46246.22329861111</x:v>
      </x:c>
      <x:c r="C201" t="str">
        <x:v>2026-08-12</x:v>
      </x:c>
      <x:c r="D201" t="str">
        <x:v>netease_cloud_music</x:v>
      </x:c>
      <x:c r="E201" t="str">
        <x:v>CN</x:v>
      </x:c>
      <x:c r="F201" t="str">
        <x:v>rising</x:v>
      </x:c>
      <x:c r="G201" t="str">
        <x:v>飙升榜</x:v>
      </x:c>
      <x:c r="H201" t="str">
        <x:v>19723756</x:v>
      </x:c>
      <x:c r="I201" t="n">
        <x:v>100</x:v>
      </x:c>
      <x:c r="J201" t="n">
        <x:v>97</x:v>
      </x:c>
      <x:c r="K201" t="n">
        <x:v>4</x:v>
      </x:c>
      <x:c r="L201" t="str">
        <x:v>3402034811</x:v>
      </x:c>
      <x:c r="M201" t="str">
        <x:v>Swing Low</x:v>
      </x:c>
      <x:c r="N201" t="str">
        <x:v>12079109</x:v>
      </x:c>
      <x:c r="O201" t="str">
        <x:v>Jack Bluesonar</x:v>
      </x:c>
      <x:c r="P201" t="str">
        <x:v>385401600</x:v>
      </x:c>
      <x:c r="Q201" t="str">
        <x:v>Swing Low</x:v>
      </x:c>
      <x:c r="R201" t="str"/>
      <x:c r="S201" t="str"/>
      <x:c r="T201"/>
      <x:c r="U201"/>
      <x:c r="V201" t="str">
        <x:v>https://music.163.com/song?id=3402034811</x:v>
      </x:c>
      <x:c r="W201" t="str">
        <x:v>http://p1.music.126.net/xC6zUeiWr8Mr0tEN9b64Ew==/109951173511250248.jpg</x:v>
      </x:c>
      <x:c r="X201" t="str">
        <x:v>https://music.163.com/discover/toplist?id=19723756</x:v>
      </x:c>
      <x:c r="Y201" t="str">
        <x:v>https://music.163.com/api/playlist/detail?id=19723756&amp;n=100</x:v>
      </x:c>
      <x:c r="Z201" s="24" t="str">
        <x:f>IFERROR(VLOOKUP(F201,'07_字典与参数'!$A$5:$E$10,3,FALSE),"待映射")</x:f>
        <x:v>网易云音乐</x:v>
      </x:c>
      <x:c r="AA201" s="24" t="str">
        <x:f>IFERROR(VLOOKUP(F201,'07_字典与参数'!$A$5:$E$10,2,FALSE),"待映射")</x:f>
        <x:v>飙升榜</x:v>
      </x:c>
      <x:c r="AB201" s="24" t="str">
        <x:f>IFERROR(VLOOKUP(F201,'07_字典与参数'!$A$5:$E$10,4,FALSE),"待映射")</x:f>
        <x:v>每日</x:v>
      </x:c>
      <x:c r="AC201" s="24" t="str">
        <x:f>D201&amp;"|"&amp;F201&amp;"|"&amp;L201</x:f>
        <x:v>netease_cloud_music|rising|3402034811</x:v>
      </x:c>
      <x:c r="AD201" s="24" t="str">
        <x:f>IF(J201&lt;=10,"是","否")</x:f>
        <x:v>否</x:v>
      </x:c>
      <x:c r="AE201" s="24" t="str">
        <x:f>IFERROR(YEAR(R201),"缺失")</x:f>
        <x:v>缺失</x:v>
      </x:c>
    </x:row>
    <x:row r="202">
      <x:c r="A202" t="str">
        <x:v>20260812T132133+0800</x:v>
      </x:c>
      <x:c r="B202" t="n">
        <x:v>46246.22329861111</x:v>
      </x:c>
      <x:c r="C202" t="str">
        <x:v>2026-08-12</x:v>
      </x:c>
      <x:c r="D202" t="str">
        <x:v>netease_cloud_music</x:v>
      </x:c>
      <x:c r="E202" t="str">
        <x:v>CN</x:v>
      </x:c>
      <x:c r="F202" t="str">
        <x:v>rising</x:v>
      </x:c>
      <x:c r="G202" t="str">
        <x:v>飙升榜</x:v>
      </x:c>
      <x:c r="H202" t="str">
        <x:v>19723756</x:v>
      </x:c>
      <x:c r="I202" t="n">
        <x:v>100</x:v>
      </x:c>
      <x:c r="J202" t="n">
        <x:v>98</x:v>
      </x:c>
      <x:c r="K202" t="n">
        <x:v>3</x:v>
      </x:c>
      <x:c r="L202" t="str">
        <x:v>5255640</x:v>
      </x:c>
      <x:c r="M202" t="str">
        <x:v>黄昏</x:v>
      </x:c>
      <x:c r="N202" t="str">
        <x:v>6652</x:v>
      </x:c>
      <x:c r="O202" t="str">
        <x:v>周传雄</x:v>
      </x:c>
      <x:c r="P202" t="str">
        <x:v>512088</x:v>
      </x:c>
      <x:c r="Q202" t="str">
        <x:v>我们的主打歌</x:v>
      </x:c>
      <x:c r="R202" t="str">
        <x:v>2007-07-12</x:v>
      </x:c>
      <x:c r="S202" t="str"/>
      <x:c r="T202"/>
      <x:c r="U202"/>
      <x:c r="V202" t="str">
        <x:v>https://music.163.com/song?id=5255640</x:v>
      </x:c>
      <x:c r="W202" t="str">
        <x:v>http://p1.music.126.net/QoYAmdyE7FL_vc9rwNeS9w==/64871186055842.jpg</x:v>
      </x:c>
      <x:c r="X202" t="str">
        <x:v>https://music.163.com/discover/toplist?id=19723756</x:v>
      </x:c>
      <x:c r="Y202" t="str">
        <x:v>https://music.163.com/api/playlist/detail?id=19723756&amp;n=100</x:v>
      </x:c>
      <x:c r="Z202" s="24" t="str">
        <x:f>IFERROR(VLOOKUP(F202,'07_字典与参数'!$A$5:$E$10,3,FALSE),"待映射")</x:f>
        <x:v>网易云音乐</x:v>
      </x:c>
      <x:c r="AA202" s="24" t="str">
        <x:f>IFERROR(VLOOKUP(F202,'07_字典与参数'!$A$5:$E$10,2,FALSE),"待映射")</x:f>
        <x:v>飙升榜</x:v>
      </x:c>
      <x:c r="AB202" s="24" t="str">
        <x:f>IFERROR(VLOOKUP(F202,'07_字典与参数'!$A$5:$E$10,4,FALSE),"待映射")</x:f>
        <x:v>每日</x:v>
      </x:c>
      <x:c r="AC202" s="24" t="str">
        <x:f>D202&amp;"|"&amp;F202&amp;"|"&amp;L202</x:f>
        <x:v>netease_cloud_music|rising|5255640</x:v>
      </x:c>
      <x:c r="AD202" s="24" t="str">
        <x:f>IF(J202&lt;=10,"是","否")</x:f>
        <x:v>否</x:v>
      </x:c>
      <x:c r="AE202" s="24" t="n">
        <x:f>IFERROR(YEAR(R202),"缺失")</x:f>
        <x:v>2007</x:v>
      </x:c>
    </x:row>
    <x:row r="203">
      <x:c r="A203" t="str">
        <x:v>20260812T132133+0800</x:v>
      </x:c>
      <x:c r="B203" t="n">
        <x:v>46246.22329861111</x:v>
      </x:c>
      <x:c r="C203" t="str">
        <x:v>2026-08-12</x:v>
      </x:c>
      <x:c r="D203" t="str">
        <x:v>netease_cloud_music</x:v>
      </x:c>
      <x:c r="E203" t="str">
        <x:v>CN</x:v>
      </x:c>
      <x:c r="F203" t="str">
        <x:v>rising</x:v>
      </x:c>
      <x:c r="G203" t="str">
        <x:v>飙升榜</x:v>
      </x:c>
      <x:c r="H203" t="str">
        <x:v>19723756</x:v>
      </x:c>
      <x:c r="I203" t="n">
        <x:v>100</x:v>
      </x:c>
      <x:c r="J203" t="n">
        <x:v>99</x:v>
      </x:c>
      <x:c r="K203" t="n">
        <x:v>2</x:v>
      </x:c>
      <x:c r="L203" t="str">
        <x:v>3395677407</x:v>
      </x:c>
      <x:c r="M203" t="str">
        <x:v>Could Stay Here</x:v>
      </x:c>
      <x:c r="N203" t="str">
        <x:v>59686611</x:v>
      </x:c>
      <x:c r="O203" t="str">
        <x:v>HKYE</x:v>
      </x:c>
      <x:c r="P203" t="str">
        <x:v>382557106</x:v>
      </x:c>
      <x:c r="Q203" t="str">
        <x:v>Could Stay Here</x:v>
      </x:c>
      <x:c r="R203" t="str"/>
      <x:c r="S203" t="str"/>
      <x:c r="T203"/>
      <x:c r="U203"/>
      <x:c r="V203" t="str">
        <x:v>https://music.163.com/song?id=3395677407</x:v>
      </x:c>
      <x:c r="W203" t="str">
        <x:v>http://p1.music.126.net/OLuHy25t3f8ZYMFO5pX8mg==/109951173423621106.jpg</x:v>
      </x:c>
      <x:c r="X203" t="str">
        <x:v>https://music.163.com/discover/toplist?id=19723756</x:v>
      </x:c>
      <x:c r="Y203" t="str">
        <x:v>https://music.163.com/api/playlist/detail?id=19723756&amp;n=100</x:v>
      </x:c>
      <x:c r="Z203" s="24" t="str">
        <x:f>IFERROR(VLOOKUP(F203,'07_字典与参数'!$A$5:$E$10,3,FALSE),"待映射")</x:f>
        <x:v>网易云音乐</x:v>
      </x:c>
      <x:c r="AA203" s="24" t="str">
        <x:f>IFERROR(VLOOKUP(F203,'07_字典与参数'!$A$5:$E$10,2,FALSE),"待映射")</x:f>
        <x:v>飙升榜</x:v>
      </x:c>
      <x:c r="AB203" s="24" t="str">
        <x:f>IFERROR(VLOOKUP(F203,'07_字典与参数'!$A$5:$E$10,4,FALSE),"待映射")</x:f>
        <x:v>每日</x:v>
      </x:c>
      <x:c r="AC203" s="24" t="str">
        <x:f>D203&amp;"|"&amp;F203&amp;"|"&amp;L203</x:f>
        <x:v>netease_cloud_music|rising|3395677407</x:v>
      </x:c>
      <x:c r="AD203" s="24" t="str">
        <x:f>IF(J203&lt;=10,"是","否")</x:f>
        <x:v>否</x:v>
      </x:c>
      <x:c r="AE203" s="24" t="str">
        <x:f>IFERROR(YEAR(R203),"缺失")</x:f>
        <x:v>缺失</x:v>
      </x:c>
    </x:row>
    <x:row r="204">
      <x:c r="A204" t="str">
        <x:v>20260812T132133+0800</x:v>
      </x:c>
      <x:c r="B204" t="n">
        <x:v>46246.22329861111</x:v>
      </x:c>
      <x:c r="C204" t="str">
        <x:v>2026-08-12</x:v>
      </x:c>
      <x:c r="D204" t="str">
        <x:v>netease_cloud_music</x:v>
      </x:c>
      <x:c r="E204" t="str">
        <x:v>CN</x:v>
      </x:c>
      <x:c r="F204" t="str">
        <x:v>rising</x:v>
      </x:c>
      <x:c r="G204" t="str">
        <x:v>飙升榜</x:v>
      </x:c>
      <x:c r="H204" t="str">
        <x:v>19723756</x:v>
      </x:c>
      <x:c r="I204" t="n">
        <x:v>100</x:v>
      </x:c>
      <x:c r="J204" t="n">
        <x:v>100</x:v>
      </x:c>
      <x:c r="K204" t="n">
        <x:v>1</x:v>
      </x:c>
      <x:c r="L204" t="str">
        <x:v>1983168596</x:v>
      </x:c>
      <x:c r="M204" t="str">
        <x:v>空城</x:v>
      </x:c>
      <x:c r="N204" t="str">
        <x:v>6068</x:v>
      </x:c>
      <x:c r="O204" t="str">
        <x:v>杨坤</x:v>
      </x:c>
      <x:c r="P204" t="str">
        <x:v>2924077</x:v>
      </x:c>
      <x:c r="Q204" t="str">
        <x:v>完美星开幕 第一期</x:v>
      </x:c>
      <x:c r="R204" t="str">
        <x:v>2014-08-06</x:v>
      </x:c>
      <x:c r="S204" t="str"/>
      <x:c r="T204"/>
      <x:c r="U204"/>
      <x:c r="V204" t="str">
        <x:v>https://music.163.com/song?id=1983168596</x:v>
      </x:c>
      <x:c r="W204" t="str">
        <x:v>http://p1.music.126.net/UzDTfR6IqHqkB851Y6gGpQ==/8929133929176629.jpg</x:v>
      </x:c>
      <x:c r="X204" t="str">
        <x:v>https://music.163.com/discover/toplist?id=19723756</x:v>
      </x:c>
      <x:c r="Y204" t="str">
        <x:v>https://music.163.com/api/playlist/detail?id=19723756&amp;n=100</x:v>
      </x:c>
      <x:c r="Z204" s="24" t="str">
        <x:f>IFERROR(VLOOKUP(F204,'07_字典与参数'!$A$5:$E$10,3,FALSE),"待映射")</x:f>
        <x:v>网易云音乐</x:v>
      </x:c>
      <x:c r="AA204" s="24" t="str">
        <x:f>IFERROR(VLOOKUP(F204,'07_字典与参数'!$A$5:$E$10,2,FALSE),"待映射")</x:f>
        <x:v>飙升榜</x:v>
      </x:c>
      <x:c r="AB204" s="24" t="str">
        <x:f>IFERROR(VLOOKUP(F204,'07_字典与参数'!$A$5:$E$10,4,FALSE),"待映射")</x:f>
        <x:v>每日</x:v>
      </x:c>
      <x:c r="AC204" s="24" t="str">
        <x:f>D204&amp;"|"&amp;F204&amp;"|"&amp;L204</x:f>
        <x:v>netease_cloud_music|rising|1983168596</x:v>
      </x:c>
      <x:c r="AD204" s="24" t="str">
        <x:f>IF(J204&lt;=10,"是","否")</x:f>
        <x:v>否</x:v>
      </x:c>
      <x:c r="AE204" s="24" t="n">
        <x:f>IFERROR(YEAR(R204),"缺失")</x:f>
        <x:v>2014</x:v>
      </x:c>
    </x:row>
    <x:row r="205">
      <x:c r="A205" t="str">
        <x:v>20260812T132133+0800</x:v>
      </x:c>
      <x:c r="B205" t="n">
        <x:v>46246.22329861111</x:v>
      </x:c>
      <x:c r="C205" t="str">
        <x:v>2026-08-12</x:v>
      </x:c>
      <x:c r="D205" t="str">
        <x:v>netease_cloud_music</x:v>
      </x:c>
      <x:c r="E205" t="str">
        <x:v>CN</x:v>
      </x:c>
      <x:c r="F205" t="str">
        <x:v>new</x:v>
      </x:c>
      <x:c r="G205" t="str">
        <x:v>新歌榜</x:v>
      </x:c>
      <x:c r="H205" t="str">
        <x:v>3779629</x:v>
      </x:c>
      <x:c r="I205" t="n">
        <x:v>100</x:v>
      </x:c>
      <x:c r="J205" t="n">
        <x:v>1</x:v>
      </x:c>
      <x:c r="K205" t="n">
        <x:v>100</x:v>
      </x:c>
      <x:c r="L205" t="str">
        <x:v>3413127704</x:v>
      </x:c>
      <x:c r="M205" t="str">
        <x:v>隐藏相册</x:v>
      </x:c>
      <x:c r="N205" t="str">
        <x:v>49141872 | 51265187</x:v>
      </x:c>
      <x:c r="O205" t="str">
        <x:v>Top Barry | INDEcompany</x:v>
      </x:c>
      <x:c r="P205" t="str">
        <x:v>389646494</x:v>
      </x:c>
      <x:c r="Q205" t="str">
        <x:v>隐藏相册</x:v>
      </x:c>
      <x:c r="R205" t="str">
        <x:v>2026-07-30</x:v>
      </x:c>
      <x:c r="S205" t="str"/>
      <x:c r="T205" t="n">
        <x:v>1</x:v>
      </x:c>
      <x:c r="U205" t="n">
        <x:v>0</x:v>
      </x:c>
      <x:c r="V205" t="str">
        <x:v>https://music.163.com/song?id=3413127704</x:v>
      </x:c>
      <x:c r="W205" t="str">
        <x:v>http://p1.music.126.net/y8ti3PoTDAh5ll6rW4DrxQ==/109951173657422971.jpg</x:v>
      </x:c>
      <x:c r="X205" t="str">
        <x:v>https://music.163.com/discover/toplist?id=3779629</x:v>
      </x:c>
      <x:c r="Y205" t="str">
        <x:v>https://music.163.com/api/playlist/detail?id=3779629&amp;n=100</x:v>
      </x:c>
      <x:c r="Z205" s="24" t="str">
        <x:f>IFERROR(VLOOKUP(F205,'07_字典与参数'!$A$5:$E$10,3,FALSE),"待映射")</x:f>
        <x:v>网易云音乐</x:v>
      </x:c>
      <x:c r="AA205" s="24" t="str">
        <x:f>IFERROR(VLOOKUP(F205,'07_字典与参数'!$A$5:$E$10,2,FALSE),"待映射")</x:f>
        <x:v>新歌榜</x:v>
      </x:c>
      <x:c r="AB205" s="24" t="str">
        <x:f>IFERROR(VLOOKUP(F205,'07_字典与参数'!$A$5:$E$10,4,FALSE),"待映射")</x:f>
        <x:v>每日</x:v>
      </x:c>
      <x:c r="AC205" s="24" t="str">
        <x:f>D205&amp;"|"&amp;F205&amp;"|"&amp;L205</x:f>
        <x:v>netease_cloud_music|new|3413127704</x:v>
      </x:c>
      <x:c r="AD205" s="24" t="str">
        <x:f>IF(J205&lt;=10,"是","否")</x:f>
        <x:v>是</x:v>
      </x:c>
      <x:c r="AE205" s="24" t="n">
        <x:f>IFERROR(YEAR(R205),"缺失")</x:f>
        <x:v>2026</x:v>
      </x:c>
    </x:row>
    <x:row r="206">
      <x:c r="A206" t="str">
        <x:v>20260812T132133+0800</x:v>
      </x:c>
      <x:c r="B206" t="n">
        <x:v>46246.22329861111</x:v>
      </x:c>
      <x:c r="C206" t="str">
        <x:v>2026-08-12</x:v>
      </x:c>
      <x:c r="D206" t="str">
        <x:v>netease_cloud_music</x:v>
      </x:c>
      <x:c r="E206" t="str">
        <x:v>CN</x:v>
      </x:c>
      <x:c r="F206" t="str">
        <x:v>new</x:v>
      </x:c>
      <x:c r="G206" t="str">
        <x:v>新歌榜</x:v>
      </x:c>
      <x:c r="H206" t="str">
        <x:v>3779629</x:v>
      </x:c>
      <x:c r="I206" t="n">
        <x:v>100</x:v>
      </x:c>
      <x:c r="J206" t="n">
        <x:v>2</x:v>
      </x:c>
      <x:c r="K206" t="n">
        <x:v>99</x:v>
      </x:c>
      <x:c r="L206" t="str">
        <x:v>3407803435</x:v>
      </x:c>
      <x:c r="M206" t="str">
        <x:v>空心 (Live版)</x:v>
      </x:c>
      <x:c r="N206" t="str">
        <x:v>14077324 | 12048006</x:v>
      </x:c>
      <x:c r="O206" t="str">
        <x:v>黄霄雲 | 刘端端</x:v>
      </x:c>
      <x:c r="P206" t="str">
        <x:v>387549490</x:v>
      </x:c>
      <x:c r="Q206" t="str">
        <x:v>天赐的声音第七季 第6期</x:v>
      </x:c>
      <x:c r="R206" t="str"/>
      <x:c r="S206" t="str"/>
      <x:c r="T206" t="n">
        <x:v>2</x:v>
      </x:c>
      <x:c r="U206" t="n">
        <x:v>0</x:v>
      </x:c>
      <x:c r="V206" t="str">
        <x:v>https://music.163.com/song?id=3407803435</x:v>
      </x:c>
      <x:c r="W206" t="str">
        <x:v>http://p1.music.126.net/vVtUT4iA2CXUtxf9Lfd9_g==/109951173577479026.jpg</x:v>
      </x:c>
      <x:c r="X206" t="str">
        <x:v>https://music.163.com/discover/toplist?id=3779629</x:v>
      </x:c>
      <x:c r="Y206" t="str">
        <x:v>https://music.163.com/api/playlist/detail?id=3779629&amp;n=100</x:v>
      </x:c>
      <x:c r="Z206" s="24" t="str">
        <x:f>IFERROR(VLOOKUP(F206,'07_字典与参数'!$A$5:$E$10,3,FALSE),"待映射")</x:f>
        <x:v>网易云音乐</x:v>
      </x:c>
      <x:c r="AA206" s="24" t="str">
        <x:f>IFERROR(VLOOKUP(F206,'07_字典与参数'!$A$5:$E$10,2,FALSE),"待映射")</x:f>
        <x:v>新歌榜</x:v>
      </x:c>
      <x:c r="AB206" s="24" t="str">
        <x:f>IFERROR(VLOOKUP(F206,'07_字典与参数'!$A$5:$E$10,4,FALSE),"待映射")</x:f>
        <x:v>每日</x:v>
      </x:c>
      <x:c r="AC206" s="24" t="str">
        <x:f>D206&amp;"|"&amp;F206&amp;"|"&amp;L206</x:f>
        <x:v>netease_cloud_music|new|3407803435</x:v>
      </x:c>
      <x:c r="AD206" s="24" t="str">
        <x:f>IF(J206&lt;=10,"是","否")</x:f>
        <x:v>是</x:v>
      </x:c>
      <x:c r="AE206" s="24" t="str">
        <x:f>IFERROR(YEAR(R206),"缺失")</x:f>
        <x:v>缺失</x:v>
      </x:c>
    </x:row>
    <x:row r="207">
      <x:c r="A207" t="str">
        <x:v>20260812T132133+0800</x:v>
      </x:c>
      <x:c r="B207" t="n">
        <x:v>46246.22329861111</x:v>
      </x:c>
      <x:c r="C207" t="str">
        <x:v>2026-08-12</x:v>
      </x:c>
      <x:c r="D207" t="str">
        <x:v>netease_cloud_music</x:v>
      </x:c>
      <x:c r="E207" t="str">
        <x:v>CN</x:v>
      </x:c>
      <x:c r="F207" t="str">
        <x:v>new</x:v>
      </x:c>
      <x:c r="G207" t="str">
        <x:v>新歌榜</x:v>
      </x:c>
      <x:c r="H207" t="str">
        <x:v>3779629</x:v>
      </x:c>
      <x:c r="I207" t="n">
        <x:v>100</x:v>
      </x:c>
      <x:c r="J207" t="n">
        <x:v>3</x:v>
      </x:c>
      <x:c r="K207" t="n">
        <x:v>98</x:v>
      </x:c>
      <x:c r="L207" t="str">
        <x:v>3410245671</x:v>
      </x:c>
      <x:c r="M207" t="str">
        <x:v>神选</x:v>
      </x:c>
      <x:c r="N207" t="str">
        <x:v>14117457</x:v>
      </x:c>
      <x:c r="O207" t="str">
        <x:v>SASIOVERLXRD</x:v>
      </x:c>
      <x:c r="P207" t="str">
        <x:v>388196110</x:v>
      </x:c>
      <x:c r="Q207" t="str">
        <x:v>赫鬼</x:v>
      </x:c>
      <x:c r="R207" t="str">
        <x:v>2026-07-27</x:v>
      </x:c>
      <x:c r="S207" t="str"/>
      <x:c r="T207" t="n">
        <x:v>3</x:v>
      </x:c>
      <x:c r="U207" t="n">
        <x:v>0</x:v>
      </x:c>
      <x:c r="V207" t="str">
        <x:v>https://music.163.com/song?id=3410245671</x:v>
      </x:c>
      <x:c r="W207" t="str">
        <x:v>http://p1.music.126.net/MEx8J6j2mntRha2stE7xlA==/109951173603999384.jpg</x:v>
      </x:c>
      <x:c r="X207" t="str">
        <x:v>https://music.163.com/discover/toplist?id=3779629</x:v>
      </x:c>
      <x:c r="Y207" t="str">
        <x:v>https://music.163.com/api/playlist/detail?id=3779629&amp;n=100</x:v>
      </x:c>
      <x:c r="Z207" s="24" t="str">
        <x:f>IFERROR(VLOOKUP(F207,'07_字典与参数'!$A$5:$E$10,3,FALSE),"待映射")</x:f>
        <x:v>网易云音乐</x:v>
      </x:c>
      <x:c r="AA207" s="24" t="str">
        <x:f>IFERROR(VLOOKUP(F207,'07_字典与参数'!$A$5:$E$10,2,FALSE),"待映射")</x:f>
        <x:v>新歌榜</x:v>
      </x:c>
      <x:c r="AB207" s="24" t="str">
        <x:f>IFERROR(VLOOKUP(F207,'07_字典与参数'!$A$5:$E$10,4,FALSE),"待映射")</x:f>
        <x:v>每日</x:v>
      </x:c>
      <x:c r="AC207" s="24" t="str">
        <x:f>D207&amp;"|"&amp;F207&amp;"|"&amp;L207</x:f>
        <x:v>netease_cloud_music|new|3410245671</x:v>
      </x:c>
      <x:c r="AD207" s="24" t="str">
        <x:f>IF(J207&lt;=10,"是","否")</x:f>
        <x:v>是</x:v>
      </x:c>
      <x:c r="AE207" s="24" t="n">
        <x:f>IFERROR(YEAR(R207),"缺失")</x:f>
        <x:v>2026</x:v>
      </x:c>
    </x:row>
    <x:row r="208">
      <x:c r="A208" t="str">
        <x:v>20260812T132133+0800</x:v>
      </x:c>
      <x:c r="B208" t="n">
        <x:v>46246.22329861111</x:v>
      </x:c>
      <x:c r="C208" t="str">
        <x:v>2026-08-12</x:v>
      </x:c>
      <x:c r="D208" t="str">
        <x:v>netease_cloud_music</x:v>
      </x:c>
      <x:c r="E208" t="str">
        <x:v>CN</x:v>
      </x:c>
      <x:c r="F208" t="str">
        <x:v>new</x:v>
      </x:c>
      <x:c r="G208" t="str">
        <x:v>新歌榜</x:v>
      </x:c>
      <x:c r="H208" t="str">
        <x:v>3779629</x:v>
      </x:c>
      <x:c r="I208" t="n">
        <x:v>100</x:v>
      </x:c>
      <x:c r="J208" t="n">
        <x:v>4</x:v>
      </x:c>
      <x:c r="K208" t="n">
        <x:v>97</x:v>
      </x:c>
      <x:c r="L208" t="str">
        <x:v>3417947275</x:v>
      </x:c>
      <x:c r="M208" t="str">
        <x:v>交个朋友 (Live)</x:v>
      </x:c>
      <x:c r="N208" t="str">
        <x:v>35784564</x:v>
      </x:c>
      <x:c r="O208" t="str">
        <x:v>弹壳Danko</x:v>
      </x:c>
      <x:c r="P208" t="str">
        <x:v>391356378</x:v>
      </x:c>
      <x:c r="Q208" t="str">
        <x:v>说唱巅峰对决2026 第七期</x:v>
      </x:c>
      <x:c r="R208" t="str"/>
      <x:c r="S208" t="str"/>
      <x:c r="T208" t="n">
        <x:v>4</x:v>
      </x:c>
      <x:c r="U208" t="n">
        <x:v>0</x:v>
      </x:c>
      <x:c r="V208" t="str">
        <x:v>https://music.163.com/song?id=3417947275</x:v>
      </x:c>
      <x:c r="W208" t="str">
        <x:v>http://p1.music.126.net/CafsjsiaYiHTlnka1Bna9g==/109951173712120187.jpg</x:v>
      </x:c>
      <x:c r="X208" t="str">
        <x:v>https://music.163.com/discover/toplist?id=3779629</x:v>
      </x:c>
      <x:c r="Y208" t="str">
        <x:v>https://music.163.com/api/playlist/detail?id=3779629&amp;n=100</x:v>
      </x:c>
      <x:c r="Z208" s="24" t="str">
        <x:f>IFERROR(VLOOKUP(F208,'07_字典与参数'!$A$5:$E$10,3,FALSE),"待映射")</x:f>
        <x:v>网易云音乐</x:v>
      </x:c>
      <x:c r="AA208" s="24" t="str">
        <x:f>IFERROR(VLOOKUP(F208,'07_字典与参数'!$A$5:$E$10,2,FALSE),"待映射")</x:f>
        <x:v>新歌榜</x:v>
      </x:c>
      <x:c r="AB208" s="24" t="str">
        <x:f>IFERROR(VLOOKUP(F208,'07_字典与参数'!$A$5:$E$10,4,FALSE),"待映射")</x:f>
        <x:v>每日</x:v>
      </x:c>
      <x:c r="AC208" s="24" t="str">
        <x:f>D208&amp;"|"&amp;F208&amp;"|"&amp;L208</x:f>
        <x:v>netease_cloud_music|new|3417947275</x:v>
      </x:c>
      <x:c r="AD208" s="24" t="str">
        <x:f>IF(J208&lt;=10,"是","否")</x:f>
        <x:v>是</x:v>
      </x:c>
      <x:c r="AE208" s="24" t="str">
        <x:f>IFERROR(YEAR(R208),"缺失")</x:f>
        <x:v>缺失</x:v>
      </x:c>
    </x:row>
    <x:row r="209">
      <x:c r="A209" t="str">
        <x:v>20260812T132133+0800</x:v>
      </x:c>
      <x:c r="B209" t="n">
        <x:v>46246.22329861111</x:v>
      </x:c>
      <x:c r="C209" t="str">
        <x:v>2026-08-12</x:v>
      </x:c>
      <x:c r="D209" t="str">
        <x:v>netease_cloud_music</x:v>
      </x:c>
      <x:c r="E209" t="str">
        <x:v>CN</x:v>
      </x:c>
      <x:c r="F209" t="str">
        <x:v>new</x:v>
      </x:c>
      <x:c r="G209" t="str">
        <x:v>新歌榜</x:v>
      </x:c>
      <x:c r="H209" t="str">
        <x:v>3779629</x:v>
      </x:c>
      <x:c r="I209" t="n">
        <x:v>100</x:v>
      </x:c>
      <x:c r="J209" t="n">
        <x:v>5</x:v>
      </x:c>
      <x:c r="K209" t="n">
        <x:v>96</x:v>
      </x:c>
      <x:c r="L209" t="str">
        <x:v>3414488371</x:v>
      </x:c>
      <x:c r="M209" t="str">
        <x:v>The Gentlemen(绅士们) (Live)</x:v>
      </x:c>
      <x:c r="N209" t="str">
        <x:v>35784564 | 12371041</x:v>
      </x:c>
      <x:c r="O209" t="str">
        <x:v>弹壳Danko | Vinz-T</x:v>
      </x:c>
      <x:c r="P209" t="str">
        <x:v>390102810</x:v>
      </x:c>
      <x:c r="Q209" t="str">
        <x:v>说唱巅峰对决2026 第六期</x:v>
      </x:c>
      <x:c r="R209" t="str"/>
      <x:c r="S209" t="str"/>
      <x:c r="T209" t="n">
        <x:v>5</x:v>
      </x:c>
      <x:c r="U209" t="n">
        <x:v>0</x:v>
      </x:c>
      <x:c r="V209" t="str">
        <x:v>https://music.163.com/song?id=3414488371</x:v>
      </x:c>
      <x:c r="W209" t="str">
        <x:v>http://p1.music.126.net/8vkWFMdRU12EZnhqUkVlMw==/109951173671668840.jpg</x:v>
      </x:c>
      <x:c r="X209" t="str">
        <x:v>https://music.163.com/discover/toplist?id=3779629</x:v>
      </x:c>
      <x:c r="Y209" t="str">
        <x:v>https://music.163.com/api/playlist/detail?id=3779629&amp;n=100</x:v>
      </x:c>
      <x:c r="Z209" s="24" t="str">
        <x:f>IFERROR(VLOOKUP(F209,'07_字典与参数'!$A$5:$E$10,3,FALSE),"待映射")</x:f>
        <x:v>网易云音乐</x:v>
      </x:c>
      <x:c r="AA209" s="24" t="str">
        <x:f>IFERROR(VLOOKUP(F209,'07_字典与参数'!$A$5:$E$10,2,FALSE),"待映射")</x:f>
        <x:v>新歌榜</x:v>
      </x:c>
      <x:c r="AB209" s="24" t="str">
        <x:f>IFERROR(VLOOKUP(F209,'07_字典与参数'!$A$5:$E$10,4,FALSE),"待映射")</x:f>
        <x:v>每日</x:v>
      </x:c>
      <x:c r="AC209" s="24" t="str">
        <x:f>D209&amp;"|"&amp;F209&amp;"|"&amp;L209</x:f>
        <x:v>netease_cloud_music|new|3414488371</x:v>
      </x:c>
      <x:c r="AD209" s="24" t="str">
        <x:f>IF(J209&lt;=10,"是","否")</x:f>
        <x:v>是</x:v>
      </x:c>
      <x:c r="AE209" s="24" t="str">
        <x:f>IFERROR(YEAR(R209),"缺失")</x:f>
        <x:v>缺失</x:v>
      </x:c>
    </x:row>
    <x:row r="210">
      <x:c r="A210" t="str">
        <x:v>20260812T132133+0800</x:v>
      </x:c>
      <x:c r="B210" t="n">
        <x:v>46246.22329861111</x:v>
      </x:c>
      <x:c r="C210" t="str">
        <x:v>2026-08-12</x:v>
      </x:c>
      <x:c r="D210" t="str">
        <x:v>netease_cloud_music</x:v>
      </x:c>
      <x:c r="E210" t="str">
        <x:v>CN</x:v>
      </x:c>
      <x:c r="F210" t="str">
        <x:v>new</x:v>
      </x:c>
      <x:c r="G210" t="str">
        <x:v>新歌榜</x:v>
      </x:c>
      <x:c r="H210" t="str">
        <x:v>3779629</x:v>
      </x:c>
      <x:c r="I210" t="n">
        <x:v>100</x:v>
      </x:c>
      <x:c r="J210" t="n">
        <x:v>6</x:v>
      </x:c>
      <x:c r="K210" t="n">
        <x:v>95</x:v>
      </x:c>
      <x:c r="L210" t="str">
        <x:v>3406604171</x:v>
      </x:c>
      <x:c r="M210" t="str">
        <x:v>如果你也刚好抬头看树</x:v>
      </x:c>
      <x:c r="N210" t="str">
        <x:v>29648284</x:v>
      </x:c>
      <x:c r="O210" t="str">
        <x:v>孙天宇</x:v>
      </x:c>
      <x:c r="P210" t="str">
        <x:v>387031947</x:v>
      </x:c>
      <x:c r="Q210" t="str">
        <x:v>如果你也刚好抬头看树</x:v>
      </x:c>
      <x:c r="R210" t="str">
        <x:v>2026-07-20</x:v>
      </x:c>
      <x:c r="S210" t="str"/>
      <x:c r="T210" t="n">
        <x:v>8</x:v>
      </x:c>
      <x:c r="U210" t="n">
        <x:v>2</x:v>
      </x:c>
      <x:c r="V210" t="str">
        <x:v>https://music.163.com/song?id=3406604171</x:v>
      </x:c>
      <x:c r="W210" t="str">
        <x:v>http://p1.music.126.net/HW1EhOPR0MF56LOW7cAPjA==/109951173559311201.jpg</x:v>
      </x:c>
      <x:c r="X210" t="str">
        <x:v>https://music.163.com/discover/toplist?id=3779629</x:v>
      </x:c>
      <x:c r="Y210" t="str">
        <x:v>https://music.163.com/api/playlist/detail?id=3779629&amp;n=100</x:v>
      </x:c>
      <x:c r="Z210" s="24" t="str">
        <x:f>IFERROR(VLOOKUP(F210,'07_字典与参数'!$A$5:$E$10,3,FALSE),"待映射")</x:f>
        <x:v>网易云音乐</x:v>
      </x:c>
      <x:c r="AA210" s="24" t="str">
        <x:f>IFERROR(VLOOKUP(F210,'07_字典与参数'!$A$5:$E$10,2,FALSE),"待映射")</x:f>
        <x:v>新歌榜</x:v>
      </x:c>
      <x:c r="AB210" s="24" t="str">
        <x:f>IFERROR(VLOOKUP(F210,'07_字典与参数'!$A$5:$E$10,4,FALSE),"待映射")</x:f>
        <x:v>每日</x:v>
      </x:c>
      <x:c r="AC210" s="24" t="str">
        <x:f>D210&amp;"|"&amp;F210&amp;"|"&amp;L210</x:f>
        <x:v>netease_cloud_music|new|3406604171</x:v>
      </x:c>
      <x:c r="AD210" s="24" t="str">
        <x:f>IF(J210&lt;=10,"是","否")</x:f>
        <x:v>是</x:v>
      </x:c>
      <x:c r="AE210" s="24" t="n">
        <x:f>IFERROR(YEAR(R210),"缺失")</x:f>
        <x:v>2026</x:v>
      </x:c>
    </x:row>
    <x:row r="211">
      <x:c r="A211" t="str">
        <x:v>20260812T132133+0800</x:v>
      </x:c>
      <x:c r="B211" t="n">
        <x:v>46246.22329861111</x:v>
      </x:c>
      <x:c r="C211" t="str">
        <x:v>2026-08-12</x:v>
      </x:c>
      <x:c r="D211" t="str">
        <x:v>netease_cloud_music</x:v>
      </x:c>
      <x:c r="E211" t="str">
        <x:v>CN</x:v>
      </x:c>
      <x:c r="F211" t="str">
        <x:v>new</x:v>
      </x:c>
      <x:c r="G211" t="str">
        <x:v>新歌榜</x:v>
      </x:c>
      <x:c r="H211" t="str">
        <x:v>3779629</x:v>
      </x:c>
      <x:c r="I211" t="n">
        <x:v>100</x:v>
      </x:c>
      <x:c r="J211" t="n">
        <x:v>7</x:v>
      </x:c>
      <x:c r="K211" t="n">
        <x:v>94</x:v>
      </x:c>
      <x:c r="L211" t="str">
        <x:v>3406299590</x:v>
      </x:c>
      <x:c r="M211" t="str">
        <x:v>AGUDO MAGKLCO (GHETTO HOUSE)</x:v>
      </x:c>
      <x:c r="N211" t="str">
        <x:v>123481006</x:v>
      </x:c>
      <x:c r="O211" t="str">
        <x:v>FinalSay</x:v>
      </x:c>
      <x:c r="P211" t="str">
        <x:v>386881994</x:v>
      </x:c>
      <x:c r="Q211" t="str">
        <x:v>AGUDO MAGKLCO (GHETTO HOUSE)</x:v>
      </x:c>
      <x:c r="R211" t="str"/>
      <x:c r="S211" t="str"/>
      <x:c r="T211" t="n">
        <x:v>6</x:v>
      </x:c>
      <x:c r="U211" t="n">
        <x:v>-1</x:v>
      </x:c>
      <x:c r="V211" t="str">
        <x:v>https://music.163.com/song?id=3406299590</x:v>
      </x:c>
      <x:c r="W211" t="str">
        <x:v>http://p1.music.126.net/nmUmGG4ioaGM8r1Ptr_csw==/109951173554809216.jpg</x:v>
      </x:c>
      <x:c r="X211" t="str">
        <x:v>https://music.163.com/discover/toplist?id=3779629</x:v>
      </x:c>
      <x:c r="Y211" t="str">
        <x:v>https://music.163.com/api/playlist/detail?id=3779629&amp;n=100</x:v>
      </x:c>
      <x:c r="Z211" s="24" t="str">
        <x:f>IFERROR(VLOOKUP(F211,'07_字典与参数'!$A$5:$E$10,3,FALSE),"待映射")</x:f>
        <x:v>网易云音乐</x:v>
      </x:c>
      <x:c r="AA211" s="24" t="str">
        <x:f>IFERROR(VLOOKUP(F211,'07_字典与参数'!$A$5:$E$10,2,FALSE),"待映射")</x:f>
        <x:v>新歌榜</x:v>
      </x:c>
      <x:c r="AB211" s="24" t="str">
        <x:f>IFERROR(VLOOKUP(F211,'07_字典与参数'!$A$5:$E$10,4,FALSE),"待映射")</x:f>
        <x:v>每日</x:v>
      </x:c>
      <x:c r="AC211" s="24" t="str">
        <x:f>D211&amp;"|"&amp;F211&amp;"|"&amp;L211</x:f>
        <x:v>netease_cloud_music|new|3406299590</x:v>
      </x:c>
      <x:c r="AD211" s="24" t="str">
        <x:f>IF(J211&lt;=10,"是","否")</x:f>
        <x:v>是</x:v>
      </x:c>
      <x:c r="AE211" s="24" t="str">
        <x:f>IFERROR(YEAR(R211),"缺失")</x:f>
        <x:v>缺失</x:v>
      </x:c>
    </x:row>
    <x:row r="212">
      <x:c r="A212" t="str">
        <x:v>20260812T132133+0800</x:v>
      </x:c>
      <x:c r="B212" t="n">
        <x:v>46246.22329861111</x:v>
      </x:c>
      <x:c r="C212" t="str">
        <x:v>2026-08-12</x:v>
      </x:c>
      <x:c r="D212" t="str">
        <x:v>netease_cloud_music</x:v>
      </x:c>
      <x:c r="E212" t="str">
        <x:v>CN</x:v>
      </x:c>
      <x:c r="F212" t="str">
        <x:v>new</x:v>
      </x:c>
      <x:c r="G212" t="str">
        <x:v>新歌榜</x:v>
      </x:c>
      <x:c r="H212" t="str">
        <x:v>3779629</x:v>
      </x:c>
      <x:c r="I212" t="n">
        <x:v>100</x:v>
      </x:c>
      <x:c r="J212" t="n">
        <x:v>8</x:v>
      </x:c>
      <x:c r="K212" t="n">
        <x:v>93</x:v>
      </x:c>
      <x:c r="L212" t="str">
        <x:v>3407451664</x:v>
      </x:c>
      <x:c r="M212" t="str">
        <x:v>媚人</x:v>
      </x:c>
      <x:c r="N212" t="str">
        <x:v>5781</x:v>
      </x:c>
      <x:c r="O212" t="str">
        <x:v>薛之谦</x:v>
      </x:c>
      <x:c r="P212" t="str">
        <x:v>387407402</x:v>
      </x:c>
      <x:c r="Q212" t="str">
        <x:v>媚人</x:v>
      </x:c>
      <x:c r="R212" t="str"/>
      <x:c r="S212" t="str"/>
      <x:c r="T212" t="n">
        <x:v>7</x:v>
      </x:c>
      <x:c r="U212" t="n">
        <x:v>-1</x:v>
      </x:c>
      <x:c r="V212" t="str">
        <x:v>https://music.163.com/song?id=3407451664</x:v>
      </x:c>
      <x:c r="W212" t="str">
        <x:v>http://p1.music.126.net/5prRrPKgXP3sbfoPQVoUSg==/109951173570464058.jpg</x:v>
      </x:c>
      <x:c r="X212" t="str">
        <x:v>https://music.163.com/discover/toplist?id=3779629</x:v>
      </x:c>
      <x:c r="Y212" t="str">
        <x:v>https://music.163.com/api/playlist/detail?id=3779629&amp;n=100</x:v>
      </x:c>
      <x:c r="Z212" s="24" t="str">
        <x:f>IFERROR(VLOOKUP(F212,'07_字典与参数'!$A$5:$E$10,3,FALSE),"待映射")</x:f>
        <x:v>网易云音乐</x:v>
      </x:c>
      <x:c r="AA212" s="24" t="str">
        <x:f>IFERROR(VLOOKUP(F212,'07_字典与参数'!$A$5:$E$10,2,FALSE),"待映射")</x:f>
        <x:v>新歌榜</x:v>
      </x:c>
      <x:c r="AB212" s="24" t="str">
        <x:f>IFERROR(VLOOKUP(F212,'07_字典与参数'!$A$5:$E$10,4,FALSE),"待映射")</x:f>
        <x:v>每日</x:v>
      </x:c>
      <x:c r="AC212" s="24" t="str">
        <x:f>D212&amp;"|"&amp;F212&amp;"|"&amp;L212</x:f>
        <x:v>netease_cloud_music|new|3407451664</x:v>
      </x:c>
      <x:c r="AD212" s="24" t="str">
        <x:f>IF(J212&lt;=10,"是","否")</x:f>
        <x:v>是</x:v>
      </x:c>
      <x:c r="AE212" s="24" t="str">
        <x:f>IFERROR(YEAR(R212),"缺失")</x:f>
        <x:v>缺失</x:v>
      </x:c>
    </x:row>
    <x:row r="213">
      <x:c r="A213" t="str">
        <x:v>20260812T132133+0800</x:v>
      </x:c>
      <x:c r="B213" t="n">
        <x:v>46246.22329861111</x:v>
      </x:c>
      <x:c r="C213" t="str">
        <x:v>2026-08-12</x:v>
      </x:c>
      <x:c r="D213" t="str">
        <x:v>netease_cloud_music</x:v>
      </x:c>
      <x:c r="E213" t="str">
        <x:v>CN</x:v>
      </x:c>
      <x:c r="F213" t="str">
        <x:v>new</x:v>
      </x:c>
      <x:c r="G213" t="str">
        <x:v>新歌榜</x:v>
      </x:c>
      <x:c r="H213" t="str">
        <x:v>3779629</x:v>
      </x:c>
      <x:c r="I213" t="n">
        <x:v>100</x:v>
      </x:c>
      <x:c r="J213" t="n">
        <x:v>9</x:v>
      </x:c>
      <x:c r="K213" t="n">
        <x:v>92</x:v>
      </x:c>
      <x:c r="L213" t="str">
        <x:v>3412524548</x:v>
      </x:c>
      <x:c r="M213" t="str">
        <x:v>偶尔</x:v>
      </x:c>
      <x:c r="N213" t="str">
        <x:v>49320722</x:v>
      </x:c>
      <x:c r="O213" t="str">
        <x:v>加木</x:v>
      </x:c>
      <x:c r="P213" t="str">
        <x:v>389428902</x:v>
      </x:c>
      <x:c r="Q213" t="str">
        <x:v>偶尔</x:v>
      </x:c>
      <x:c r="R213" t="str"/>
      <x:c r="S213" t="str"/>
      <x:c r="T213" t="n">
        <x:v>11</x:v>
      </x:c>
      <x:c r="U213" t="n">
        <x:v>2</x:v>
      </x:c>
      <x:c r="V213" t="str">
        <x:v>https://music.163.com/song?id=3412524548</x:v>
      </x:c>
      <x:c r="W213" t="str">
        <x:v>http://p1.music.126.net/IbOWKcdIWr1JryqXOmKQ0g==/109951173651466474.jpg</x:v>
      </x:c>
      <x:c r="X213" t="str">
        <x:v>https://music.163.com/discover/toplist?id=3779629</x:v>
      </x:c>
      <x:c r="Y213" t="str">
        <x:v>https://music.163.com/api/playlist/detail?id=3779629&amp;n=100</x:v>
      </x:c>
      <x:c r="Z213" s="24" t="str">
        <x:f>IFERROR(VLOOKUP(F213,'07_字典与参数'!$A$5:$E$10,3,FALSE),"待映射")</x:f>
        <x:v>网易云音乐</x:v>
      </x:c>
      <x:c r="AA213" s="24" t="str">
        <x:f>IFERROR(VLOOKUP(F213,'07_字典与参数'!$A$5:$E$10,2,FALSE),"待映射")</x:f>
        <x:v>新歌榜</x:v>
      </x:c>
      <x:c r="AB213" s="24" t="str">
        <x:f>IFERROR(VLOOKUP(F213,'07_字典与参数'!$A$5:$E$10,4,FALSE),"待映射")</x:f>
        <x:v>每日</x:v>
      </x:c>
      <x:c r="AC213" s="24" t="str">
        <x:f>D213&amp;"|"&amp;F213&amp;"|"&amp;L213</x:f>
        <x:v>netease_cloud_music|new|3412524548</x:v>
      </x:c>
      <x:c r="AD213" s="24" t="str">
        <x:f>IF(J213&lt;=10,"是","否")</x:f>
        <x:v>是</x:v>
      </x:c>
      <x:c r="AE213" s="24" t="str">
        <x:f>IFERROR(YEAR(R213),"缺失")</x:f>
        <x:v>缺失</x:v>
      </x:c>
    </x:row>
    <x:row r="214">
      <x:c r="A214" t="str">
        <x:v>20260812T132133+0800</x:v>
      </x:c>
      <x:c r="B214" t="n">
        <x:v>46246.22329861111</x:v>
      </x:c>
      <x:c r="C214" t="str">
        <x:v>2026-08-12</x:v>
      </x:c>
      <x:c r="D214" t="str">
        <x:v>netease_cloud_music</x:v>
      </x:c>
      <x:c r="E214" t="str">
        <x:v>CN</x:v>
      </x:c>
      <x:c r="F214" t="str">
        <x:v>new</x:v>
      </x:c>
      <x:c r="G214" t="str">
        <x:v>新歌榜</x:v>
      </x:c>
      <x:c r="H214" t="str">
        <x:v>3779629</x:v>
      </x:c>
      <x:c r="I214" t="n">
        <x:v>100</x:v>
      </x:c>
      <x:c r="J214" t="n">
        <x:v>10</x:v>
      </x:c>
      <x:c r="K214" t="n">
        <x:v>91</x:v>
      </x:c>
      <x:c r="L214" t="str">
        <x:v>3407463190</x:v>
      </x:c>
      <x:c r="M214" t="str">
        <x:v>夏日尽头的我们</x:v>
      </x:c>
      <x:c r="N214" t="str">
        <x:v>94823802 | 121543554</x:v>
      </x:c>
      <x:c r="O214" t="str">
        <x:v>KONI可妮 | 内向懒懒</x:v>
      </x:c>
      <x:c r="P214" t="str">
        <x:v>387412728</x:v>
      </x:c>
      <x:c r="Q214" t="str">
        <x:v>夏日尽头的我们</x:v>
      </x:c>
      <x:c r="R214" t="str">
        <x:v>2026-07-16</x:v>
      </x:c>
      <x:c r="S214" t="str"/>
      <x:c r="T214" t="n">
        <x:v>12</x:v>
      </x:c>
      <x:c r="U214" t="n">
        <x:v>2</x:v>
      </x:c>
      <x:c r="V214" t="str">
        <x:v>https://music.163.com/song?id=3407463190</x:v>
      </x:c>
      <x:c r="W214" t="str">
        <x:v>http://p1.music.126.net/YuAmnP9HVwuOSZqk3BMtBA==/109951173570615193.jpg</x:v>
      </x:c>
      <x:c r="X214" t="str">
        <x:v>https://music.163.com/discover/toplist?id=3779629</x:v>
      </x:c>
      <x:c r="Y214" t="str">
        <x:v>https://music.163.com/api/playlist/detail?id=3779629&amp;n=100</x:v>
      </x:c>
      <x:c r="Z214" s="24" t="str">
        <x:f>IFERROR(VLOOKUP(F214,'07_字典与参数'!$A$5:$E$10,3,FALSE),"待映射")</x:f>
        <x:v>网易云音乐</x:v>
      </x:c>
      <x:c r="AA214" s="24" t="str">
        <x:f>IFERROR(VLOOKUP(F214,'07_字典与参数'!$A$5:$E$10,2,FALSE),"待映射")</x:f>
        <x:v>新歌榜</x:v>
      </x:c>
      <x:c r="AB214" s="24" t="str">
        <x:f>IFERROR(VLOOKUP(F214,'07_字典与参数'!$A$5:$E$10,4,FALSE),"待映射")</x:f>
        <x:v>每日</x:v>
      </x:c>
      <x:c r="AC214" s="24" t="str">
        <x:f>D214&amp;"|"&amp;F214&amp;"|"&amp;L214</x:f>
        <x:v>netease_cloud_music|new|3407463190</x:v>
      </x:c>
      <x:c r="AD214" s="24" t="str">
        <x:f>IF(J214&lt;=10,"是","否")</x:f>
        <x:v>是</x:v>
      </x:c>
      <x:c r="AE214" s="24" t="n">
        <x:f>IFERROR(YEAR(R214),"缺失")</x:f>
        <x:v>2026</x:v>
      </x:c>
    </x:row>
    <x:row r="215">
      <x:c r="A215" t="str">
        <x:v>20260812T132133+0800</x:v>
      </x:c>
      <x:c r="B215" t="n">
        <x:v>46246.22329861111</x:v>
      </x:c>
      <x:c r="C215" t="str">
        <x:v>2026-08-12</x:v>
      </x:c>
      <x:c r="D215" t="str">
        <x:v>netease_cloud_music</x:v>
      </x:c>
      <x:c r="E215" t="str">
        <x:v>CN</x:v>
      </x:c>
      <x:c r="F215" t="str">
        <x:v>new</x:v>
      </x:c>
      <x:c r="G215" t="str">
        <x:v>新歌榜</x:v>
      </x:c>
      <x:c r="H215" t="str">
        <x:v>3779629</x:v>
      </x:c>
      <x:c r="I215" t="n">
        <x:v>100</x:v>
      </x:c>
      <x:c r="J215" t="n">
        <x:v>11</x:v>
      </x:c>
      <x:c r="K215" t="n">
        <x:v>90</x:v>
      </x:c>
      <x:c r="L215" t="str">
        <x:v>3403297821</x:v>
      </x:c>
      <x:c r="M215" t="str">
        <x:v>倘若你爱一人</x:v>
      </x:c>
      <x:c r="N215" t="str">
        <x:v>12232132</x:v>
      </x:c>
      <x:c r="O215" t="str">
        <x:v>王唯旖</x:v>
      </x:c>
      <x:c r="P215" t="str">
        <x:v>385909998</x:v>
      </x:c>
      <x:c r="Q215" t="str">
        <x:v>倘若你爱一人</x:v>
      </x:c>
      <x:c r="R215" t="str">
        <x:v>2026-07-14</x:v>
      </x:c>
      <x:c r="S215" t="str"/>
      <x:c r="T215" t="n">
        <x:v>16</x:v>
      </x:c>
      <x:c r="U215" t="n">
        <x:v>5</x:v>
      </x:c>
      <x:c r="V215" t="str">
        <x:v>https://music.163.com/song?id=3403297821</x:v>
      </x:c>
      <x:c r="W215" t="str">
        <x:v>http://p1.music.126.net/2ATobj5oK1sQJNL2gM1mMA==/109951173525995079.jpg</x:v>
      </x:c>
      <x:c r="X215" t="str">
        <x:v>https://music.163.com/discover/toplist?id=3779629</x:v>
      </x:c>
      <x:c r="Y215" t="str">
        <x:v>https://music.163.com/api/playlist/detail?id=3779629&amp;n=100</x:v>
      </x:c>
      <x:c r="Z215" s="24" t="str">
        <x:f>IFERROR(VLOOKUP(F215,'07_字典与参数'!$A$5:$E$10,3,FALSE),"待映射")</x:f>
        <x:v>网易云音乐</x:v>
      </x:c>
      <x:c r="AA215" s="24" t="str">
        <x:f>IFERROR(VLOOKUP(F215,'07_字典与参数'!$A$5:$E$10,2,FALSE),"待映射")</x:f>
        <x:v>新歌榜</x:v>
      </x:c>
      <x:c r="AB215" s="24" t="str">
        <x:f>IFERROR(VLOOKUP(F215,'07_字典与参数'!$A$5:$E$10,4,FALSE),"待映射")</x:f>
        <x:v>每日</x:v>
      </x:c>
      <x:c r="AC215" s="24" t="str">
        <x:f>D215&amp;"|"&amp;F215&amp;"|"&amp;L215</x:f>
        <x:v>netease_cloud_music|new|3403297821</x:v>
      </x:c>
      <x:c r="AD215" s="24" t="str">
        <x:f>IF(J215&lt;=10,"是","否")</x:f>
        <x:v>否</x:v>
      </x:c>
      <x:c r="AE215" s="24" t="n">
        <x:f>IFERROR(YEAR(R215),"缺失")</x:f>
        <x:v>2026</x:v>
      </x:c>
    </x:row>
    <x:row r="216">
      <x:c r="A216" t="str">
        <x:v>20260812T132133+0800</x:v>
      </x:c>
      <x:c r="B216" t="n">
        <x:v>46246.22329861111</x:v>
      </x:c>
      <x:c r="C216" t="str">
        <x:v>2026-08-12</x:v>
      </x:c>
      <x:c r="D216" t="str">
        <x:v>netease_cloud_music</x:v>
      </x:c>
      <x:c r="E216" t="str">
        <x:v>CN</x:v>
      </x:c>
      <x:c r="F216" t="str">
        <x:v>new</x:v>
      </x:c>
      <x:c r="G216" t="str">
        <x:v>新歌榜</x:v>
      </x:c>
      <x:c r="H216" t="str">
        <x:v>3779629</x:v>
      </x:c>
      <x:c r="I216" t="n">
        <x:v>100</x:v>
      </x:c>
      <x:c r="J216" t="n">
        <x:v>12</x:v>
      </x:c>
      <x:c r="K216" t="n">
        <x:v>89</x:v>
      </x:c>
      <x:c r="L216" t="str">
        <x:v>3414488847</x:v>
      </x:c>
      <x:c r="M216" t="str">
        <x:v>了了 (Live)</x:v>
      </x:c>
      <x:c r="N216" t="str">
        <x:v>35884195 | 49320722</x:v>
      </x:c>
      <x:c r="O216" t="str">
        <x:v>翁杰Winjay | 加木</x:v>
      </x:c>
      <x:c r="P216" t="str">
        <x:v>390102810</x:v>
      </x:c>
      <x:c r="Q216" t="str">
        <x:v>说唱巅峰对决2026 第六期</x:v>
      </x:c>
      <x:c r="R216" t="str"/>
      <x:c r="S216" t="str"/>
      <x:c r="T216" t="n">
        <x:v>9</x:v>
      </x:c>
      <x:c r="U216" t="n">
        <x:v>-3</x:v>
      </x:c>
      <x:c r="V216" t="str">
        <x:v>https://music.163.com/song?id=3414488847</x:v>
      </x:c>
      <x:c r="W216" t="str">
        <x:v>http://p1.music.126.net/8vkWFMdRU12EZnhqUkVlMw==/109951173671668840.jpg</x:v>
      </x:c>
      <x:c r="X216" t="str">
        <x:v>https://music.163.com/discover/toplist?id=3779629</x:v>
      </x:c>
      <x:c r="Y216" t="str">
        <x:v>https://music.163.com/api/playlist/detail?id=3779629&amp;n=100</x:v>
      </x:c>
      <x:c r="Z216" s="24" t="str">
        <x:f>IFERROR(VLOOKUP(F216,'07_字典与参数'!$A$5:$E$10,3,FALSE),"待映射")</x:f>
        <x:v>网易云音乐</x:v>
      </x:c>
      <x:c r="AA216" s="24" t="str">
        <x:f>IFERROR(VLOOKUP(F216,'07_字典与参数'!$A$5:$E$10,2,FALSE),"待映射")</x:f>
        <x:v>新歌榜</x:v>
      </x:c>
      <x:c r="AB216" s="24" t="str">
        <x:f>IFERROR(VLOOKUP(F216,'07_字典与参数'!$A$5:$E$10,4,FALSE),"待映射")</x:f>
        <x:v>每日</x:v>
      </x:c>
      <x:c r="AC216" s="24" t="str">
        <x:f>D216&amp;"|"&amp;F216&amp;"|"&amp;L216</x:f>
        <x:v>netease_cloud_music|new|3414488847</x:v>
      </x:c>
      <x:c r="AD216" s="24" t="str">
        <x:f>IF(J216&lt;=10,"是","否")</x:f>
        <x:v>否</x:v>
      </x:c>
      <x:c r="AE216" s="24" t="str">
        <x:f>IFERROR(YEAR(R216),"缺失")</x:f>
        <x:v>缺失</x:v>
      </x:c>
    </x:row>
    <x:row r="217">
      <x:c r="A217" t="str">
        <x:v>20260812T132133+0800</x:v>
      </x:c>
      <x:c r="B217" t="n">
        <x:v>46246.22329861111</x:v>
      </x:c>
      <x:c r="C217" t="str">
        <x:v>2026-08-12</x:v>
      </x:c>
      <x:c r="D217" t="str">
        <x:v>netease_cloud_music</x:v>
      </x:c>
      <x:c r="E217" t="str">
        <x:v>CN</x:v>
      </x:c>
      <x:c r="F217" t="str">
        <x:v>new</x:v>
      </x:c>
      <x:c r="G217" t="str">
        <x:v>新歌榜</x:v>
      </x:c>
      <x:c r="H217" t="str">
        <x:v>3779629</x:v>
      </x:c>
      <x:c r="I217" t="n">
        <x:v>100</x:v>
      </x:c>
      <x:c r="J217" t="n">
        <x:v>13</x:v>
      </x:c>
      <x:c r="K217" t="n">
        <x:v>88</x:v>
      </x:c>
      <x:c r="L217" t="str">
        <x:v>3410254170</x:v>
      </x:c>
      <x:c r="M217" t="str">
        <x:v>泣</x:v>
      </x:c>
      <x:c r="N217" t="str">
        <x:v>14117457</x:v>
      </x:c>
      <x:c r="O217" t="str">
        <x:v>SASIOVERLXRD</x:v>
      </x:c>
      <x:c r="P217" t="str">
        <x:v>388196110</x:v>
      </x:c>
      <x:c r="Q217" t="str">
        <x:v>赫鬼</x:v>
      </x:c>
      <x:c r="R217" t="str"/>
      <x:c r="S217" t="str"/>
      <x:c r="T217" t="n">
        <x:v>10</x:v>
      </x:c>
      <x:c r="U217" t="n">
        <x:v>-3</x:v>
      </x:c>
      <x:c r="V217" t="str">
        <x:v>https://music.163.com/song?id=3410254170</x:v>
      </x:c>
      <x:c r="W217" t="str">
        <x:v>http://p1.music.126.net/MEx8J6j2mntRha2stE7xlA==/109951173603999384.jpg</x:v>
      </x:c>
      <x:c r="X217" t="str">
        <x:v>https://music.163.com/discover/toplist?id=3779629</x:v>
      </x:c>
      <x:c r="Y217" t="str">
        <x:v>https://music.163.com/api/playlist/detail?id=3779629&amp;n=100</x:v>
      </x:c>
      <x:c r="Z217" s="24" t="str">
        <x:f>IFERROR(VLOOKUP(F217,'07_字典与参数'!$A$5:$E$10,3,FALSE),"待映射")</x:f>
        <x:v>网易云音乐</x:v>
      </x:c>
      <x:c r="AA217" s="24" t="str">
        <x:f>IFERROR(VLOOKUP(F217,'07_字典与参数'!$A$5:$E$10,2,FALSE),"待映射")</x:f>
        <x:v>新歌榜</x:v>
      </x:c>
      <x:c r="AB217" s="24" t="str">
        <x:f>IFERROR(VLOOKUP(F217,'07_字典与参数'!$A$5:$E$10,4,FALSE),"待映射")</x:f>
        <x:v>每日</x:v>
      </x:c>
      <x:c r="AC217" s="24" t="str">
        <x:f>D217&amp;"|"&amp;F217&amp;"|"&amp;L217</x:f>
        <x:v>netease_cloud_music|new|3410254170</x:v>
      </x:c>
      <x:c r="AD217" s="24" t="str">
        <x:f>IF(J217&lt;=10,"是","否")</x:f>
        <x:v>否</x:v>
      </x:c>
      <x:c r="AE217" s="24" t="str">
        <x:f>IFERROR(YEAR(R217),"缺失")</x:f>
        <x:v>缺失</x:v>
      </x:c>
    </x:row>
    <x:row r="218">
      <x:c r="A218" t="str">
        <x:v>20260812T132133+0800</x:v>
      </x:c>
      <x:c r="B218" t="n">
        <x:v>46246.22329861111</x:v>
      </x:c>
      <x:c r="C218" t="str">
        <x:v>2026-08-12</x:v>
      </x:c>
      <x:c r="D218" t="str">
        <x:v>netease_cloud_music</x:v>
      </x:c>
      <x:c r="E218" t="str">
        <x:v>CN</x:v>
      </x:c>
      <x:c r="F218" t="str">
        <x:v>new</x:v>
      </x:c>
      <x:c r="G218" t="str">
        <x:v>新歌榜</x:v>
      </x:c>
      <x:c r="H218" t="str">
        <x:v>3779629</x:v>
      </x:c>
      <x:c r="I218" t="n">
        <x:v>100</x:v>
      </x:c>
      <x:c r="J218" t="n">
        <x:v>14</x:v>
      </x:c>
      <x:c r="K218" t="n">
        <x:v>87</x:v>
      </x:c>
      <x:c r="L218" t="str">
        <x:v>3407933090</x:v>
      </x:c>
      <x:c r="M218" t="str">
        <x:v>Talk like me(像我这样说) (Live)</x:v>
      </x:c>
      <x:c r="N218" t="str">
        <x:v>35784564</x:v>
      </x:c>
      <x:c r="O218" t="str">
        <x:v>弹壳Danko</x:v>
      </x:c>
      <x:c r="P218" t="str">
        <x:v>387602202</x:v>
      </x:c>
      <x:c r="Q218" t="str">
        <x:v>说唱巅峰对决2026 第四期</x:v>
      </x:c>
      <x:c r="R218" t="str"/>
      <x:c r="S218" t="str"/>
      <x:c r="T218" t="n">
        <x:v>13</x:v>
      </x:c>
      <x:c r="U218" t="n">
        <x:v>-1</x:v>
      </x:c>
      <x:c r="V218" t="str">
        <x:v>https://music.163.com/song?id=3407933090</x:v>
      </x:c>
      <x:c r="W218" t="str">
        <x:v>http://p1.music.126.net/gsC98aHFTOS0Jn2QMdp-dw==/109951173580334778.jpg</x:v>
      </x:c>
      <x:c r="X218" t="str">
        <x:v>https://music.163.com/discover/toplist?id=3779629</x:v>
      </x:c>
      <x:c r="Y218" t="str">
        <x:v>https://music.163.com/api/playlist/detail?id=3779629&amp;n=100</x:v>
      </x:c>
      <x:c r="Z218" s="24" t="str">
        <x:f>IFERROR(VLOOKUP(F218,'07_字典与参数'!$A$5:$E$10,3,FALSE),"待映射")</x:f>
        <x:v>网易云音乐</x:v>
      </x:c>
      <x:c r="AA218" s="24" t="str">
        <x:f>IFERROR(VLOOKUP(F218,'07_字典与参数'!$A$5:$E$10,2,FALSE),"待映射")</x:f>
        <x:v>新歌榜</x:v>
      </x:c>
      <x:c r="AB218" s="24" t="str">
        <x:f>IFERROR(VLOOKUP(F218,'07_字典与参数'!$A$5:$E$10,4,FALSE),"待映射")</x:f>
        <x:v>每日</x:v>
      </x:c>
      <x:c r="AC218" s="24" t="str">
        <x:f>D218&amp;"|"&amp;F218&amp;"|"&amp;L218</x:f>
        <x:v>netease_cloud_music|new|3407933090</x:v>
      </x:c>
      <x:c r="AD218" s="24" t="str">
        <x:f>IF(J218&lt;=10,"是","否")</x:f>
        <x:v>否</x:v>
      </x:c>
      <x:c r="AE218" s="24" t="str">
        <x:f>IFERROR(YEAR(R218),"缺失")</x:f>
        <x:v>缺失</x:v>
      </x:c>
    </x:row>
    <x:row r="219">
      <x:c r="A219" t="str">
        <x:v>20260812T132133+0800</x:v>
      </x:c>
      <x:c r="B219" t="n">
        <x:v>46246.22329861111</x:v>
      </x:c>
      <x:c r="C219" t="str">
        <x:v>2026-08-12</x:v>
      </x:c>
      <x:c r="D219" t="str">
        <x:v>netease_cloud_music</x:v>
      </x:c>
      <x:c r="E219" t="str">
        <x:v>CN</x:v>
      </x:c>
      <x:c r="F219" t="str">
        <x:v>new</x:v>
      </x:c>
      <x:c r="G219" t="str">
        <x:v>新歌榜</x:v>
      </x:c>
      <x:c r="H219" t="str">
        <x:v>3779629</x:v>
      </x:c>
      <x:c r="I219" t="n">
        <x:v>100</x:v>
      </x:c>
      <x:c r="J219" t="n">
        <x:v>15</x:v>
      </x:c>
      <x:c r="K219" t="n">
        <x:v>86</x:v>
      </x:c>
      <x:c r="L219" t="str">
        <x:v>3414273119</x:v>
      </x:c>
      <x:c r="M219" t="str">
        <x:v>nowhere, nobody</x:v>
      </x:c>
      <x:c r="N219" t="str">
        <x:v>48161</x:v>
      </x:c>
      <x:c r="O219" t="str">
        <x:v>Ariana Grande</x:v>
      </x:c>
      <x:c r="P219" t="str">
        <x:v>390031118</x:v>
      </x:c>
      <x:c r="Q219" t="str">
        <x:v>petal</x:v>
      </x:c>
      <x:c r="R219" t="str">
        <x:v>2026-07-31</x:v>
      </x:c>
      <x:c r="S219" t="str"/>
      <x:c r="T219" t="n">
        <x:v>21</x:v>
      </x:c>
      <x:c r="U219" t="n">
        <x:v>6</x:v>
      </x:c>
      <x:c r="V219" t="str">
        <x:v>https://music.163.com/song?id=3414273119</x:v>
      </x:c>
      <x:c r="W219" t="str">
        <x:v>http://p1.music.126.net/eVZhj8MsxGhjbmTDVZVORQ==/109951173670280784.jpg</x:v>
      </x:c>
      <x:c r="X219" t="str">
        <x:v>https://music.163.com/discover/toplist?id=3779629</x:v>
      </x:c>
      <x:c r="Y219" t="str">
        <x:v>https://music.163.com/api/playlist/detail?id=3779629&amp;n=100</x:v>
      </x:c>
      <x:c r="Z219" s="24" t="str">
        <x:f>IFERROR(VLOOKUP(F219,'07_字典与参数'!$A$5:$E$10,3,FALSE),"待映射")</x:f>
        <x:v>网易云音乐</x:v>
      </x:c>
      <x:c r="AA219" s="24" t="str">
        <x:f>IFERROR(VLOOKUP(F219,'07_字典与参数'!$A$5:$E$10,2,FALSE),"待映射")</x:f>
        <x:v>新歌榜</x:v>
      </x:c>
      <x:c r="AB219" s="24" t="str">
        <x:f>IFERROR(VLOOKUP(F219,'07_字典与参数'!$A$5:$E$10,4,FALSE),"待映射")</x:f>
        <x:v>每日</x:v>
      </x:c>
      <x:c r="AC219" s="24" t="str">
        <x:f>D219&amp;"|"&amp;F219&amp;"|"&amp;L219</x:f>
        <x:v>netease_cloud_music|new|3414273119</x:v>
      </x:c>
      <x:c r="AD219" s="24" t="str">
        <x:f>IF(J219&lt;=10,"是","否")</x:f>
        <x:v>否</x:v>
      </x:c>
      <x:c r="AE219" s="24" t="n">
        <x:f>IFERROR(YEAR(R219),"缺失")</x:f>
        <x:v>2026</x:v>
      </x:c>
    </x:row>
    <x:row r="220">
      <x:c r="A220" t="str">
        <x:v>20260812T132133+0800</x:v>
      </x:c>
      <x:c r="B220" t="n">
        <x:v>46246.22329861111</x:v>
      </x:c>
      <x:c r="C220" t="str">
        <x:v>2026-08-12</x:v>
      </x:c>
      <x:c r="D220" t="str">
        <x:v>netease_cloud_music</x:v>
      </x:c>
      <x:c r="E220" t="str">
        <x:v>CN</x:v>
      </x:c>
      <x:c r="F220" t="str">
        <x:v>new</x:v>
      </x:c>
      <x:c r="G220" t="str">
        <x:v>新歌榜</x:v>
      </x:c>
      <x:c r="H220" t="str">
        <x:v>3779629</x:v>
      </x:c>
      <x:c r="I220" t="n">
        <x:v>100</x:v>
      </x:c>
      <x:c r="J220" t="n">
        <x:v>16</x:v>
      </x:c>
      <x:c r="K220" t="n">
        <x:v>85</x:v>
      </x:c>
      <x:c r="L220" t="str">
        <x:v>3417798101</x:v>
      </x:c>
      <x:c r="M220" t="str">
        <x:v>花田错 (live)</x:v>
      </x:c>
      <x:c r="N220" t="str">
        <x:v>12001060 | 9712</x:v>
      </x:c>
      <x:c r="O220" t="str">
        <x:v>万妮达Vinida Weng | 吴碧霞</x:v>
      </x:c>
      <x:c r="P220" t="str">
        <x:v>391308088</x:v>
      </x:c>
      <x:c r="Q220" t="str">
        <x:v>歌手2026 第12期</x:v>
      </x:c>
      <x:c r="R220" t="str"/>
      <x:c r="S220" t="str"/>
      <x:c r="T220" t="n">
        <x:v>14</x:v>
      </x:c>
      <x:c r="U220" t="n">
        <x:v>-2</x:v>
      </x:c>
      <x:c r="V220" t="str">
        <x:v>https://music.163.com/song?id=3417798101</x:v>
      </x:c>
      <x:c r="W220" t="str">
        <x:v>http://p1.music.126.net/pDZPHgzMSeTA9Maw0ifn4w==/109951173710607097.jpg</x:v>
      </x:c>
      <x:c r="X220" t="str">
        <x:v>https://music.163.com/discover/toplist?id=3779629</x:v>
      </x:c>
      <x:c r="Y220" t="str">
        <x:v>https://music.163.com/api/playlist/detail?id=3779629&amp;n=100</x:v>
      </x:c>
      <x:c r="Z220" s="24" t="str">
        <x:f>IFERROR(VLOOKUP(F220,'07_字典与参数'!$A$5:$E$10,3,FALSE),"待映射")</x:f>
        <x:v>网易云音乐</x:v>
      </x:c>
      <x:c r="AA220" s="24" t="str">
        <x:f>IFERROR(VLOOKUP(F220,'07_字典与参数'!$A$5:$E$10,2,FALSE),"待映射")</x:f>
        <x:v>新歌榜</x:v>
      </x:c>
      <x:c r="AB220" s="24" t="str">
        <x:f>IFERROR(VLOOKUP(F220,'07_字典与参数'!$A$5:$E$10,4,FALSE),"待映射")</x:f>
        <x:v>每日</x:v>
      </x:c>
      <x:c r="AC220" s="24" t="str">
        <x:f>D220&amp;"|"&amp;F220&amp;"|"&amp;L220</x:f>
        <x:v>netease_cloud_music|new|3417798101</x:v>
      </x:c>
      <x:c r="AD220" s="24" t="str">
        <x:f>IF(J220&lt;=10,"是","否")</x:f>
        <x:v>否</x:v>
      </x:c>
      <x:c r="AE220" s="24" t="str">
        <x:f>IFERROR(YEAR(R220),"缺失")</x:f>
        <x:v>缺失</x:v>
      </x:c>
    </x:row>
    <x:row r="221">
      <x:c r="A221" t="str">
        <x:v>20260812T132133+0800</x:v>
      </x:c>
      <x:c r="B221" t="n">
        <x:v>46246.22329861111</x:v>
      </x:c>
      <x:c r="C221" t="str">
        <x:v>2026-08-12</x:v>
      </x:c>
      <x:c r="D221" t="str">
        <x:v>netease_cloud_music</x:v>
      </x:c>
      <x:c r="E221" t="str">
        <x:v>CN</x:v>
      </x:c>
      <x:c r="F221" t="str">
        <x:v>new</x:v>
      </x:c>
      <x:c r="G221" t="str">
        <x:v>新歌榜</x:v>
      </x:c>
      <x:c r="H221" t="str">
        <x:v>3779629</x:v>
      </x:c>
      <x:c r="I221" t="n">
        <x:v>100</x:v>
      </x:c>
      <x:c r="J221" t="n">
        <x:v>17</x:v>
      </x:c>
      <x:c r="K221" t="n">
        <x:v>84</x:v>
      </x:c>
      <x:c r="L221" t="str">
        <x:v>3411982875</x:v>
      </x:c>
      <x:c r="M221" t="str">
        <x:v>忘记了也没关系</x:v>
      </x:c>
      <x:c r="N221" t="str">
        <x:v>57076584</x:v>
      </x:c>
      <x:c r="O221" t="str">
        <x:v>DOUDOU</x:v>
      </x:c>
      <x:c r="P221" t="str">
        <x:v>389249419</x:v>
      </x:c>
      <x:c r="Q221" t="str">
        <x:v>忘记了也没关系</x:v>
      </x:c>
      <x:c r="R221" t="str"/>
      <x:c r="S221" t="str"/>
      <x:c r="T221" t="n">
        <x:v>17</x:v>
      </x:c>
      <x:c r="U221" t="n">
        <x:v>0</x:v>
      </x:c>
      <x:c r="V221" t="str">
        <x:v>https://music.163.com/song?id=3411982875</x:v>
      </x:c>
      <x:c r="W221" t="str">
        <x:v>http://p1.music.126.net/i3n8vshqhOFa4W77W9hM0Q==/109951173645937470.jpg</x:v>
      </x:c>
      <x:c r="X221" t="str">
        <x:v>https://music.163.com/discover/toplist?id=3779629</x:v>
      </x:c>
      <x:c r="Y221" t="str">
        <x:v>https://music.163.com/api/playlist/detail?id=3779629&amp;n=100</x:v>
      </x:c>
      <x:c r="Z221" s="24" t="str">
        <x:f>IFERROR(VLOOKUP(F221,'07_字典与参数'!$A$5:$E$10,3,FALSE),"待映射")</x:f>
        <x:v>网易云音乐</x:v>
      </x:c>
      <x:c r="AA221" s="24" t="str">
        <x:f>IFERROR(VLOOKUP(F221,'07_字典与参数'!$A$5:$E$10,2,FALSE),"待映射")</x:f>
        <x:v>新歌榜</x:v>
      </x:c>
      <x:c r="AB221" s="24" t="str">
        <x:f>IFERROR(VLOOKUP(F221,'07_字典与参数'!$A$5:$E$10,4,FALSE),"待映射")</x:f>
        <x:v>每日</x:v>
      </x:c>
      <x:c r="AC221" s="24" t="str">
        <x:f>D221&amp;"|"&amp;F221&amp;"|"&amp;L221</x:f>
        <x:v>netease_cloud_music|new|3411982875</x:v>
      </x:c>
      <x:c r="AD221" s="24" t="str">
        <x:f>IF(J221&lt;=10,"是","否")</x:f>
        <x:v>否</x:v>
      </x:c>
      <x:c r="AE221" s="24" t="str">
        <x:f>IFERROR(YEAR(R221),"缺失")</x:f>
        <x:v>缺失</x:v>
      </x:c>
    </x:row>
    <x:row r="222">
      <x:c r="A222" t="str">
        <x:v>20260812T132133+0800</x:v>
      </x:c>
      <x:c r="B222" t="n">
        <x:v>46246.22329861111</x:v>
      </x:c>
      <x:c r="C222" t="str">
        <x:v>2026-08-12</x:v>
      </x:c>
      <x:c r="D222" t="str">
        <x:v>netease_cloud_music</x:v>
      </x:c>
      <x:c r="E222" t="str">
        <x:v>CN</x:v>
      </x:c>
      <x:c r="F222" t="str">
        <x:v>new</x:v>
      </x:c>
      <x:c r="G222" t="str">
        <x:v>新歌榜</x:v>
      </x:c>
      <x:c r="H222" t="str">
        <x:v>3779629</x:v>
      </x:c>
      <x:c r="I222" t="n">
        <x:v>100</x:v>
      </x:c>
      <x:c r="J222" t="n">
        <x:v>18</x:v>
      </x:c>
      <x:c r="K222" t="n">
        <x:v>83</x:v>
      </x:c>
      <x:c r="L222" t="str">
        <x:v>3417798345</x:v>
      </x:c>
      <x:c r="M222" t="str">
        <x:v>再见 (live)</x:v>
      </x:c>
      <x:c r="N222" t="str">
        <x:v>12001060</x:v>
      </x:c>
      <x:c r="O222" t="str">
        <x:v>万妮达Vinida Weng</x:v>
      </x:c>
      <x:c r="P222" t="str">
        <x:v>391308088</x:v>
      </x:c>
      <x:c r="Q222" t="str">
        <x:v>歌手2026 第12期</x:v>
      </x:c>
      <x:c r="R222" t="str"/>
      <x:c r="S222" t="str"/>
      <x:c r="T222" t="n">
        <x:v>20</x:v>
      </x:c>
      <x:c r="U222" t="n">
        <x:v>2</x:v>
      </x:c>
      <x:c r="V222" t="str">
        <x:v>https://music.163.com/song?id=3417798345</x:v>
      </x:c>
      <x:c r="W222" t="str">
        <x:v>http://p2.music.126.net/pDZPHgzMSeTA9Maw0ifn4w==/109951173710607097.jpg</x:v>
      </x:c>
      <x:c r="X222" t="str">
        <x:v>https://music.163.com/discover/toplist?id=3779629</x:v>
      </x:c>
      <x:c r="Y222" t="str">
        <x:v>https://music.163.com/api/playlist/detail?id=3779629&amp;n=100</x:v>
      </x:c>
      <x:c r="Z222" s="24" t="str">
        <x:f>IFERROR(VLOOKUP(F222,'07_字典与参数'!$A$5:$E$10,3,FALSE),"待映射")</x:f>
        <x:v>网易云音乐</x:v>
      </x:c>
      <x:c r="AA222" s="24" t="str">
        <x:f>IFERROR(VLOOKUP(F222,'07_字典与参数'!$A$5:$E$10,2,FALSE),"待映射")</x:f>
        <x:v>新歌榜</x:v>
      </x:c>
      <x:c r="AB222" s="24" t="str">
        <x:f>IFERROR(VLOOKUP(F222,'07_字典与参数'!$A$5:$E$10,4,FALSE),"待映射")</x:f>
        <x:v>每日</x:v>
      </x:c>
      <x:c r="AC222" s="24" t="str">
        <x:f>D222&amp;"|"&amp;F222&amp;"|"&amp;L222</x:f>
        <x:v>netease_cloud_music|new|3417798345</x:v>
      </x:c>
      <x:c r="AD222" s="24" t="str">
        <x:f>IF(J222&lt;=10,"是","否")</x:f>
        <x:v>否</x:v>
      </x:c>
      <x:c r="AE222" s="24" t="str">
        <x:f>IFERROR(YEAR(R222),"缺失")</x:f>
        <x:v>缺失</x:v>
      </x:c>
    </x:row>
    <x:row r="223">
      <x:c r="A223" t="str">
        <x:v>20260812T132133+0800</x:v>
      </x:c>
      <x:c r="B223" t="n">
        <x:v>46246.22329861111</x:v>
      </x:c>
      <x:c r="C223" t="str">
        <x:v>2026-08-12</x:v>
      </x:c>
      <x:c r="D223" t="str">
        <x:v>netease_cloud_music</x:v>
      </x:c>
      <x:c r="E223" t="str">
        <x:v>CN</x:v>
      </x:c>
      <x:c r="F223" t="str">
        <x:v>new</x:v>
      </x:c>
      <x:c r="G223" t="str">
        <x:v>新歌榜</x:v>
      </x:c>
      <x:c r="H223" t="str">
        <x:v>3779629</x:v>
      </x:c>
      <x:c r="I223" t="n">
        <x:v>100</x:v>
      </x:c>
      <x:c r="J223" t="n">
        <x:v>19</x:v>
      </x:c>
      <x:c r="K223" t="n">
        <x:v>82</x:v>
      </x:c>
      <x:c r="L223" t="str">
        <x:v>3410220430</x:v>
      </x:c>
      <x:c r="M223" t="str">
        <x:v>天生牙</x:v>
      </x:c>
      <x:c r="N223" t="str">
        <x:v>14117457</x:v>
      </x:c>
      <x:c r="O223" t="str">
        <x:v>SASIOVERLXRD</x:v>
      </x:c>
      <x:c r="P223" t="str">
        <x:v>388196110</x:v>
      </x:c>
      <x:c r="Q223" t="str">
        <x:v>赫鬼</x:v>
      </x:c>
      <x:c r="R223" t="str"/>
      <x:c r="S223" t="str"/>
      <x:c r="T223" t="n">
        <x:v>15</x:v>
      </x:c>
      <x:c r="U223" t="n">
        <x:v>-4</x:v>
      </x:c>
      <x:c r="V223" t="str">
        <x:v>https://music.163.com/song?id=3410220430</x:v>
      </x:c>
      <x:c r="W223" t="str">
        <x:v>http://p2.music.126.net/MEx8J6j2mntRha2stE7xlA==/109951173603999384.jpg</x:v>
      </x:c>
      <x:c r="X223" t="str">
        <x:v>https://music.163.com/discover/toplist?id=3779629</x:v>
      </x:c>
      <x:c r="Y223" t="str">
        <x:v>https://music.163.com/api/playlist/detail?id=3779629&amp;n=100</x:v>
      </x:c>
      <x:c r="Z223" s="24" t="str">
        <x:f>IFERROR(VLOOKUP(F223,'07_字典与参数'!$A$5:$E$10,3,FALSE),"待映射")</x:f>
        <x:v>网易云音乐</x:v>
      </x:c>
      <x:c r="AA223" s="24" t="str">
        <x:f>IFERROR(VLOOKUP(F223,'07_字典与参数'!$A$5:$E$10,2,FALSE),"待映射")</x:f>
        <x:v>新歌榜</x:v>
      </x:c>
      <x:c r="AB223" s="24" t="str">
        <x:f>IFERROR(VLOOKUP(F223,'07_字典与参数'!$A$5:$E$10,4,FALSE),"待映射")</x:f>
        <x:v>每日</x:v>
      </x:c>
      <x:c r="AC223" s="24" t="str">
        <x:f>D223&amp;"|"&amp;F223&amp;"|"&amp;L223</x:f>
        <x:v>netease_cloud_music|new|3410220430</x:v>
      </x:c>
      <x:c r="AD223" s="24" t="str">
        <x:f>IF(J223&lt;=10,"是","否")</x:f>
        <x:v>否</x:v>
      </x:c>
      <x:c r="AE223" s="24" t="str">
        <x:f>IFERROR(YEAR(R223),"缺失")</x:f>
        <x:v>缺失</x:v>
      </x:c>
    </x:row>
    <x:row r="224">
      <x:c r="A224" t="str">
        <x:v>20260812T132133+0800</x:v>
      </x:c>
      <x:c r="B224" t="n">
        <x:v>46246.22329861111</x:v>
      </x:c>
      <x:c r="C224" t="str">
        <x:v>2026-08-12</x:v>
      </x:c>
      <x:c r="D224" t="str">
        <x:v>netease_cloud_music</x:v>
      </x:c>
      <x:c r="E224" t="str">
        <x:v>CN</x:v>
      </x:c>
      <x:c r="F224" t="str">
        <x:v>new</x:v>
      </x:c>
      <x:c r="G224" t="str">
        <x:v>新歌榜</x:v>
      </x:c>
      <x:c r="H224" t="str">
        <x:v>3779629</x:v>
      </x:c>
      <x:c r="I224" t="n">
        <x:v>100</x:v>
      </x:c>
      <x:c r="J224" t="n">
        <x:v>20</x:v>
      </x:c>
      <x:c r="K224" t="n">
        <x:v>81</x:v>
      </x:c>
      <x:c r="L224" t="str">
        <x:v>3414335339</x:v>
      </x:c>
      <x:c r="M224" t="str">
        <x:v>trust me (Live版)</x:v>
      </x:c>
      <x:c r="N224" t="str">
        <x:v>33709222 | 49141872</x:v>
      </x:c>
      <x:c r="O224" t="str">
        <x:v>姚晓棠 | Top Barry</x:v>
      </x:c>
      <x:c r="P224" t="str">
        <x:v>390051596</x:v>
      </x:c>
      <x:c r="Q224" t="str">
        <x:v>天赐的声音第七季 第8期</x:v>
      </x:c>
      <x:c r="R224" t="str"/>
      <x:c r="S224" t="str"/>
      <x:c r="T224" t="n">
        <x:v>22</x:v>
      </x:c>
      <x:c r="U224" t="n">
        <x:v>2</x:v>
      </x:c>
      <x:c r="V224" t="str">
        <x:v>https://music.163.com/song?id=3414335339</x:v>
      </x:c>
      <x:c r="W224" t="str">
        <x:v>http://p2.music.126.net/vWxt6LLiss7aFgjoyscfJw==/109951173670153106.jpg</x:v>
      </x:c>
      <x:c r="X224" t="str">
        <x:v>https://music.163.com/discover/toplist?id=3779629</x:v>
      </x:c>
      <x:c r="Y224" t="str">
        <x:v>https://music.163.com/api/playlist/detail?id=3779629&amp;n=100</x:v>
      </x:c>
      <x:c r="Z224" s="24" t="str">
        <x:f>IFERROR(VLOOKUP(F224,'07_字典与参数'!$A$5:$E$10,3,FALSE),"待映射")</x:f>
        <x:v>网易云音乐</x:v>
      </x:c>
      <x:c r="AA224" s="24" t="str">
        <x:f>IFERROR(VLOOKUP(F224,'07_字典与参数'!$A$5:$E$10,2,FALSE),"待映射")</x:f>
        <x:v>新歌榜</x:v>
      </x:c>
      <x:c r="AB224" s="24" t="str">
        <x:f>IFERROR(VLOOKUP(F224,'07_字典与参数'!$A$5:$E$10,4,FALSE),"待映射")</x:f>
        <x:v>每日</x:v>
      </x:c>
      <x:c r="AC224" s="24" t="str">
        <x:f>D224&amp;"|"&amp;F224&amp;"|"&amp;L224</x:f>
        <x:v>netease_cloud_music|new|3414335339</x:v>
      </x:c>
      <x:c r="AD224" s="24" t="str">
        <x:f>IF(J224&lt;=10,"是","否")</x:f>
        <x:v>否</x:v>
      </x:c>
      <x:c r="AE224" s="24" t="str">
        <x:f>IFERROR(YEAR(R224),"缺失")</x:f>
        <x:v>缺失</x:v>
      </x:c>
    </x:row>
    <x:row r="225">
      <x:c r="A225" t="str">
        <x:v>20260812T132133+0800</x:v>
      </x:c>
      <x:c r="B225" t="n">
        <x:v>46246.22329861111</x:v>
      </x:c>
      <x:c r="C225" t="str">
        <x:v>2026-08-12</x:v>
      </x:c>
      <x:c r="D225" t="str">
        <x:v>netease_cloud_music</x:v>
      </x:c>
      <x:c r="E225" t="str">
        <x:v>CN</x:v>
      </x:c>
      <x:c r="F225" t="str">
        <x:v>new</x:v>
      </x:c>
      <x:c r="G225" t="str">
        <x:v>新歌榜</x:v>
      </x:c>
      <x:c r="H225" t="str">
        <x:v>3779629</x:v>
      </x:c>
      <x:c r="I225" t="n">
        <x:v>100</x:v>
      </x:c>
      <x:c r="J225" t="n">
        <x:v>21</x:v>
      </x:c>
      <x:c r="K225" t="n">
        <x:v>80</x:v>
      </x:c>
      <x:c r="L225" t="str">
        <x:v>3416333610</x:v>
      </x:c>
      <x:c r="M225" t="str">
        <x:v>再见太难</x:v>
      </x:c>
      <x:c r="N225" t="str">
        <x:v>8507</x:v>
      </x:c>
      <x:c r="O225" t="str">
        <x:v>利得汇</x:v>
      </x:c>
      <x:c r="P225" t="str">
        <x:v>390718483</x:v>
      </x:c>
      <x:c r="Q225" t="str">
        <x:v>再见太难</x:v>
      </x:c>
      <x:c r="R225" t="str"/>
      <x:c r="S225" t="str"/>
      <x:c r="T225" t="n">
        <x:v>50</x:v>
      </x:c>
      <x:c r="U225" t="n">
        <x:v>29</x:v>
      </x:c>
      <x:c r="V225" t="str">
        <x:v>https://music.163.com/song?id=3416333610</x:v>
      </x:c>
      <x:c r="W225" t="str">
        <x:v>http://p2.music.126.net/KPtNGvc1BM-3ShqTT9nd6A==/109951173693092478.jpg</x:v>
      </x:c>
      <x:c r="X225" t="str">
        <x:v>https://music.163.com/discover/toplist?id=3779629</x:v>
      </x:c>
      <x:c r="Y225" t="str">
        <x:v>https://music.163.com/api/playlist/detail?id=3779629&amp;n=100</x:v>
      </x:c>
      <x:c r="Z225" s="24" t="str">
        <x:f>IFERROR(VLOOKUP(F225,'07_字典与参数'!$A$5:$E$10,3,FALSE),"待映射")</x:f>
        <x:v>网易云音乐</x:v>
      </x:c>
      <x:c r="AA225" s="24" t="str">
        <x:f>IFERROR(VLOOKUP(F225,'07_字典与参数'!$A$5:$E$10,2,FALSE),"待映射")</x:f>
        <x:v>新歌榜</x:v>
      </x:c>
      <x:c r="AB225" s="24" t="str">
        <x:f>IFERROR(VLOOKUP(F225,'07_字典与参数'!$A$5:$E$10,4,FALSE),"待映射")</x:f>
        <x:v>每日</x:v>
      </x:c>
      <x:c r="AC225" s="24" t="str">
        <x:f>D225&amp;"|"&amp;F225&amp;"|"&amp;L225</x:f>
        <x:v>netease_cloud_music|new|3416333610</x:v>
      </x:c>
      <x:c r="AD225" s="24" t="str">
        <x:f>IF(J225&lt;=10,"是","否")</x:f>
        <x:v>否</x:v>
      </x:c>
      <x:c r="AE225" s="24" t="str">
        <x:f>IFERROR(YEAR(R225),"缺失")</x:f>
        <x:v>缺失</x:v>
      </x:c>
    </x:row>
    <x:row r="226">
      <x:c r="A226" t="str">
        <x:v>20260812T132133+0800</x:v>
      </x:c>
      <x:c r="B226" t="n">
        <x:v>46246.22329861111</x:v>
      </x:c>
      <x:c r="C226" t="str">
        <x:v>2026-08-12</x:v>
      </x:c>
      <x:c r="D226" t="str">
        <x:v>netease_cloud_music</x:v>
      </x:c>
      <x:c r="E226" t="str">
        <x:v>CN</x:v>
      </x:c>
      <x:c r="F226" t="str">
        <x:v>new</x:v>
      </x:c>
      <x:c r="G226" t="str">
        <x:v>新歌榜</x:v>
      </x:c>
      <x:c r="H226" t="str">
        <x:v>3779629</x:v>
      </x:c>
      <x:c r="I226" t="n">
        <x:v>100</x:v>
      </x:c>
      <x:c r="J226" t="n">
        <x:v>22</x:v>
      </x:c>
      <x:c r="K226" t="n">
        <x:v>79</x:v>
      </x:c>
      <x:c r="L226" t="str">
        <x:v>3414335451</x:v>
      </x:c>
      <x:c r="M226" t="str">
        <x:v>锈 (Live版)</x:v>
      </x:c>
      <x:c r="N226" t="str">
        <x:v>14077324 | 35066933</x:v>
      </x:c>
      <x:c r="O226" t="str">
        <x:v>黄霄雲 | 张子墨z!mooo</x:v>
      </x:c>
      <x:c r="P226" t="str">
        <x:v>390051596</x:v>
      </x:c>
      <x:c r="Q226" t="str">
        <x:v>天赐的声音第七季 第8期</x:v>
      </x:c>
      <x:c r="R226" t="str"/>
      <x:c r="S226" t="str"/>
      <x:c r="T226" t="n">
        <x:v>28</x:v>
      </x:c>
      <x:c r="U226" t="n">
        <x:v>6</x:v>
      </x:c>
      <x:c r="V226" t="str">
        <x:v>https://music.163.com/song?id=3414335451</x:v>
      </x:c>
      <x:c r="W226" t="str">
        <x:v>http://p2.music.126.net/vWxt6LLiss7aFgjoyscfJw==/109951173670153106.jpg</x:v>
      </x:c>
      <x:c r="X226" t="str">
        <x:v>https://music.163.com/discover/toplist?id=3779629</x:v>
      </x:c>
      <x:c r="Y226" t="str">
        <x:v>https://music.163.com/api/playlist/detail?id=3779629&amp;n=100</x:v>
      </x:c>
      <x:c r="Z226" s="24" t="str">
        <x:f>IFERROR(VLOOKUP(F226,'07_字典与参数'!$A$5:$E$10,3,FALSE),"待映射")</x:f>
        <x:v>网易云音乐</x:v>
      </x:c>
      <x:c r="AA226" s="24" t="str">
        <x:f>IFERROR(VLOOKUP(F226,'07_字典与参数'!$A$5:$E$10,2,FALSE),"待映射")</x:f>
        <x:v>新歌榜</x:v>
      </x:c>
      <x:c r="AB226" s="24" t="str">
        <x:f>IFERROR(VLOOKUP(F226,'07_字典与参数'!$A$5:$E$10,4,FALSE),"待映射")</x:f>
        <x:v>每日</x:v>
      </x:c>
      <x:c r="AC226" s="24" t="str">
        <x:f>D226&amp;"|"&amp;F226&amp;"|"&amp;L226</x:f>
        <x:v>netease_cloud_music|new|3414335451</x:v>
      </x:c>
      <x:c r="AD226" s="24" t="str">
        <x:f>IF(J226&lt;=10,"是","否")</x:f>
        <x:v>否</x:v>
      </x:c>
      <x:c r="AE226" s="24" t="str">
        <x:f>IFERROR(YEAR(R226),"缺失")</x:f>
        <x:v>缺失</x:v>
      </x:c>
    </x:row>
    <x:row r="227">
      <x:c r="A227" t="str">
        <x:v>20260812T132133+0800</x:v>
      </x:c>
      <x:c r="B227" t="n">
        <x:v>46246.22329861111</x:v>
      </x:c>
      <x:c r="C227" t="str">
        <x:v>2026-08-12</x:v>
      </x:c>
      <x:c r="D227" t="str">
        <x:v>netease_cloud_music</x:v>
      </x:c>
      <x:c r="E227" t="str">
        <x:v>CN</x:v>
      </x:c>
      <x:c r="F227" t="str">
        <x:v>new</x:v>
      </x:c>
      <x:c r="G227" t="str">
        <x:v>新歌榜</x:v>
      </x:c>
      <x:c r="H227" t="str">
        <x:v>3779629</x:v>
      </x:c>
      <x:c r="I227" t="n">
        <x:v>100</x:v>
      </x:c>
      <x:c r="J227" t="n">
        <x:v>23</x:v>
      </x:c>
      <x:c r="K227" t="n">
        <x:v>78</x:v>
      </x:c>
      <x:c r="L227" t="str">
        <x:v>3410198541</x:v>
      </x:c>
      <x:c r="M227" t="str">
        <x:v>水为媒</x:v>
      </x:c>
      <x:c r="N227" t="str">
        <x:v>30433236</x:v>
      </x:c>
      <x:c r="O227" t="str">
        <x:v>礼越</x:v>
      </x:c>
      <x:c r="P227" t="str">
        <x:v>388557567</x:v>
      </x:c>
      <x:c r="Q227" t="str">
        <x:v>水为媒</x:v>
      </x:c>
      <x:c r="R227" t="str">
        <x:v>2026-07-24</x:v>
      </x:c>
      <x:c r="S227" t="str"/>
      <x:c r="T227" t="n">
        <x:v>25</x:v>
      </x:c>
      <x:c r="U227" t="n">
        <x:v>2</x:v>
      </x:c>
      <x:c r="V227" t="str">
        <x:v>https://music.163.com/song?id=3410198541</x:v>
      </x:c>
      <x:c r="W227" t="str">
        <x:v>http://p2.music.126.net/fFYdwrRt6wt87dwvv-qOYw==/109951173621996343.jpg</x:v>
      </x:c>
      <x:c r="X227" t="str">
        <x:v>https://music.163.com/discover/toplist?id=3779629</x:v>
      </x:c>
      <x:c r="Y227" t="str">
        <x:v>https://music.163.com/api/playlist/detail?id=3779629&amp;n=100</x:v>
      </x:c>
      <x:c r="Z227" s="24" t="str">
        <x:f>IFERROR(VLOOKUP(F227,'07_字典与参数'!$A$5:$E$10,3,FALSE),"待映射")</x:f>
        <x:v>网易云音乐</x:v>
      </x:c>
      <x:c r="AA227" s="24" t="str">
        <x:f>IFERROR(VLOOKUP(F227,'07_字典与参数'!$A$5:$E$10,2,FALSE),"待映射")</x:f>
        <x:v>新歌榜</x:v>
      </x:c>
      <x:c r="AB227" s="24" t="str">
        <x:f>IFERROR(VLOOKUP(F227,'07_字典与参数'!$A$5:$E$10,4,FALSE),"待映射")</x:f>
        <x:v>每日</x:v>
      </x:c>
      <x:c r="AC227" s="24" t="str">
        <x:f>D227&amp;"|"&amp;F227&amp;"|"&amp;L227</x:f>
        <x:v>netease_cloud_music|new|3410198541</x:v>
      </x:c>
      <x:c r="AD227" s="24" t="str">
        <x:f>IF(J227&lt;=10,"是","否")</x:f>
        <x:v>否</x:v>
      </x:c>
      <x:c r="AE227" s="24" t="n">
        <x:f>IFERROR(YEAR(R227),"缺失")</x:f>
        <x:v>2026</x:v>
      </x:c>
    </x:row>
    <x:row r="228">
      <x:c r="A228" t="str">
        <x:v>20260812T132133+0800</x:v>
      </x:c>
      <x:c r="B228" t="n">
        <x:v>46246.22329861111</x:v>
      </x:c>
      <x:c r="C228" t="str">
        <x:v>2026-08-12</x:v>
      </x:c>
      <x:c r="D228" t="str">
        <x:v>netease_cloud_music</x:v>
      </x:c>
      <x:c r="E228" t="str">
        <x:v>CN</x:v>
      </x:c>
      <x:c r="F228" t="str">
        <x:v>new</x:v>
      </x:c>
      <x:c r="G228" t="str">
        <x:v>新歌榜</x:v>
      </x:c>
      <x:c r="H228" t="str">
        <x:v>3779629</x:v>
      </x:c>
      <x:c r="I228" t="n">
        <x:v>100</x:v>
      </x:c>
      <x:c r="J228" t="n">
        <x:v>24</x:v>
      </x:c>
      <x:c r="K228" t="n">
        <x:v>77</x:v>
      </x:c>
      <x:c r="L228" t="str">
        <x:v>3410153999</x:v>
      </x:c>
      <x:c r="M228" t="str">
        <x:v>好景不长</x:v>
      </x:c>
      <x:c r="N228" t="str">
        <x:v>97638899</x:v>
      </x:c>
      <x:c r="O228" t="str">
        <x:v>M3mo</x:v>
      </x:c>
      <x:c r="P228" t="str">
        <x:v>388542051</x:v>
      </x:c>
      <x:c r="Q228" t="str">
        <x:v>好景不长</x:v>
      </x:c>
      <x:c r="R228" t="str">
        <x:v>2026-07-23</x:v>
      </x:c>
      <x:c r="S228" t="str"/>
      <x:c r="T228" t="n">
        <x:v>29</x:v>
      </x:c>
      <x:c r="U228" t="n">
        <x:v>5</x:v>
      </x:c>
      <x:c r="V228" t="str">
        <x:v>https://music.163.com/song?id=3410153999</x:v>
      </x:c>
      <x:c r="W228" t="str">
        <x:v>http://p2.music.126.net/QZy85QuOfWVpQUBK269Rgg==/109951173621512423.jpg</x:v>
      </x:c>
      <x:c r="X228" t="str">
        <x:v>https://music.163.com/discover/toplist?id=3779629</x:v>
      </x:c>
      <x:c r="Y228" t="str">
        <x:v>https://music.163.com/api/playlist/detail?id=3779629&amp;n=100</x:v>
      </x:c>
      <x:c r="Z228" s="24" t="str">
        <x:f>IFERROR(VLOOKUP(F228,'07_字典与参数'!$A$5:$E$10,3,FALSE),"待映射")</x:f>
        <x:v>网易云音乐</x:v>
      </x:c>
      <x:c r="AA228" s="24" t="str">
        <x:f>IFERROR(VLOOKUP(F228,'07_字典与参数'!$A$5:$E$10,2,FALSE),"待映射")</x:f>
        <x:v>新歌榜</x:v>
      </x:c>
      <x:c r="AB228" s="24" t="str">
        <x:f>IFERROR(VLOOKUP(F228,'07_字典与参数'!$A$5:$E$10,4,FALSE),"待映射")</x:f>
        <x:v>每日</x:v>
      </x:c>
      <x:c r="AC228" s="24" t="str">
        <x:f>D228&amp;"|"&amp;F228&amp;"|"&amp;L228</x:f>
        <x:v>netease_cloud_music|new|3410153999</x:v>
      </x:c>
      <x:c r="AD228" s="24" t="str">
        <x:f>IF(J228&lt;=10,"是","否")</x:f>
        <x:v>否</x:v>
      </x:c>
      <x:c r="AE228" s="24" t="n">
        <x:f>IFERROR(YEAR(R228),"缺失")</x:f>
        <x:v>2026</x:v>
      </x:c>
    </x:row>
    <x:row r="229">
      <x:c r="A229" t="str">
        <x:v>20260812T132133+0800</x:v>
      </x:c>
      <x:c r="B229" t="n">
        <x:v>46246.22329861111</x:v>
      </x:c>
      <x:c r="C229" t="str">
        <x:v>2026-08-12</x:v>
      </x:c>
      <x:c r="D229" t="str">
        <x:v>netease_cloud_music</x:v>
      </x:c>
      <x:c r="E229" t="str">
        <x:v>CN</x:v>
      </x:c>
      <x:c r="F229" t="str">
        <x:v>new</x:v>
      </x:c>
      <x:c r="G229" t="str">
        <x:v>新歌榜</x:v>
      </x:c>
      <x:c r="H229" t="str">
        <x:v>3779629</x:v>
      </x:c>
      <x:c r="I229" t="n">
        <x:v>100</x:v>
      </x:c>
      <x:c r="J229" t="n">
        <x:v>25</x:v>
      </x:c>
      <x:c r="K229" t="n">
        <x:v>76</x:v>
      </x:c>
      <x:c r="L229" t="str">
        <x:v>3410240174</x:v>
      </x:c>
      <x:c r="M229" t="str">
        <x:v>蜈蚣</x:v>
      </x:c>
      <x:c r="N229" t="str">
        <x:v>14117457</x:v>
      </x:c>
      <x:c r="O229" t="str">
        <x:v>SASIOVERLXRD</x:v>
      </x:c>
      <x:c r="P229" t="str">
        <x:v>388196110</x:v>
      </x:c>
      <x:c r="Q229" t="str">
        <x:v>赫鬼</x:v>
      </x:c>
      <x:c r="R229" t="str"/>
      <x:c r="S229" t="str"/>
      <x:c r="T229" t="n">
        <x:v>19</x:v>
      </x:c>
      <x:c r="U229" t="n">
        <x:v>-6</x:v>
      </x:c>
      <x:c r="V229" t="str">
        <x:v>https://music.163.com/song?id=3410240174</x:v>
      </x:c>
      <x:c r="W229" t="str">
        <x:v>http://p2.music.126.net/MEx8J6j2mntRha2stE7xlA==/109951173603999384.jpg</x:v>
      </x:c>
      <x:c r="X229" t="str">
        <x:v>https://music.163.com/discover/toplist?id=3779629</x:v>
      </x:c>
      <x:c r="Y229" t="str">
        <x:v>https://music.163.com/api/playlist/detail?id=3779629&amp;n=100</x:v>
      </x:c>
      <x:c r="Z229" s="24" t="str">
        <x:f>IFERROR(VLOOKUP(F229,'07_字典与参数'!$A$5:$E$10,3,FALSE),"待映射")</x:f>
        <x:v>网易云音乐</x:v>
      </x:c>
      <x:c r="AA229" s="24" t="str">
        <x:f>IFERROR(VLOOKUP(F229,'07_字典与参数'!$A$5:$E$10,2,FALSE),"待映射")</x:f>
        <x:v>新歌榜</x:v>
      </x:c>
      <x:c r="AB229" s="24" t="str">
        <x:f>IFERROR(VLOOKUP(F229,'07_字典与参数'!$A$5:$E$10,4,FALSE),"待映射")</x:f>
        <x:v>每日</x:v>
      </x:c>
      <x:c r="AC229" s="24" t="str">
        <x:f>D229&amp;"|"&amp;F229&amp;"|"&amp;L229</x:f>
        <x:v>netease_cloud_music|new|3410240174</x:v>
      </x:c>
      <x:c r="AD229" s="24" t="str">
        <x:f>IF(J229&lt;=10,"是","否")</x:f>
        <x:v>否</x:v>
      </x:c>
      <x:c r="AE229" s="24" t="str">
        <x:f>IFERROR(YEAR(R229),"缺失")</x:f>
        <x:v>缺失</x:v>
      </x:c>
    </x:row>
    <x:row r="230">
      <x:c r="A230" t="str">
        <x:v>20260812T132133+0800</x:v>
      </x:c>
      <x:c r="B230" t="n">
        <x:v>46246.22329861111</x:v>
      </x:c>
      <x:c r="C230" t="str">
        <x:v>2026-08-12</x:v>
      </x:c>
      <x:c r="D230" t="str">
        <x:v>netease_cloud_music</x:v>
      </x:c>
      <x:c r="E230" t="str">
        <x:v>CN</x:v>
      </x:c>
      <x:c r="F230" t="str">
        <x:v>new</x:v>
      </x:c>
      <x:c r="G230" t="str">
        <x:v>新歌榜</x:v>
      </x:c>
      <x:c r="H230" t="str">
        <x:v>3779629</x:v>
      </x:c>
      <x:c r="I230" t="n">
        <x:v>100</x:v>
      </x:c>
      <x:c r="J230" t="n">
        <x:v>26</x:v>
      </x:c>
      <x:c r="K230" t="n">
        <x:v>75</x:v>
      </x:c>
      <x:c r="L230" t="str">
        <x:v>3410283948</x:v>
      </x:c>
      <x:c r="M230" t="str">
        <x:v>Ain't That Fresh</x:v>
      </x:c>
      <x:c r="N230" t="str">
        <x:v>53508466</x:v>
      </x:c>
      <x:c r="O230" t="str">
        <x:v>MerrinZephyr</x:v>
      </x:c>
      <x:c r="P230" t="str">
        <x:v>388588989</x:v>
      </x:c>
      <x:c r="Q230" t="str">
        <x:v>Ain't That Fresh</x:v>
      </x:c>
      <x:c r="R230" t="str"/>
      <x:c r="S230" t="str"/>
      <x:c r="T230" t="n">
        <x:v>31</x:v>
      </x:c>
      <x:c r="U230" t="n">
        <x:v>5</x:v>
      </x:c>
      <x:c r="V230" t="str">
        <x:v>https://music.163.com/song?id=3410283948</x:v>
      </x:c>
      <x:c r="W230" t="str">
        <x:v>http://p2.music.126.net/y7zpHF2nhlpCQRzyjl-YLw==/109951173622946889.jpg</x:v>
      </x:c>
      <x:c r="X230" t="str">
        <x:v>https://music.163.com/discover/toplist?id=3779629</x:v>
      </x:c>
      <x:c r="Y230" t="str">
        <x:v>https://music.163.com/api/playlist/detail?id=3779629&amp;n=100</x:v>
      </x:c>
      <x:c r="Z230" s="24" t="str">
        <x:f>IFERROR(VLOOKUP(F230,'07_字典与参数'!$A$5:$E$10,3,FALSE),"待映射")</x:f>
        <x:v>网易云音乐</x:v>
      </x:c>
      <x:c r="AA230" s="24" t="str">
        <x:f>IFERROR(VLOOKUP(F230,'07_字典与参数'!$A$5:$E$10,2,FALSE),"待映射")</x:f>
        <x:v>新歌榜</x:v>
      </x:c>
      <x:c r="AB230" s="24" t="str">
        <x:f>IFERROR(VLOOKUP(F230,'07_字典与参数'!$A$5:$E$10,4,FALSE),"待映射")</x:f>
        <x:v>每日</x:v>
      </x:c>
      <x:c r="AC230" s="24" t="str">
        <x:f>D230&amp;"|"&amp;F230&amp;"|"&amp;L230</x:f>
        <x:v>netease_cloud_music|new|3410283948</x:v>
      </x:c>
      <x:c r="AD230" s="24" t="str">
        <x:f>IF(J230&lt;=10,"是","否")</x:f>
        <x:v>否</x:v>
      </x:c>
      <x:c r="AE230" s="24" t="str">
        <x:f>IFERROR(YEAR(R230),"缺失")</x:f>
        <x:v>缺失</x:v>
      </x:c>
    </x:row>
    <x:row r="231">
      <x:c r="A231" t="str">
        <x:v>20260812T132133+0800</x:v>
      </x:c>
      <x:c r="B231" t="n">
        <x:v>46246.22329861111</x:v>
      </x:c>
      <x:c r="C231" t="str">
        <x:v>2026-08-12</x:v>
      </x:c>
      <x:c r="D231" t="str">
        <x:v>netease_cloud_music</x:v>
      </x:c>
      <x:c r="E231" t="str">
        <x:v>CN</x:v>
      </x:c>
      <x:c r="F231" t="str">
        <x:v>new</x:v>
      </x:c>
      <x:c r="G231" t="str">
        <x:v>新歌榜</x:v>
      </x:c>
      <x:c r="H231" t="str">
        <x:v>3779629</x:v>
      </x:c>
      <x:c r="I231" t="n">
        <x:v>100</x:v>
      </x:c>
      <x:c r="J231" t="n">
        <x:v>27</x:v>
      </x:c>
      <x:c r="K231" t="n">
        <x:v>74</x:v>
      </x:c>
      <x:c r="L231" t="str">
        <x:v>3414273113</x:v>
      </x:c>
      <x:c r="M231" t="str">
        <x:v>petal</x:v>
      </x:c>
      <x:c r="N231" t="str">
        <x:v>48161</x:v>
      </x:c>
      <x:c r="O231" t="str">
        <x:v>Ariana Grande</x:v>
      </x:c>
      <x:c r="P231" t="str">
        <x:v>390031118</x:v>
      </x:c>
      <x:c r="Q231" t="str">
        <x:v>petal</x:v>
      </x:c>
      <x:c r="R231" t="str">
        <x:v>2026-07-31</x:v>
      </x:c>
      <x:c r="S231" t="str"/>
      <x:c r="T231" t="n">
        <x:v>18</x:v>
      </x:c>
      <x:c r="U231" t="n">
        <x:v>-9</x:v>
      </x:c>
      <x:c r="V231" t="str">
        <x:v>https://music.163.com/song?id=3414273113</x:v>
      </x:c>
      <x:c r="W231" t="str">
        <x:v>http://p2.music.126.net/eVZhj8MsxGhjbmTDVZVORQ==/109951173670280784.jpg</x:v>
      </x:c>
      <x:c r="X231" t="str">
        <x:v>https://music.163.com/discover/toplist?id=3779629</x:v>
      </x:c>
      <x:c r="Y231" t="str">
        <x:v>https://music.163.com/api/playlist/detail?id=3779629&amp;n=100</x:v>
      </x:c>
      <x:c r="Z231" s="24" t="str">
        <x:f>IFERROR(VLOOKUP(F231,'07_字典与参数'!$A$5:$E$10,3,FALSE),"待映射")</x:f>
        <x:v>网易云音乐</x:v>
      </x:c>
      <x:c r="AA231" s="24" t="str">
        <x:f>IFERROR(VLOOKUP(F231,'07_字典与参数'!$A$5:$E$10,2,FALSE),"待映射")</x:f>
        <x:v>新歌榜</x:v>
      </x:c>
      <x:c r="AB231" s="24" t="str">
        <x:f>IFERROR(VLOOKUP(F231,'07_字典与参数'!$A$5:$E$10,4,FALSE),"待映射")</x:f>
        <x:v>每日</x:v>
      </x:c>
      <x:c r="AC231" s="24" t="str">
        <x:f>D231&amp;"|"&amp;F231&amp;"|"&amp;L231</x:f>
        <x:v>netease_cloud_music|new|3414273113</x:v>
      </x:c>
      <x:c r="AD231" s="24" t="str">
        <x:f>IF(J231&lt;=10,"是","否")</x:f>
        <x:v>否</x:v>
      </x:c>
      <x:c r="AE231" s="24" t="n">
        <x:f>IFERROR(YEAR(R231),"缺失")</x:f>
        <x:v>2026</x:v>
      </x:c>
    </x:row>
    <x:row r="232">
      <x:c r="A232" t="str">
        <x:v>20260812T132133+0800</x:v>
      </x:c>
      <x:c r="B232" t="n">
        <x:v>46246.22329861111</x:v>
      </x:c>
      <x:c r="C232" t="str">
        <x:v>2026-08-12</x:v>
      </x:c>
      <x:c r="D232" t="str">
        <x:v>netease_cloud_music</x:v>
      </x:c>
      <x:c r="E232" t="str">
        <x:v>CN</x:v>
      </x:c>
      <x:c r="F232" t="str">
        <x:v>new</x:v>
      </x:c>
      <x:c r="G232" t="str">
        <x:v>新歌榜</x:v>
      </x:c>
      <x:c r="H232" t="str">
        <x:v>3779629</x:v>
      </x:c>
      <x:c r="I232" t="n">
        <x:v>100</x:v>
      </x:c>
      <x:c r="J232" t="n">
        <x:v>28</x:v>
      </x:c>
      <x:c r="K232" t="n">
        <x:v>73</x:v>
      </x:c>
      <x:c r="L232" t="str">
        <x:v>3417857540</x:v>
      </x:c>
      <x:c r="M232" t="str">
        <x:v>Pop Off Pop Off</x:v>
      </x:c>
      <x:c r="N232" t="str">
        <x:v>97197815</x:v>
      </x:c>
      <x:c r="O232" t="str">
        <x:v>KiiiKiii</x:v>
      </x:c>
      <x:c r="P232" t="str">
        <x:v>391328479</x:v>
      </x:c>
      <x:c r="Q232" t="str">
        <x:v>WhyKiiiKiii</x:v>
      </x:c>
      <x:c r="R232" t="str"/>
      <x:c r="S232" t="str"/>
      <x:c r="T232" t="n">
        <x:v>52</x:v>
      </x:c>
      <x:c r="U232" t="n">
        <x:v>24</x:v>
      </x:c>
      <x:c r="V232" t="str">
        <x:v>https://music.163.com/song?id=3417857540</x:v>
      </x:c>
      <x:c r="W232" t="str">
        <x:v>http://p2.music.126.net/WkoRkzt-5-E6g4W1gqN7ZQ==/109951173711211073.jpg</x:v>
      </x:c>
      <x:c r="X232" t="str">
        <x:v>https://music.163.com/discover/toplist?id=3779629</x:v>
      </x:c>
      <x:c r="Y232" t="str">
        <x:v>https://music.163.com/api/playlist/detail?id=3779629&amp;n=100</x:v>
      </x:c>
      <x:c r="Z232" s="24" t="str">
        <x:f>IFERROR(VLOOKUP(F232,'07_字典与参数'!$A$5:$E$10,3,FALSE),"待映射")</x:f>
        <x:v>网易云音乐</x:v>
      </x:c>
      <x:c r="AA232" s="24" t="str">
        <x:f>IFERROR(VLOOKUP(F232,'07_字典与参数'!$A$5:$E$10,2,FALSE),"待映射")</x:f>
        <x:v>新歌榜</x:v>
      </x:c>
      <x:c r="AB232" s="24" t="str">
        <x:f>IFERROR(VLOOKUP(F232,'07_字典与参数'!$A$5:$E$10,4,FALSE),"待映射")</x:f>
        <x:v>每日</x:v>
      </x:c>
      <x:c r="AC232" s="24" t="str">
        <x:f>D232&amp;"|"&amp;F232&amp;"|"&amp;L232</x:f>
        <x:v>netease_cloud_music|new|3417857540</x:v>
      </x:c>
      <x:c r="AD232" s="24" t="str">
        <x:f>IF(J232&lt;=10,"是","否")</x:f>
        <x:v>否</x:v>
      </x:c>
      <x:c r="AE232" s="24" t="str">
        <x:f>IFERROR(YEAR(R232),"缺失")</x:f>
        <x:v>缺失</x:v>
      </x:c>
    </x:row>
    <x:row r="233">
      <x:c r="A233" t="str">
        <x:v>20260812T132133+0800</x:v>
      </x:c>
      <x:c r="B233" t="n">
        <x:v>46246.22329861111</x:v>
      </x:c>
      <x:c r="C233" t="str">
        <x:v>2026-08-12</x:v>
      </x:c>
      <x:c r="D233" t="str">
        <x:v>netease_cloud_music</x:v>
      </x:c>
      <x:c r="E233" t="str">
        <x:v>CN</x:v>
      </x:c>
      <x:c r="F233" t="str">
        <x:v>new</x:v>
      </x:c>
      <x:c r="G233" t="str">
        <x:v>新歌榜</x:v>
      </x:c>
      <x:c r="H233" t="str">
        <x:v>3779629</x:v>
      </x:c>
      <x:c r="I233" t="n">
        <x:v>100</x:v>
      </x:c>
      <x:c r="J233" t="n">
        <x:v>29</x:v>
      </x:c>
      <x:c r="K233" t="n">
        <x:v>72</x:v>
      </x:c>
      <x:c r="L233" t="str">
        <x:v>3410661564</x:v>
      </x:c>
      <x:c r="M233" t="str">
        <x:v>野心家 (Live版)</x:v>
      </x:c>
      <x:c r="N233" t="str">
        <x:v>10199 | 14077324</x:v>
      </x:c>
      <x:c r="O233" t="str">
        <x:v>杨丞琳 | 黄霄雲</x:v>
      </x:c>
      <x:c r="P233" t="str">
        <x:v>388738891</x:v>
      </x:c>
      <x:c r="Q233" t="str">
        <x:v>天赐的声音第七季 第7期</x:v>
      </x:c>
      <x:c r="R233" t="str"/>
      <x:c r="S233" t="str"/>
      <x:c r="T233" t="n">
        <x:v>24</x:v>
      </x:c>
      <x:c r="U233" t="n">
        <x:v>-5</x:v>
      </x:c>
      <x:c r="V233" t="str">
        <x:v>https://music.163.com/song?id=3410661564</x:v>
      </x:c>
      <x:c r="W233" t="str">
        <x:v>http://p2.music.126.net/AZcj5MyK_h5ZdkUh8nM7rQ==/109951173627817582.jpg</x:v>
      </x:c>
      <x:c r="X233" t="str">
        <x:v>https://music.163.com/discover/toplist?id=3779629</x:v>
      </x:c>
      <x:c r="Y233" t="str">
        <x:v>https://music.163.com/api/playlist/detail?id=3779629&amp;n=100</x:v>
      </x:c>
      <x:c r="Z233" s="24" t="str">
        <x:f>IFERROR(VLOOKUP(F233,'07_字典与参数'!$A$5:$E$10,3,FALSE),"待映射")</x:f>
        <x:v>网易云音乐</x:v>
      </x:c>
      <x:c r="AA233" s="24" t="str">
        <x:f>IFERROR(VLOOKUP(F233,'07_字典与参数'!$A$5:$E$10,2,FALSE),"待映射")</x:f>
        <x:v>新歌榜</x:v>
      </x:c>
      <x:c r="AB233" s="24" t="str">
        <x:f>IFERROR(VLOOKUP(F233,'07_字典与参数'!$A$5:$E$10,4,FALSE),"待映射")</x:f>
        <x:v>每日</x:v>
      </x:c>
      <x:c r="AC233" s="24" t="str">
        <x:f>D233&amp;"|"&amp;F233&amp;"|"&amp;L233</x:f>
        <x:v>netease_cloud_music|new|3410661564</x:v>
      </x:c>
      <x:c r="AD233" s="24" t="str">
        <x:f>IF(J233&lt;=10,"是","否")</x:f>
        <x:v>否</x:v>
      </x:c>
      <x:c r="AE233" s="24" t="str">
        <x:f>IFERROR(YEAR(R233),"缺失")</x:f>
        <x:v>缺失</x:v>
      </x:c>
    </x:row>
    <x:row r="234">
      <x:c r="A234" t="str">
        <x:v>20260812T132133+0800</x:v>
      </x:c>
      <x:c r="B234" t="n">
        <x:v>46246.22329861111</x:v>
      </x:c>
      <x:c r="C234" t="str">
        <x:v>2026-08-12</x:v>
      </x:c>
      <x:c r="D234" t="str">
        <x:v>netease_cloud_music</x:v>
      </x:c>
      <x:c r="E234" t="str">
        <x:v>CN</x:v>
      </x:c>
      <x:c r="F234" t="str">
        <x:v>new</x:v>
      </x:c>
      <x:c r="G234" t="str">
        <x:v>新歌榜</x:v>
      </x:c>
      <x:c r="H234" t="str">
        <x:v>3779629</x:v>
      </x:c>
      <x:c r="I234" t="n">
        <x:v>100</x:v>
      </x:c>
      <x:c r="J234" t="n">
        <x:v>30</x:v>
      </x:c>
      <x:c r="K234" t="n">
        <x:v>71</x:v>
      </x:c>
      <x:c r="L234" t="str">
        <x:v>3407803347</x:v>
      </x:c>
      <x:c r="M234" t="str">
        <x:v>别错过 (Live版)</x:v>
      </x:c>
      <x:c r="N234" t="str">
        <x:v>6066 | 33709222</x:v>
      </x:c>
      <x:c r="O234" t="str">
        <x:v>杨宗纬 | 姚晓棠</x:v>
      </x:c>
      <x:c r="P234" t="str">
        <x:v>387549490</x:v>
      </x:c>
      <x:c r="Q234" t="str">
        <x:v>天赐的声音第七季 第6期</x:v>
      </x:c>
      <x:c r="R234" t="str"/>
      <x:c r="S234" t="str"/>
      <x:c r="T234" t="n">
        <x:v>23</x:v>
      </x:c>
      <x:c r="U234" t="n">
        <x:v>-7</x:v>
      </x:c>
      <x:c r="V234" t="str">
        <x:v>https://music.163.com/song?id=3407803347</x:v>
      </x:c>
      <x:c r="W234" t="str">
        <x:v>http://p2.music.126.net/vVtUT4iA2CXUtxf9Lfd9_g==/109951173577479026.jpg</x:v>
      </x:c>
      <x:c r="X234" t="str">
        <x:v>https://music.163.com/discover/toplist?id=3779629</x:v>
      </x:c>
      <x:c r="Y234" t="str">
        <x:v>https://music.163.com/api/playlist/detail?id=3779629&amp;n=100</x:v>
      </x:c>
      <x:c r="Z234" s="24" t="str">
        <x:f>IFERROR(VLOOKUP(F234,'07_字典与参数'!$A$5:$E$10,3,FALSE),"待映射")</x:f>
        <x:v>网易云音乐</x:v>
      </x:c>
      <x:c r="AA234" s="24" t="str">
        <x:f>IFERROR(VLOOKUP(F234,'07_字典与参数'!$A$5:$E$10,2,FALSE),"待映射")</x:f>
        <x:v>新歌榜</x:v>
      </x:c>
      <x:c r="AB234" s="24" t="str">
        <x:f>IFERROR(VLOOKUP(F234,'07_字典与参数'!$A$5:$E$10,4,FALSE),"待映射")</x:f>
        <x:v>每日</x:v>
      </x:c>
      <x:c r="AC234" s="24" t="str">
        <x:f>D234&amp;"|"&amp;F234&amp;"|"&amp;L234</x:f>
        <x:v>netease_cloud_music|new|3407803347</x:v>
      </x:c>
      <x:c r="AD234" s="24" t="str">
        <x:f>IF(J234&lt;=10,"是","否")</x:f>
        <x:v>否</x:v>
      </x:c>
      <x:c r="AE234" s="24" t="str">
        <x:f>IFERROR(YEAR(R234),"缺失")</x:f>
        <x:v>缺失</x:v>
      </x:c>
    </x:row>
    <x:row r="235">
      <x:c r="A235" t="str">
        <x:v>20260812T132133+0800</x:v>
      </x:c>
      <x:c r="B235" t="n">
        <x:v>46246.22329861111</x:v>
      </x:c>
      <x:c r="C235" t="str">
        <x:v>2026-08-12</x:v>
      </x:c>
      <x:c r="D235" t="str">
        <x:v>netease_cloud_music</x:v>
      </x:c>
      <x:c r="E235" t="str">
        <x:v>CN</x:v>
      </x:c>
      <x:c r="F235" t="str">
        <x:v>new</x:v>
      </x:c>
      <x:c r="G235" t="str">
        <x:v>新歌榜</x:v>
      </x:c>
      <x:c r="H235" t="str">
        <x:v>3779629</x:v>
      </x:c>
      <x:c r="I235" t="n">
        <x:v>100</x:v>
      </x:c>
      <x:c r="J235" t="n">
        <x:v>31</x:v>
      </x:c>
      <x:c r="K235" t="n">
        <x:v>70</x:v>
      </x:c>
      <x:c r="L235" t="str">
        <x:v>3408001505</x:v>
      </x:c>
      <x:c r="M235" t="str">
        <x:v>你会在某个瞬间想起我吗</x:v>
      </x:c>
      <x:c r="N235" t="str">
        <x:v>98842199</x:v>
      </x:c>
      <x:c r="O235" t="str">
        <x:v>冰心</x:v>
      </x:c>
      <x:c r="P235" t="str">
        <x:v>387627470</x:v>
      </x:c>
      <x:c r="Q235" t="str">
        <x:v>你会在某个瞬间想起我吗</x:v>
      </x:c>
      <x:c r="R235" t="str">
        <x:v>2026-07-18</x:v>
      </x:c>
      <x:c r="S235" t="str"/>
      <x:c r="T235" t="n">
        <x:v>42</x:v>
      </x:c>
      <x:c r="U235" t="n">
        <x:v>11</x:v>
      </x:c>
      <x:c r="V235" t="str">
        <x:v>https://music.163.com/song?id=3408001505</x:v>
      </x:c>
      <x:c r="W235" t="str">
        <x:v>http://p2.music.126.net/MKdPh1Wh3LaW0i6IKKsJzw==/109951173582228181.jpg</x:v>
      </x:c>
      <x:c r="X235" t="str">
        <x:v>https://music.163.com/discover/toplist?id=3779629</x:v>
      </x:c>
      <x:c r="Y235" t="str">
        <x:v>https://music.163.com/api/playlist/detail?id=3779629&amp;n=100</x:v>
      </x:c>
      <x:c r="Z235" s="24" t="str">
        <x:f>IFERROR(VLOOKUP(F235,'07_字典与参数'!$A$5:$E$10,3,FALSE),"待映射")</x:f>
        <x:v>网易云音乐</x:v>
      </x:c>
      <x:c r="AA235" s="24" t="str">
        <x:f>IFERROR(VLOOKUP(F235,'07_字典与参数'!$A$5:$E$10,2,FALSE),"待映射")</x:f>
        <x:v>新歌榜</x:v>
      </x:c>
      <x:c r="AB235" s="24" t="str">
        <x:f>IFERROR(VLOOKUP(F235,'07_字典与参数'!$A$5:$E$10,4,FALSE),"待映射")</x:f>
        <x:v>每日</x:v>
      </x:c>
      <x:c r="AC235" s="24" t="str">
        <x:f>D235&amp;"|"&amp;F235&amp;"|"&amp;L235</x:f>
        <x:v>netease_cloud_music|new|3408001505</x:v>
      </x:c>
      <x:c r="AD235" s="24" t="str">
        <x:f>IF(J235&lt;=10,"是","否")</x:f>
        <x:v>否</x:v>
      </x:c>
      <x:c r="AE235" s="24" t="n">
        <x:f>IFERROR(YEAR(R235),"缺失")</x:f>
        <x:v>2026</x:v>
      </x:c>
    </x:row>
    <x:row r="236">
      <x:c r="A236" t="str">
        <x:v>20260812T132133+0800</x:v>
      </x:c>
      <x:c r="B236" t="n">
        <x:v>46246.22329861111</x:v>
      </x:c>
      <x:c r="C236" t="str">
        <x:v>2026-08-12</x:v>
      </x:c>
      <x:c r="D236" t="str">
        <x:v>netease_cloud_music</x:v>
      </x:c>
      <x:c r="E236" t="str">
        <x:v>CN</x:v>
      </x:c>
      <x:c r="F236" t="str">
        <x:v>new</x:v>
      </x:c>
      <x:c r="G236" t="str">
        <x:v>新歌榜</x:v>
      </x:c>
      <x:c r="H236" t="str">
        <x:v>3779629</x:v>
      </x:c>
      <x:c r="I236" t="n">
        <x:v>100</x:v>
      </x:c>
      <x:c r="J236" t="n">
        <x:v>32</x:v>
      </x:c>
      <x:c r="K236" t="n">
        <x:v>69</x:v>
      </x:c>
      <x:c r="L236" t="str">
        <x:v>3410744228</x:v>
      </x:c>
      <x:c r="M236" t="str">
        <x:v>酸橙色信笺</x:v>
      </x:c>
      <x:c r="N236" t="str">
        <x:v>32540734 | 29896257</x:v>
      </x:c>
      <x:c r="O236" t="str">
        <x:v>塞壬唱片-MSR | DAZBEE</x:v>
      </x:c>
      <x:c r="P236" t="str">
        <x:v>388766663</x:v>
      </x:c>
      <x:c r="Q236" t="str">
        <x:v>酸橙色信笺</x:v>
      </x:c>
      <x:c r="R236" t="str">
        <x:v>2026-07-28</x:v>
      </x:c>
      <x:c r="S236" t="str"/>
      <x:c r="T236" t="n">
        <x:v>27</x:v>
      </x:c>
      <x:c r="U236" t="n">
        <x:v>-5</x:v>
      </x:c>
      <x:c r="V236" t="str">
        <x:v>https://music.163.com/song?id=3410744228</x:v>
      </x:c>
      <x:c r="W236" t="str">
        <x:v>http://p2.music.126.net/dBsNnlV6lSYCBuLUEwAGUQ==/109951173628666804.jpg</x:v>
      </x:c>
      <x:c r="X236" t="str">
        <x:v>https://music.163.com/discover/toplist?id=3779629</x:v>
      </x:c>
      <x:c r="Y236" t="str">
        <x:v>https://music.163.com/api/playlist/detail?id=3779629&amp;n=100</x:v>
      </x:c>
      <x:c r="Z236" s="24" t="str">
        <x:f>IFERROR(VLOOKUP(F236,'07_字典与参数'!$A$5:$E$10,3,FALSE),"待映射")</x:f>
        <x:v>网易云音乐</x:v>
      </x:c>
      <x:c r="AA236" s="24" t="str">
        <x:f>IFERROR(VLOOKUP(F236,'07_字典与参数'!$A$5:$E$10,2,FALSE),"待映射")</x:f>
        <x:v>新歌榜</x:v>
      </x:c>
      <x:c r="AB236" s="24" t="str">
        <x:f>IFERROR(VLOOKUP(F236,'07_字典与参数'!$A$5:$E$10,4,FALSE),"待映射")</x:f>
        <x:v>每日</x:v>
      </x:c>
      <x:c r="AC236" s="24" t="str">
        <x:f>D236&amp;"|"&amp;F236&amp;"|"&amp;L236</x:f>
        <x:v>netease_cloud_music|new|3410744228</x:v>
      </x:c>
      <x:c r="AD236" s="24" t="str">
        <x:f>IF(J236&lt;=10,"是","否")</x:f>
        <x:v>否</x:v>
      </x:c>
      <x:c r="AE236" s="24" t="n">
        <x:f>IFERROR(YEAR(R236),"缺失")</x:f>
        <x:v>2026</x:v>
      </x:c>
    </x:row>
    <x:row r="237">
      <x:c r="A237" t="str">
        <x:v>20260812T132133+0800</x:v>
      </x:c>
      <x:c r="B237" t="n">
        <x:v>46246.22329861111</x:v>
      </x:c>
      <x:c r="C237" t="str">
        <x:v>2026-08-12</x:v>
      </x:c>
      <x:c r="D237" t="str">
        <x:v>netease_cloud_music</x:v>
      </x:c>
      <x:c r="E237" t="str">
        <x:v>CN</x:v>
      </x:c>
      <x:c r="F237" t="str">
        <x:v>new</x:v>
      </x:c>
      <x:c r="G237" t="str">
        <x:v>新歌榜</x:v>
      </x:c>
      <x:c r="H237" t="str">
        <x:v>3779629</x:v>
      </x:c>
      <x:c r="I237" t="n">
        <x:v>100</x:v>
      </x:c>
      <x:c r="J237" t="n">
        <x:v>33</x:v>
      </x:c>
      <x:c r="K237" t="n">
        <x:v>68</x:v>
      </x:c>
      <x:c r="L237" t="str">
        <x:v>3406301834</x:v>
      </x:c>
      <x:c r="M237" t="str">
        <x:v>长眠</x:v>
      </x:c>
      <x:c r="N237" t="str">
        <x:v>8643</x:v>
      </x:c>
      <x:c r="O237" t="str">
        <x:v>Suki刘舒妤</x:v>
      </x:c>
      <x:c r="P237" t="str">
        <x:v>386883206</x:v>
      </x:c>
      <x:c r="Q237" t="str">
        <x:v>长眠</x:v>
      </x:c>
      <x:c r="R237" t="str">
        <x:v>2026-07-15</x:v>
      </x:c>
      <x:c r="S237" t="str"/>
      <x:c r="T237" t="n">
        <x:v>32</x:v>
      </x:c>
      <x:c r="U237" t="n">
        <x:v>-1</x:v>
      </x:c>
      <x:c r="V237" t="str">
        <x:v>https://music.163.com/song?id=3406301834</x:v>
      </x:c>
      <x:c r="W237" t="str">
        <x:v>http://p2.music.126.net/qpbfLrERj1nJoHR6dIgjBA==/109951173596801423.jpg</x:v>
      </x:c>
      <x:c r="X237" t="str">
        <x:v>https://music.163.com/discover/toplist?id=3779629</x:v>
      </x:c>
      <x:c r="Y237" t="str">
        <x:v>https://music.163.com/api/playlist/detail?id=3779629&amp;n=100</x:v>
      </x:c>
      <x:c r="Z237" s="24" t="str">
        <x:f>IFERROR(VLOOKUP(F237,'07_字典与参数'!$A$5:$E$10,3,FALSE),"待映射")</x:f>
        <x:v>网易云音乐</x:v>
      </x:c>
      <x:c r="AA237" s="24" t="str">
        <x:f>IFERROR(VLOOKUP(F237,'07_字典与参数'!$A$5:$E$10,2,FALSE),"待映射")</x:f>
        <x:v>新歌榜</x:v>
      </x:c>
      <x:c r="AB237" s="24" t="str">
        <x:f>IFERROR(VLOOKUP(F237,'07_字典与参数'!$A$5:$E$10,4,FALSE),"待映射")</x:f>
        <x:v>每日</x:v>
      </x:c>
      <x:c r="AC237" s="24" t="str">
        <x:f>D237&amp;"|"&amp;F237&amp;"|"&amp;L237</x:f>
        <x:v>netease_cloud_music|new|3406301834</x:v>
      </x:c>
      <x:c r="AD237" s="24" t="str">
        <x:f>IF(J237&lt;=10,"是","否")</x:f>
        <x:v>否</x:v>
      </x:c>
      <x:c r="AE237" s="24" t="n">
        <x:f>IFERROR(YEAR(R237),"缺失")</x:f>
        <x:v>2026</x:v>
      </x:c>
    </x:row>
    <x:row r="238">
      <x:c r="A238" t="str">
        <x:v>20260812T132133+0800</x:v>
      </x:c>
      <x:c r="B238" t="n">
        <x:v>46246.22329861111</x:v>
      </x:c>
      <x:c r="C238" t="str">
        <x:v>2026-08-12</x:v>
      </x:c>
      <x:c r="D238" t="str">
        <x:v>netease_cloud_music</x:v>
      </x:c>
      <x:c r="E238" t="str">
        <x:v>CN</x:v>
      </x:c>
      <x:c r="F238" t="str">
        <x:v>new</x:v>
      </x:c>
      <x:c r="G238" t="str">
        <x:v>新歌榜</x:v>
      </x:c>
      <x:c r="H238" t="str">
        <x:v>3779629</x:v>
      </x:c>
      <x:c r="I238" t="n">
        <x:v>100</x:v>
      </x:c>
      <x:c r="J238" t="n">
        <x:v>34</x:v>
      </x:c>
      <x:c r="K238" t="n">
        <x:v>67</x:v>
      </x:c>
      <x:c r="L238" t="str">
        <x:v>3404106573</x:v>
      </x:c>
      <x:c r="M238" t="str">
        <x:v>小小</x:v>
      </x:c>
      <x:c r="N238" t="str">
        <x:v>13972037</x:v>
      </x:c>
      <x:c r="O238" t="str">
        <x:v>Rosy赵露思</x:v>
      </x:c>
      <x:c r="P238" t="str">
        <x:v>386104679</x:v>
      </x:c>
      <x:c r="Q238" t="str">
        <x:v>小小</x:v>
      </x:c>
      <x:c r="R238" t="str">
        <x:v>2026-07-13</x:v>
      </x:c>
      <x:c r="S238" t="str"/>
      <x:c r="T238" t="n">
        <x:v>30</x:v>
      </x:c>
      <x:c r="U238" t="n">
        <x:v>-4</x:v>
      </x:c>
      <x:c r="V238" t="str">
        <x:v>https://music.163.com/song?id=3404106573</x:v>
      </x:c>
      <x:c r="W238" t="str">
        <x:v>http://p2.music.126.net/b4pRs-sGxjk0EFoyXYOZrw==/109951173537899246.jpg</x:v>
      </x:c>
      <x:c r="X238" t="str">
        <x:v>https://music.163.com/discover/toplist?id=3779629</x:v>
      </x:c>
      <x:c r="Y238" t="str">
        <x:v>https://music.163.com/api/playlist/detail?id=3779629&amp;n=100</x:v>
      </x:c>
      <x:c r="Z238" s="24" t="str">
        <x:f>IFERROR(VLOOKUP(F238,'07_字典与参数'!$A$5:$E$10,3,FALSE),"待映射")</x:f>
        <x:v>网易云音乐</x:v>
      </x:c>
      <x:c r="AA238" s="24" t="str">
        <x:f>IFERROR(VLOOKUP(F238,'07_字典与参数'!$A$5:$E$10,2,FALSE),"待映射")</x:f>
        <x:v>新歌榜</x:v>
      </x:c>
      <x:c r="AB238" s="24" t="str">
        <x:f>IFERROR(VLOOKUP(F238,'07_字典与参数'!$A$5:$E$10,4,FALSE),"待映射")</x:f>
        <x:v>每日</x:v>
      </x:c>
      <x:c r="AC238" s="24" t="str">
        <x:f>D238&amp;"|"&amp;F238&amp;"|"&amp;L238</x:f>
        <x:v>netease_cloud_music|new|3404106573</x:v>
      </x:c>
      <x:c r="AD238" s="24" t="str">
        <x:f>IF(J238&lt;=10,"是","否")</x:f>
        <x:v>否</x:v>
      </x:c>
      <x:c r="AE238" s="24" t="n">
        <x:f>IFERROR(YEAR(R238),"缺失")</x:f>
        <x:v>2026</x:v>
      </x:c>
    </x:row>
    <x:row r="239">
      <x:c r="A239" t="str">
        <x:v>20260812T132133+0800</x:v>
      </x:c>
      <x:c r="B239" t="n">
        <x:v>46246.22329861111</x:v>
      </x:c>
      <x:c r="C239" t="str">
        <x:v>2026-08-12</x:v>
      </x:c>
      <x:c r="D239" t="str">
        <x:v>netease_cloud_music</x:v>
      </x:c>
      <x:c r="E239" t="str">
        <x:v>CN</x:v>
      </x:c>
      <x:c r="F239" t="str">
        <x:v>new</x:v>
      </x:c>
      <x:c r="G239" t="str">
        <x:v>新歌榜</x:v>
      </x:c>
      <x:c r="H239" t="str">
        <x:v>3779629</x:v>
      </x:c>
      <x:c r="I239" t="n">
        <x:v>100</x:v>
      </x:c>
      <x:c r="J239" t="n">
        <x:v>35</x:v>
      </x:c>
      <x:c r="K239" t="n">
        <x:v>66</x:v>
      </x:c>
      <x:c r="L239" t="str">
        <x:v>3417794184</x:v>
      </x:c>
      <x:c r="M239" t="str">
        <x:v>我们的纪念 (Live版)</x:v>
      </x:c>
      <x:c r="N239" t="str">
        <x:v>10199 | 12073309</x:v>
      </x:c>
      <x:c r="O239" t="str">
        <x:v>杨丞琳 | 侯明昊</x:v>
      </x:c>
      <x:c r="P239" t="str">
        <x:v>391306962</x:v>
      </x:c>
      <x:c r="Q239" t="str">
        <x:v>天赐的声音第七季 第9期</x:v>
      </x:c>
      <x:c r="R239" t="str"/>
      <x:c r="S239" t="str"/>
      <x:c r="T239" t="n">
        <x:v>37</x:v>
      </x:c>
      <x:c r="U239" t="n">
        <x:v>2</x:v>
      </x:c>
      <x:c r="V239" t="str">
        <x:v>https://music.163.com/song?id=3417794184</x:v>
      </x:c>
      <x:c r="W239" t="str">
        <x:v>http://p2.music.126.net/CXT__Ad1LlGmPTVNEWnjsA==/109951173710562303.jpg</x:v>
      </x:c>
      <x:c r="X239" t="str">
        <x:v>https://music.163.com/discover/toplist?id=3779629</x:v>
      </x:c>
      <x:c r="Y239" t="str">
        <x:v>https://music.163.com/api/playlist/detail?id=3779629&amp;n=100</x:v>
      </x:c>
      <x:c r="Z239" s="24" t="str">
        <x:f>IFERROR(VLOOKUP(F239,'07_字典与参数'!$A$5:$E$10,3,FALSE),"待映射")</x:f>
        <x:v>网易云音乐</x:v>
      </x:c>
      <x:c r="AA239" s="24" t="str">
        <x:f>IFERROR(VLOOKUP(F239,'07_字典与参数'!$A$5:$E$10,2,FALSE),"待映射")</x:f>
        <x:v>新歌榜</x:v>
      </x:c>
      <x:c r="AB239" s="24" t="str">
        <x:f>IFERROR(VLOOKUP(F239,'07_字典与参数'!$A$5:$E$10,4,FALSE),"待映射")</x:f>
        <x:v>每日</x:v>
      </x:c>
      <x:c r="AC239" s="24" t="str">
        <x:f>D239&amp;"|"&amp;F239&amp;"|"&amp;L239</x:f>
        <x:v>netease_cloud_music|new|3417794184</x:v>
      </x:c>
      <x:c r="AD239" s="24" t="str">
        <x:f>IF(J239&lt;=10,"是","否")</x:f>
        <x:v>否</x:v>
      </x:c>
      <x:c r="AE239" s="24" t="str">
        <x:f>IFERROR(YEAR(R239),"缺失")</x:f>
        <x:v>缺失</x:v>
      </x:c>
    </x:row>
    <x:row r="240">
      <x:c r="A240" t="str">
        <x:v>20260812T132133+0800</x:v>
      </x:c>
      <x:c r="B240" t="n">
        <x:v>46246.22329861111</x:v>
      </x:c>
      <x:c r="C240" t="str">
        <x:v>2026-08-12</x:v>
      </x:c>
      <x:c r="D240" t="str">
        <x:v>netease_cloud_music</x:v>
      </x:c>
      <x:c r="E240" t="str">
        <x:v>CN</x:v>
      </x:c>
      <x:c r="F240" t="str">
        <x:v>new</x:v>
      </x:c>
      <x:c r="G240" t="str">
        <x:v>新歌榜</x:v>
      </x:c>
      <x:c r="H240" t="str">
        <x:v>3779629</x:v>
      </x:c>
      <x:c r="I240" t="n">
        <x:v>100</x:v>
      </x:c>
      <x:c r="J240" t="n">
        <x:v>36</x:v>
      </x:c>
      <x:c r="K240" t="n">
        <x:v>65</x:v>
      </x:c>
      <x:c r="L240" t="str">
        <x:v>3410139314</x:v>
      </x:c>
      <x:c r="M240" t="str">
        <x:v>MAGICO(Slap House)</x:v>
      </x:c>
      <x:c r="N240" t="str">
        <x:v>56856041</x:v>
      </x:c>
      <x:c r="O240" t="str">
        <x:v>GTR7</x:v>
      </x:c>
      <x:c r="P240" t="str">
        <x:v>388512431</x:v>
      </x:c>
      <x:c r="Q240" t="str">
        <x:v>MAGICO</x:v>
      </x:c>
      <x:c r="R240" t="str"/>
      <x:c r="S240" t="str"/>
      <x:c r="T240" t="n">
        <x:v>33</x:v>
      </x:c>
      <x:c r="U240" t="n">
        <x:v>-3</x:v>
      </x:c>
      <x:c r="V240" t="str">
        <x:v>https://music.163.com/song?id=3410139314</x:v>
      </x:c>
      <x:c r="W240" t="str">
        <x:v>http://p2.music.126.net/Tq_-j36Mto8dZtKVuUlpoA==/109951173621398149.jpg</x:v>
      </x:c>
      <x:c r="X240" t="str">
        <x:v>https://music.163.com/discover/toplist?id=3779629</x:v>
      </x:c>
      <x:c r="Y240" t="str">
        <x:v>https://music.163.com/api/playlist/detail?id=3779629&amp;n=100</x:v>
      </x:c>
      <x:c r="Z240" s="24" t="str">
        <x:f>IFERROR(VLOOKUP(F240,'07_字典与参数'!$A$5:$E$10,3,FALSE),"待映射")</x:f>
        <x:v>网易云音乐</x:v>
      </x:c>
      <x:c r="AA240" s="24" t="str">
        <x:f>IFERROR(VLOOKUP(F240,'07_字典与参数'!$A$5:$E$10,2,FALSE),"待映射")</x:f>
        <x:v>新歌榜</x:v>
      </x:c>
      <x:c r="AB240" s="24" t="str">
        <x:f>IFERROR(VLOOKUP(F240,'07_字典与参数'!$A$5:$E$10,4,FALSE),"待映射")</x:f>
        <x:v>每日</x:v>
      </x:c>
      <x:c r="AC240" s="24" t="str">
        <x:f>D240&amp;"|"&amp;F240&amp;"|"&amp;L240</x:f>
        <x:v>netease_cloud_music|new|3410139314</x:v>
      </x:c>
      <x:c r="AD240" s="24" t="str">
        <x:f>IF(J240&lt;=10,"是","否")</x:f>
        <x:v>否</x:v>
      </x:c>
      <x:c r="AE240" s="24" t="str">
        <x:f>IFERROR(YEAR(R240),"缺失")</x:f>
        <x:v>缺失</x:v>
      </x:c>
    </x:row>
    <x:row r="241">
      <x:c r="A241" t="str">
        <x:v>20260812T132133+0800</x:v>
      </x:c>
      <x:c r="B241" t="n">
        <x:v>46246.22329861111</x:v>
      </x:c>
      <x:c r="C241" t="str">
        <x:v>2026-08-12</x:v>
      </x:c>
      <x:c r="D241" t="str">
        <x:v>netease_cloud_music</x:v>
      </x:c>
      <x:c r="E241" t="str">
        <x:v>CN</x:v>
      </x:c>
      <x:c r="F241" t="str">
        <x:v>new</x:v>
      </x:c>
      <x:c r="G241" t="str">
        <x:v>新歌榜</x:v>
      </x:c>
      <x:c r="H241" t="str">
        <x:v>3779629</x:v>
      </x:c>
      <x:c r="I241" t="n">
        <x:v>100</x:v>
      </x:c>
      <x:c r="J241" t="n">
        <x:v>37</x:v>
      </x:c>
      <x:c r="K241" t="n">
        <x:v>64</x:v>
      </x:c>
      <x:c r="L241" t="str">
        <x:v>3406368630</x:v>
      </x:c>
      <x:c r="M241" t="str">
        <x:v>oh yeah?</x:v>
      </x:c>
      <x:c r="N241" t="str">
        <x:v>12248094</x:v>
      </x:c>
      <x:c r="O241" t="str">
        <x:v>Steve Lacy</x:v>
      </x:c>
      <x:c r="P241" t="str">
        <x:v>386915386</x:v>
      </x:c>
      <x:c r="Q241" t="str">
        <x:v>Oh yeah?</x:v>
      </x:c>
      <x:c r="R241" t="str">
        <x:v>2026-07-17</x:v>
      </x:c>
      <x:c r="S241" t="str"/>
      <x:c r="T241" t="n">
        <x:v>41</x:v>
      </x:c>
      <x:c r="U241" t="n">
        <x:v>4</x:v>
      </x:c>
      <x:c r="V241" t="str">
        <x:v>https://music.163.com/song?id=3406368630</x:v>
      </x:c>
      <x:c r="W241" t="str">
        <x:v>http://p2.music.126.net/vAj-3ulynqYrN4TXunL5OQ==/109951173556543924.jpg</x:v>
      </x:c>
      <x:c r="X241" t="str">
        <x:v>https://music.163.com/discover/toplist?id=3779629</x:v>
      </x:c>
      <x:c r="Y241" t="str">
        <x:v>https://music.163.com/api/playlist/detail?id=3779629&amp;n=100</x:v>
      </x:c>
      <x:c r="Z241" s="24" t="str">
        <x:f>IFERROR(VLOOKUP(F241,'07_字典与参数'!$A$5:$E$10,3,FALSE),"待映射")</x:f>
        <x:v>网易云音乐</x:v>
      </x:c>
      <x:c r="AA241" s="24" t="str">
        <x:f>IFERROR(VLOOKUP(F241,'07_字典与参数'!$A$5:$E$10,2,FALSE),"待映射")</x:f>
        <x:v>新歌榜</x:v>
      </x:c>
      <x:c r="AB241" s="24" t="str">
        <x:f>IFERROR(VLOOKUP(F241,'07_字典与参数'!$A$5:$E$10,4,FALSE),"待映射")</x:f>
        <x:v>每日</x:v>
      </x:c>
      <x:c r="AC241" s="24" t="str">
        <x:f>D241&amp;"|"&amp;F241&amp;"|"&amp;L241</x:f>
        <x:v>netease_cloud_music|new|3406368630</x:v>
      </x:c>
      <x:c r="AD241" s="24" t="str">
        <x:f>IF(J241&lt;=10,"是","否")</x:f>
        <x:v>否</x:v>
      </x:c>
      <x:c r="AE241" s="24" t="n">
        <x:f>IFERROR(YEAR(R241),"缺失")</x:f>
        <x:v>2026</x:v>
      </x:c>
    </x:row>
    <x:row r="242">
      <x:c r="A242" t="str">
        <x:v>20260812T132133+0800</x:v>
      </x:c>
      <x:c r="B242" t="n">
        <x:v>46246.22329861111</x:v>
      </x:c>
      <x:c r="C242" t="str">
        <x:v>2026-08-12</x:v>
      </x:c>
      <x:c r="D242" t="str">
        <x:v>netease_cloud_music</x:v>
      </x:c>
      <x:c r="E242" t="str">
        <x:v>CN</x:v>
      </x:c>
      <x:c r="F242" t="str">
        <x:v>new</x:v>
      </x:c>
      <x:c r="G242" t="str">
        <x:v>新歌榜</x:v>
      </x:c>
      <x:c r="H242" t="str">
        <x:v>3779629</x:v>
      </x:c>
      <x:c r="I242" t="n">
        <x:v>100</x:v>
      </x:c>
      <x:c r="J242" t="n">
        <x:v>38</x:v>
      </x:c>
      <x:c r="K242" t="n">
        <x:v>63</x:v>
      </x:c>
      <x:c r="L242" t="str">
        <x:v>3414272565</x:v>
      </x:c>
      <x:c r="M242" t="str">
        <x:v>kiss me</x:v>
      </x:c>
      <x:c r="N242" t="str">
        <x:v>48161</x:v>
      </x:c>
      <x:c r="O242" t="str">
        <x:v>Ariana Grande</x:v>
      </x:c>
      <x:c r="P242" t="str">
        <x:v>390031118</x:v>
      </x:c>
      <x:c r="Q242" t="str">
        <x:v>petal</x:v>
      </x:c>
      <x:c r="R242" t="str">
        <x:v>2026-07-31</x:v>
      </x:c>
      <x:c r="S242" t="str"/>
      <x:c r="T242" t="n">
        <x:v>26</x:v>
      </x:c>
      <x:c r="U242" t="n">
        <x:v>-12</x:v>
      </x:c>
      <x:c r="V242" t="str">
        <x:v>https://music.163.com/song?id=3414272565</x:v>
      </x:c>
      <x:c r="W242" t="str">
        <x:v>http://p2.music.126.net/eVZhj8MsxGhjbmTDVZVORQ==/109951173670280784.jpg</x:v>
      </x:c>
      <x:c r="X242" t="str">
        <x:v>https://music.163.com/discover/toplist?id=3779629</x:v>
      </x:c>
      <x:c r="Y242" t="str">
        <x:v>https://music.163.com/api/playlist/detail?id=3779629&amp;n=100</x:v>
      </x:c>
      <x:c r="Z242" s="24" t="str">
        <x:f>IFERROR(VLOOKUP(F242,'07_字典与参数'!$A$5:$E$10,3,FALSE),"待映射")</x:f>
        <x:v>网易云音乐</x:v>
      </x:c>
      <x:c r="AA242" s="24" t="str">
        <x:f>IFERROR(VLOOKUP(F242,'07_字典与参数'!$A$5:$E$10,2,FALSE),"待映射")</x:f>
        <x:v>新歌榜</x:v>
      </x:c>
      <x:c r="AB242" s="24" t="str">
        <x:f>IFERROR(VLOOKUP(F242,'07_字典与参数'!$A$5:$E$10,4,FALSE),"待映射")</x:f>
        <x:v>每日</x:v>
      </x:c>
      <x:c r="AC242" s="24" t="str">
        <x:f>D242&amp;"|"&amp;F242&amp;"|"&amp;L242</x:f>
        <x:v>netease_cloud_music|new|3414272565</x:v>
      </x:c>
      <x:c r="AD242" s="24" t="str">
        <x:f>IF(J242&lt;=10,"是","否")</x:f>
        <x:v>否</x:v>
      </x:c>
      <x:c r="AE242" s="24" t="n">
        <x:f>IFERROR(YEAR(R242),"缺失")</x:f>
        <x:v>2026</x:v>
      </x:c>
    </x:row>
    <x:row r="243">
      <x:c r="A243" t="str">
        <x:v>20260812T132133+0800</x:v>
      </x:c>
      <x:c r="B243" t="n">
        <x:v>46246.22329861111</x:v>
      </x:c>
      <x:c r="C243" t="str">
        <x:v>2026-08-12</x:v>
      </x:c>
      <x:c r="D243" t="str">
        <x:v>netease_cloud_music</x:v>
      </x:c>
      <x:c r="E243" t="str">
        <x:v>CN</x:v>
      </x:c>
      <x:c r="F243" t="str">
        <x:v>new</x:v>
      </x:c>
      <x:c r="G243" t="str">
        <x:v>新歌榜</x:v>
      </x:c>
      <x:c r="H243" t="str">
        <x:v>3779629</x:v>
      </x:c>
      <x:c r="I243" t="n">
        <x:v>100</x:v>
      </x:c>
      <x:c r="J243" t="n">
        <x:v>39</x:v>
      </x:c>
      <x:c r="K243" t="n">
        <x:v>62</x:v>
      </x:c>
      <x:c r="L243" t="str">
        <x:v>3410254626</x:v>
      </x:c>
      <x:c r="M243" t="str">
        <x:v>雨瘾</x:v>
      </x:c>
      <x:c r="N243" t="str">
        <x:v>14117457</x:v>
      </x:c>
      <x:c r="O243" t="str">
        <x:v>SASIOVERLXRD</x:v>
      </x:c>
      <x:c r="P243" t="str">
        <x:v>388196110</x:v>
      </x:c>
      <x:c r="Q243" t="str">
        <x:v>赫鬼</x:v>
      </x:c>
      <x:c r="R243" t="str"/>
      <x:c r="S243" t="str"/>
      <x:c r="T243" t="n">
        <x:v>35</x:v>
      </x:c>
      <x:c r="U243" t="n">
        <x:v>-4</x:v>
      </x:c>
      <x:c r="V243" t="str">
        <x:v>https://music.163.com/song?id=3410254626</x:v>
      </x:c>
      <x:c r="W243" t="str">
        <x:v>http://p2.music.126.net/MEx8J6j2mntRha2stE7xlA==/109951173603999384.jpg</x:v>
      </x:c>
      <x:c r="X243" t="str">
        <x:v>https://music.163.com/discover/toplist?id=3779629</x:v>
      </x:c>
      <x:c r="Y243" t="str">
        <x:v>https://music.163.com/api/playlist/detail?id=3779629&amp;n=100</x:v>
      </x:c>
      <x:c r="Z243" s="24" t="str">
        <x:f>IFERROR(VLOOKUP(F243,'07_字典与参数'!$A$5:$E$10,3,FALSE),"待映射")</x:f>
        <x:v>网易云音乐</x:v>
      </x:c>
      <x:c r="AA243" s="24" t="str">
        <x:f>IFERROR(VLOOKUP(F243,'07_字典与参数'!$A$5:$E$10,2,FALSE),"待映射")</x:f>
        <x:v>新歌榜</x:v>
      </x:c>
      <x:c r="AB243" s="24" t="str">
        <x:f>IFERROR(VLOOKUP(F243,'07_字典与参数'!$A$5:$E$10,4,FALSE),"待映射")</x:f>
        <x:v>每日</x:v>
      </x:c>
      <x:c r="AC243" s="24" t="str">
        <x:f>D243&amp;"|"&amp;F243&amp;"|"&amp;L243</x:f>
        <x:v>netease_cloud_music|new|3410254626</x:v>
      </x:c>
      <x:c r="AD243" s="24" t="str">
        <x:f>IF(J243&lt;=10,"是","否")</x:f>
        <x:v>否</x:v>
      </x:c>
      <x:c r="AE243" s="24" t="str">
        <x:f>IFERROR(YEAR(R243),"缺失")</x:f>
        <x:v>缺失</x:v>
      </x:c>
    </x:row>
    <x:row r="244">
      <x:c r="A244" t="str">
        <x:v>20260812T132133+0800</x:v>
      </x:c>
      <x:c r="B244" t="n">
        <x:v>46246.22329861111</x:v>
      </x:c>
      <x:c r="C244" t="str">
        <x:v>2026-08-12</x:v>
      </x:c>
      <x:c r="D244" t="str">
        <x:v>netease_cloud_music</x:v>
      </x:c>
      <x:c r="E244" t="str">
        <x:v>CN</x:v>
      </x:c>
      <x:c r="F244" t="str">
        <x:v>new</x:v>
      </x:c>
      <x:c r="G244" t="str">
        <x:v>新歌榜</x:v>
      </x:c>
      <x:c r="H244" t="str">
        <x:v>3779629</x:v>
      </x:c>
      <x:c r="I244" t="n">
        <x:v>100</x:v>
      </x:c>
      <x:c r="J244" t="n">
        <x:v>40</x:v>
      </x:c>
      <x:c r="K244" t="n">
        <x:v>61</x:v>
      </x:c>
      <x:c r="L244" t="str">
        <x:v>3409349905</x:v>
      </x:c>
      <x:c r="M244" t="str">
        <x:v>下一站 Beyond This Station</x:v>
      </x:c>
      <x:c r="N244" t="str">
        <x:v>16823 | 12487174</x:v>
      </x:c>
      <x:c r="O244" t="str">
        <x:v>小林未郁 | HOYO-MiX</x:v>
      </x:c>
      <x:c r="P244" t="str">
        <x:v>388208633</x:v>
      </x:c>
      <x:c r="Q244" t="str">
        <x:v>崩坏星穹铁道-神说要有笑（中篇） Let There Be Laughter (Part 2)</x:v>
      </x:c>
      <x:c r="R244" t="str">
        <x:v>2026-07-23</x:v>
      </x:c>
      <x:c r="S244" t="str"/>
      <x:c r="T244" t="n">
        <x:v>38</x:v>
      </x:c>
      <x:c r="U244" t="n">
        <x:v>-2</x:v>
      </x:c>
      <x:c r="V244" t="str">
        <x:v>https://music.163.com/song?id=3409349905</x:v>
      </x:c>
      <x:c r="W244" t="str">
        <x:v>http://p2.music.126.net/CwBbGB4De9i9KTs07uw0hg==/109951173602206401.jpg</x:v>
      </x:c>
      <x:c r="X244" t="str">
        <x:v>https://music.163.com/discover/toplist?id=3779629</x:v>
      </x:c>
      <x:c r="Y244" t="str">
        <x:v>https://music.163.com/api/playlist/detail?id=3779629&amp;n=100</x:v>
      </x:c>
      <x:c r="Z244" s="24" t="str">
        <x:f>IFERROR(VLOOKUP(F244,'07_字典与参数'!$A$5:$E$10,3,FALSE),"待映射")</x:f>
        <x:v>网易云音乐</x:v>
      </x:c>
      <x:c r="AA244" s="24" t="str">
        <x:f>IFERROR(VLOOKUP(F244,'07_字典与参数'!$A$5:$E$10,2,FALSE),"待映射")</x:f>
        <x:v>新歌榜</x:v>
      </x:c>
      <x:c r="AB244" s="24" t="str">
        <x:f>IFERROR(VLOOKUP(F244,'07_字典与参数'!$A$5:$E$10,4,FALSE),"待映射")</x:f>
        <x:v>每日</x:v>
      </x:c>
      <x:c r="AC244" s="24" t="str">
        <x:f>D244&amp;"|"&amp;F244&amp;"|"&amp;L244</x:f>
        <x:v>netease_cloud_music|new|3409349905</x:v>
      </x:c>
      <x:c r="AD244" s="24" t="str">
        <x:f>IF(J244&lt;=10,"是","否")</x:f>
        <x:v>否</x:v>
      </x:c>
      <x:c r="AE244" s="24" t="n">
        <x:f>IFERROR(YEAR(R244),"缺失")</x:f>
        <x:v>2026</x:v>
      </x:c>
    </x:row>
    <x:row r="245">
      <x:c r="A245" t="str">
        <x:v>20260812T132133+0800</x:v>
      </x:c>
      <x:c r="B245" t="n">
        <x:v>46246.22329861111</x:v>
      </x:c>
      <x:c r="C245" t="str">
        <x:v>2026-08-12</x:v>
      </x:c>
      <x:c r="D245" t="str">
        <x:v>netease_cloud_music</x:v>
      </x:c>
      <x:c r="E245" t="str">
        <x:v>CN</x:v>
      </x:c>
      <x:c r="F245" t="str">
        <x:v>new</x:v>
      </x:c>
      <x:c r="G245" t="str">
        <x:v>新歌榜</x:v>
      </x:c>
      <x:c r="H245" t="str">
        <x:v>3779629</x:v>
      </x:c>
      <x:c r="I245" t="n">
        <x:v>100</x:v>
      </x:c>
      <x:c r="J245" t="n">
        <x:v>41</x:v>
      </x:c>
      <x:c r="K245" t="n">
        <x:v>60</x:v>
      </x:c>
      <x:c r="L245" t="str">
        <x:v>3417947325</x:v>
      </x:c>
      <x:c r="M245" t="str">
        <x:v>小rapper (Live)</x:v>
      </x:c>
      <x:c r="N245" t="str">
        <x:v>12563131</x:v>
      </x:c>
      <x:c r="O245" t="str">
        <x:v>Rapeter</x:v>
      </x:c>
      <x:c r="P245" t="str">
        <x:v>391356378</x:v>
      </x:c>
      <x:c r="Q245" t="str">
        <x:v>说唱巅峰对决2026 第七期</x:v>
      </x:c>
      <x:c r="R245" t="str"/>
      <x:c r="S245" t="str"/>
      <x:c r="T245" t="n">
        <x:v>44</x:v>
      </x:c>
      <x:c r="U245" t="n">
        <x:v>3</x:v>
      </x:c>
      <x:c r="V245" t="str">
        <x:v>https://music.163.com/song?id=3417947325</x:v>
      </x:c>
      <x:c r="W245" t="str">
        <x:v>http://p2.music.126.net/CafsjsiaYiHTlnka1Bna9g==/109951173712120187.jpg</x:v>
      </x:c>
      <x:c r="X245" t="str">
        <x:v>https://music.163.com/discover/toplist?id=3779629</x:v>
      </x:c>
      <x:c r="Y245" t="str">
        <x:v>https://music.163.com/api/playlist/detail?id=3779629&amp;n=100</x:v>
      </x:c>
      <x:c r="Z245" s="24" t="str">
        <x:f>IFERROR(VLOOKUP(F245,'07_字典与参数'!$A$5:$E$10,3,FALSE),"待映射")</x:f>
        <x:v>网易云音乐</x:v>
      </x:c>
      <x:c r="AA245" s="24" t="str">
        <x:f>IFERROR(VLOOKUP(F245,'07_字典与参数'!$A$5:$E$10,2,FALSE),"待映射")</x:f>
        <x:v>新歌榜</x:v>
      </x:c>
      <x:c r="AB245" s="24" t="str">
        <x:f>IFERROR(VLOOKUP(F245,'07_字典与参数'!$A$5:$E$10,4,FALSE),"待映射")</x:f>
        <x:v>每日</x:v>
      </x:c>
      <x:c r="AC245" s="24" t="str">
        <x:f>D245&amp;"|"&amp;F245&amp;"|"&amp;L245</x:f>
        <x:v>netease_cloud_music|new|3417947325</x:v>
      </x:c>
      <x:c r="AD245" s="24" t="str">
        <x:f>IF(J245&lt;=10,"是","否")</x:f>
        <x:v>否</x:v>
      </x:c>
      <x:c r="AE245" s="24" t="str">
        <x:f>IFERROR(YEAR(R245),"缺失")</x:f>
        <x:v>缺失</x:v>
      </x:c>
    </x:row>
    <x:row r="246">
      <x:c r="A246" t="str">
        <x:v>20260812T132133+0800</x:v>
      </x:c>
      <x:c r="B246" t="n">
        <x:v>46246.22329861111</x:v>
      </x:c>
      <x:c r="C246" t="str">
        <x:v>2026-08-12</x:v>
      </x:c>
      <x:c r="D246" t="str">
        <x:v>netease_cloud_music</x:v>
      </x:c>
      <x:c r="E246" t="str">
        <x:v>CN</x:v>
      </x:c>
      <x:c r="F246" t="str">
        <x:v>new</x:v>
      </x:c>
      <x:c r="G246" t="str">
        <x:v>新歌榜</x:v>
      </x:c>
      <x:c r="H246" t="str">
        <x:v>3779629</x:v>
      </x:c>
      <x:c r="I246" t="n">
        <x:v>100</x:v>
      </x:c>
      <x:c r="J246" t="n">
        <x:v>42</x:v>
      </x:c>
      <x:c r="K246" t="n">
        <x:v>59</x:v>
      </x:c>
      <x:c r="L246" t="str">
        <x:v>3417794898</x:v>
      </x:c>
      <x:c r="M246" t="str">
        <x:v>答案 (Live版)</x:v>
      </x:c>
      <x:c r="N246" t="str">
        <x:v>5518 | 14077324</x:v>
      </x:c>
      <x:c r="O246" t="str">
        <x:v>王铮亮 | 黄霄雲</x:v>
      </x:c>
      <x:c r="P246" t="str">
        <x:v>391306962</x:v>
      </x:c>
      <x:c r="Q246" t="str">
        <x:v>天赐的声音第七季 第9期</x:v>
      </x:c>
      <x:c r="R246" t="str"/>
      <x:c r="S246" t="str"/>
      <x:c r="T246" t="n">
        <x:v>43</x:v>
      </x:c>
      <x:c r="U246" t="n">
        <x:v>1</x:v>
      </x:c>
      <x:c r="V246" t="str">
        <x:v>https://music.163.com/song?id=3417794898</x:v>
      </x:c>
      <x:c r="W246" t="str">
        <x:v>http://p2.music.126.net/CXT__Ad1LlGmPTVNEWnjsA==/109951173710562303.jpg</x:v>
      </x:c>
      <x:c r="X246" t="str">
        <x:v>https://music.163.com/discover/toplist?id=3779629</x:v>
      </x:c>
      <x:c r="Y246" t="str">
        <x:v>https://music.163.com/api/playlist/detail?id=3779629&amp;n=100</x:v>
      </x:c>
      <x:c r="Z246" s="24" t="str">
        <x:f>IFERROR(VLOOKUP(F246,'07_字典与参数'!$A$5:$E$10,3,FALSE),"待映射")</x:f>
        <x:v>网易云音乐</x:v>
      </x:c>
      <x:c r="AA246" s="24" t="str">
        <x:f>IFERROR(VLOOKUP(F246,'07_字典与参数'!$A$5:$E$10,2,FALSE),"待映射")</x:f>
        <x:v>新歌榜</x:v>
      </x:c>
      <x:c r="AB246" s="24" t="str">
        <x:f>IFERROR(VLOOKUP(F246,'07_字典与参数'!$A$5:$E$10,4,FALSE),"待映射")</x:f>
        <x:v>每日</x:v>
      </x:c>
      <x:c r="AC246" s="24" t="str">
        <x:f>D246&amp;"|"&amp;F246&amp;"|"&amp;L246</x:f>
        <x:v>netease_cloud_music|new|3417794898</x:v>
      </x:c>
      <x:c r="AD246" s="24" t="str">
        <x:f>IF(J246&lt;=10,"是","否")</x:f>
        <x:v>否</x:v>
      </x:c>
      <x:c r="AE246" s="24" t="str">
        <x:f>IFERROR(YEAR(R246),"缺失")</x:f>
        <x:v>缺失</x:v>
      </x:c>
    </x:row>
    <x:row r="247">
      <x:c r="A247" t="str">
        <x:v>20260812T132133+0800</x:v>
      </x:c>
      <x:c r="B247" t="n">
        <x:v>46246.22329861111</x:v>
      </x:c>
      <x:c r="C247" t="str">
        <x:v>2026-08-12</x:v>
      </x:c>
      <x:c r="D247" t="str">
        <x:v>netease_cloud_music</x:v>
      </x:c>
      <x:c r="E247" t="str">
        <x:v>CN</x:v>
      </x:c>
      <x:c r="F247" t="str">
        <x:v>new</x:v>
      </x:c>
      <x:c r="G247" t="str">
        <x:v>新歌榜</x:v>
      </x:c>
      <x:c r="H247" t="str">
        <x:v>3779629</x:v>
      </x:c>
      <x:c r="I247" t="n">
        <x:v>100</x:v>
      </x:c>
      <x:c r="J247" t="n">
        <x:v>43</x:v>
      </x:c>
      <x:c r="K247" t="n">
        <x:v>58</x:v>
      </x:c>
      <x:c r="L247" t="str">
        <x:v>3382228539</x:v>
      </x:c>
      <x:c r="M247" t="str">
        <x:v>伦敦雨季</x:v>
      </x:c>
      <x:c r="N247" t="str">
        <x:v>12324449</x:v>
      </x:c>
      <x:c r="O247" t="str">
        <x:v>TC</x:v>
      </x:c>
      <x:c r="P247" t="str">
        <x:v>376470356</x:v>
      </x:c>
      <x:c r="Q247" t="str">
        <x:v>伦敦雨季</x:v>
      </x:c>
      <x:c r="R247" t="str"/>
      <x:c r="S247" t="str"/>
      <x:c r="T247" t="n">
        <x:v>47</x:v>
      </x:c>
      <x:c r="U247" t="n">
        <x:v>4</x:v>
      </x:c>
      <x:c r="V247" t="str">
        <x:v>https://music.163.com/song?id=3382228539</x:v>
      </x:c>
      <x:c r="W247" t="str">
        <x:v>http://p2.music.126.net/WlCDaYTONr-lgOfxZuv5pA==/109951173223607891.jpg</x:v>
      </x:c>
      <x:c r="X247" t="str">
        <x:v>https://music.163.com/discover/toplist?id=3779629</x:v>
      </x:c>
      <x:c r="Y247" t="str">
        <x:v>https://music.163.com/api/playlist/detail?id=3779629&amp;n=100</x:v>
      </x:c>
      <x:c r="Z247" s="24" t="str">
        <x:f>IFERROR(VLOOKUP(F247,'07_字典与参数'!$A$5:$E$10,3,FALSE),"待映射")</x:f>
        <x:v>网易云音乐</x:v>
      </x:c>
      <x:c r="AA247" s="24" t="str">
        <x:f>IFERROR(VLOOKUP(F247,'07_字典与参数'!$A$5:$E$10,2,FALSE),"待映射")</x:f>
        <x:v>新歌榜</x:v>
      </x:c>
      <x:c r="AB247" s="24" t="str">
        <x:f>IFERROR(VLOOKUP(F247,'07_字典与参数'!$A$5:$E$10,4,FALSE),"待映射")</x:f>
        <x:v>每日</x:v>
      </x:c>
      <x:c r="AC247" s="24" t="str">
        <x:f>D247&amp;"|"&amp;F247&amp;"|"&amp;L247</x:f>
        <x:v>netease_cloud_music|new|3382228539</x:v>
      </x:c>
      <x:c r="AD247" s="24" t="str">
        <x:f>IF(J247&lt;=10,"是","否")</x:f>
        <x:v>否</x:v>
      </x:c>
      <x:c r="AE247" s="24" t="str">
        <x:f>IFERROR(YEAR(R247),"缺失")</x:f>
        <x:v>缺失</x:v>
      </x:c>
    </x:row>
    <x:row r="248">
      <x:c r="A248" t="str">
        <x:v>20260812T132133+0800</x:v>
      </x:c>
      <x:c r="B248" t="n">
        <x:v>46246.22329861111</x:v>
      </x:c>
      <x:c r="C248" t="str">
        <x:v>2026-08-12</x:v>
      </x:c>
      <x:c r="D248" t="str">
        <x:v>netease_cloud_music</x:v>
      </x:c>
      <x:c r="E248" t="str">
        <x:v>CN</x:v>
      </x:c>
      <x:c r="F248" t="str">
        <x:v>new</x:v>
      </x:c>
      <x:c r="G248" t="str">
        <x:v>新歌榜</x:v>
      </x:c>
      <x:c r="H248" t="str">
        <x:v>3779629</x:v>
      </x:c>
      <x:c r="I248" t="n">
        <x:v>100</x:v>
      </x:c>
      <x:c r="J248" t="n">
        <x:v>44</x:v>
      </x:c>
      <x:c r="K248" t="n">
        <x:v>57</x:v>
      </x:c>
      <x:c r="L248" t="str">
        <x:v>3410454149</x:v>
      </x:c>
      <x:c r="M248" t="str">
        <x:v>Animal</x:v>
      </x:c>
      <x:c r="N248" t="str">
        <x:v>94119217</x:v>
      </x:c>
      <x:c r="O248" t="str">
        <x:v>KATSEYE</x:v>
      </x:c>
      <x:c r="P248" t="str">
        <x:v>388649099</x:v>
      </x:c>
      <x:c r="Q248" t="str">
        <x:v>Animal</x:v>
      </x:c>
      <x:c r="R248" t="str">
        <x:v>2026-07-24</x:v>
      </x:c>
      <x:c r="S248" t="str"/>
      <x:c r="T248" t="n">
        <x:v>39</x:v>
      </x:c>
      <x:c r="U248" t="n">
        <x:v>-5</x:v>
      </x:c>
      <x:c r="V248" t="str">
        <x:v>https://music.163.com/song?id=3410454149</x:v>
      </x:c>
      <x:c r="W248" t="str">
        <x:v>http://p2.music.126.net/6blVCbVOH3mKUAvixfSb4w==/109951173627910870.jpg</x:v>
      </x:c>
      <x:c r="X248" t="str">
        <x:v>https://music.163.com/discover/toplist?id=3779629</x:v>
      </x:c>
      <x:c r="Y248" t="str">
        <x:v>https://music.163.com/api/playlist/detail?id=3779629&amp;n=100</x:v>
      </x:c>
      <x:c r="Z248" s="24" t="str">
        <x:f>IFERROR(VLOOKUP(F248,'07_字典与参数'!$A$5:$E$10,3,FALSE),"待映射")</x:f>
        <x:v>网易云音乐</x:v>
      </x:c>
      <x:c r="AA248" s="24" t="str">
        <x:f>IFERROR(VLOOKUP(F248,'07_字典与参数'!$A$5:$E$10,2,FALSE),"待映射")</x:f>
        <x:v>新歌榜</x:v>
      </x:c>
      <x:c r="AB248" s="24" t="str">
        <x:f>IFERROR(VLOOKUP(F248,'07_字典与参数'!$A$5:$E$10,4,FALSE),"待映射")</x:f>
        <x:v>每日</x:v>
      </x:c>
      <x:c r="AC248" s="24" t="str">
        <x:f>D248&amp;"|"&amp;F248&amp;"|"&amp;L248</x:f>
        <x:v>netease_cloud_music|new|3410454149</x:v>
      </x:c>
      <x:c r="AD248" s="24" t="str">
        <x:f>IF(J248&lt;=10,"是","否")</x:f>
        <x:v>否</x:v>
      </x:c>
      <x:c r="AE248" s="24" t="n">
        <x:f>IFERROR(YEAR(R248),"缺失")</x:f>
        <x:v>2026</x:v>
      </x:c>
    </x:row>
    <x:row r="249">
      <x:c r="A249" t="str">
        <x:v>20260812T132133+0800</x:v>
      </x:c>
      <x:c r="B249" t="n">
        <x:v>46246.22329861111</x:v>
      </x:c>
      <x:c r="C249" t="str">
        <x:v>2026-08-12</x:v>
      </x:c>
      <x:c r="D249" t="str">
        <x:v>netease_cloud_music</x:v>
      </x:c>
      <x:c r="E249" t="str">
        <x:v>CN</x:v>
      </x:c>
      <x:c r="F249" t="str">
        <x:v>new</x:v>
      </x:c>
      <x:c r="G249" t="str">
        <x:v>新歌榜</x:v>
      </x:c>
      <x:c r="H249" t="str">
        <x:v>3779629</x:v>
      </x:c>
      <x:c r="I249" t="n">
        <x:v>100</x:v>
      </x:c>
      <x:c r="J249" t="n">
        <x:v>45</x:v>
      </x:c>
      <x:c r="K249" t="n">
        <x:v>56</x:v>
      </x:c>
      <x:c r="L249" t="str">
        <x:v>3416833129</x:v>
      </x:c>
      <x:c r="M249" t="str">
        <x:v>十月的海</x:v>
      </x:c>
      <x:c r="N249" t="str">
        <x:v>56649465</x:v>
      </x:c>
      <x:c r="O249" t="str">
        <x:v>刘子铭zm</x:v>
      </x:c>
      <x:c r="P249" t="str">
        <x:v>390924534</x:v>
      </x:c>
      <x:c r="Q249" t="str">
        <x:v>十月的海</x:v>
      </x:c>
      <x:c r="R249" t="str"/>
      <x:c r="S249" t="str"/>
      <x:c r="T249"/>
      <x:c r="U249"/>
      <x:c r="V249" t="str">
        <x:v>https://music.163.com/song?id=3416833129</x:v>
      </x:c>
      <x:c r="W249" t="str">
        <x:v>http://p2.music.126.net/o_UenYu4FX2ZSp9pXuNC0w==/109951173696304709.jpg</x:v>
      </x:c>
      <x:c r="X249" t="str">
        <x:v>https://music.163.com/discover/toplist?id=3779629</x:v>
      </x:c>
      <x:c r="Y249" t="str">
        <x:v>https://music.163.com/api/playlist/detail?id=3779629&amp;n=100</x:v>
      </x:c>
      <x:c r="Z249" s="24" t="str">
        <x:f>IFERROR(VLOOKUP(F249,'07_字典与参数'!$A$5:$E$10,3,FALSE),"待映射")</x:f>
        <x:v>网易云音乐</x:v>
      </x:c>
      <x:c r="AA249" s="24" t="str">
        <x:f>IFERROR(VLOOKUP(F249,'07_字典与参数'!$A$5:$E$10,2,FALSE),"待映射")</x:f>
        <x:v>新歌榜</x:v>
      </x:c>
      <x:c r="AB249" s="24" t="str">
        <x:f>IFERROR(VLOOKUP(F249,'07_字典与参数'!$A$5:$E$10,4,FALSE),"待映射")</x:f>
        <x:v>每日</x:v>
      </x:c>
      <x:c r="AC249" s="24" t="str">
        <x:f>D249&amp;"|"&amp;F249&amp;"|"&amp;L249</x:f>
        <x:v>netease_cloud_music|new|3416833129</x:v>
      </x:c>
      <x:c r="AD249" s="24" t="str">
        <x:f>IF(J249&lt;=10,"是","否")</x:f>
        <x:v>否</x:v>
      </x:c>
      <x:c r="AE249" s="24" t="str">
        <x:f>IFERROR(YEAR(R249),"缺失")</x:f>
        <x:v>缺失</x:v>
      </x:c>
    </x:row>
    <x:row r="250">
      <x:c r="A250" t="str">
        <x:v>20260812T132133+0800</x:v>
      </x:c>
      <x:c r="B250" t="n">
        <x:v>46246.22329861111</x:v>
      </x:c>
      <x:c r="C250" t="str">
        <x:v>2026-08-12</x:v>
      </x:c>
      <x:c r="D250" t="str">
        <x:v>netease_cloud_music</x:v>
      </x:c>
      <x:c r="E250" t="str">
        <x:v>CN</x:v>
      </x:c>
      <x:c r="F250" t="str">
        <x:v>new</x:v>
      </x:c>
      <x:c r="G250" t="str">
        <x:v>新歌榜</x:v>
      </x:c>
      <x:c r="H250" t="str">
        <x:v>3779629</x:v>
      </x:c>
      <x:c r="I250" t="n">
        <x:v>100</x:v>
      </x:c>
      <x:c r="J250" t="n">
        <x:v>46</x:v>
      </x:c>
      <x:c r="K250" t="n">
        <x:v>55</x:v>
      </x:c>
      <x:c r="L250" t="str">
        <x:v>3407932555</x:v>
      </x:c>
      <x:c r="M250" t="str">
        <x:v>问爱 (Live)</x:v>
      </x:c>
      <x:c r="N250" t="str">
        <x:v>12643557</x:v>
      </x:c>
      <x:c r="O250" t="str">
        <x:v>Yamy郭颖</x:v>
      </x:c>
      <x:c r="P250" t="str">
        <x:v>387602202</x:v>
      </x:c>
      <x:c r="Q250" t="str">
        <x:v>说唱巅峰对决2026 第四期</x:v>
      </x:c>
      <x:c r="R250" t="str"/>
      <x:c r="S250" t="str"/>
      <x:c r="T250" t="n">
        <x:v>46</x:v>
      </x:c>
      <x:c r="U250" t="n">
        <x:v>0</x:v>
      </x:c>
      <x:c r="V250" t="str">
        <x:v>https://music.163.com/song?id=3407932555</x:v>
      </x:c>
      <x:c r="W250" t="str">
        <x:v>http://p2.music.126.net/gsC98aHFTOS0Jn2QMdp-dw==/109951173580334778.jpg</x:v>
      </x:c>
      <x:c r="X250" t="str">
        <x:v>https://music.163.com/discover/toplist?id=3779629</x:v>
      </x:c>
      <x:c r="Y250" t="str">
        <x:v>https://music.163.com/api/playlist/detail?id=3779629&amp;n=100</x:v>
      </x:c>
      <x:c r="Z250" s="24" t="str">
        <x:f>IFERROR(VLOOKUP(F250,'07_字典与参数'!$A$5:$E$10,3,FALSE),"待映射")</x:f>
        <x:v>网易云音乐</x:v>
      </x:c>
      <x:c r="AA250" s="24" t="str">
        <x:f>IFERROR(VLOOKUP(F250,'07_字典与参数'!$A$5:$E$10,2,FALSE),"待映射")</x:f>
        <x:v>新歌榜</x:v>
      </x:c>
      <x:c r="AB250" s="24" t="str">
        <x:f>IFERROR(VLOOKUP(F250,'07_字典与参数'!$A$5:$E$10,4,FALSE),"待映射")</x:f>
        <x:v>每日</x:v>
      </x:c>
      <x:c r="AC250" s="24" t="str">
        <x:f>D250&amp;"|"&amp;F250&amp;"|"&amp;L250</x:f>
        <x:v>netease_cloud_music|new|3407932555</x:v>
      </x:c>
      <x:c r="AD250" s="24" t="str">
        <x:f>IF(J250&lt;=10,"是","否")</x:f>
        <x:v>否</x:v>
      </x:c>
      <x:c r="AE250" s="24" t="str">
        <x:f>IFERROR(YEAR(R250),"缺失")</x:f>
        <x:v>缺失</x:v>
      </x:c>
    </x:row>
    <x:row r="251">
      <x:c r="A251" t="str">
        <x:v>20260812T132133+0800</x:v>
      </x:c>
      <x:c r="B251" t="n">
        <x:v>46246.22329861111</x:v>
      </x:c>
      <x:c r="C251" t="str">
        <x:v>2026-08-12</x:v>
      </x:c>
      <x:c r="D251" t="str">
        <x:v>netease_cloud_music</x:v>
      </x:c>
      <x:c r="E251" t="str">
        <x:v>CN</x:v>
      </x:c>
      <x:c r="F251" t="str">
        <x:v>new</x:v>
      </x:c>
      <x:c r="G251" t="str">
        <x:v>新歌榜</x:v>
      </x:c>
      <x:c r="H251" t="str">
        <x:v>3779629</x:v>
      </x:c>
      <x:c r="I251" t="n">
        <x:v>100</x:v>
      </x:c>
      <x:c r="J251" t="n">
        <x:v>47</x:v>
      </x:c>
      <x:c r="K251" t="n">
        <x:v>54</x:v>
      </x:c>
      <x:c r="L251" t="str">
        <x:v>3413072224</x:v>
      </x:c>
      <x:c r="M251" t="str">
        <x:v>连烦恼也融入天空</x:v>
      </x:c>
      <x:c r="N251" t="str">
        <x:v>32540734 | 12093253 | 33350632</x:v>
      </x:c>
      <x:c r="O251" t="str">
        <x:v>塞壬唱片-MSR | F.L.O.A.T (白羽） | 张晶</x:v>
      </x:c>
      <x:c r="P251" t="str">
        <x:v>389627625</x:v>
      </x:c>
      <x:c r="Q251" t="str">
        <x:v>直到大地变成一颗酸橙OST</x:v>
      </x:c>
      <x:c r="R251" t="str">
        <x:v>2026-08-03</x:v>
      </x:c>
      <x:c r="S251" t="str"/>
      <x:c r="T251" t="n">
        <x:v>40</x:v>
      </x:c>
      <x:c r="U251" t="n">
        <x:v>-7</x:v>
      </x:c>
      <x:c r="V251" t="str">
        <x:v>https://music.163.com/song?id=3413072224</x:v>
      </x:c>
      <x:c r="W251" t="str">
        <x:v>http://p2.music.126.net/CynRt45ikTcMLhKRPC3WVA==/109951173656741133.jpg</x:v>
      </x:c>
      <x:c r="X251" t="str">
        <x:v>https://music.163.com/discover/toplist?id=3779629</x:v>
      </x:c>
      <x:c r="Y251" t="str">
        <x:v>https://music.163.com/api/playlist/detail?id=3779629&amp;n=100</x:v>
      </x:c>
      <x:c r="Z251" s="24" t="str">
        <x:f>IFERROR(VLOOKUP(F251,'07_字典与参数'!$A$5:$E$10,3,FALSE),"待映射")</x:f>
        <x:v>网易云音乐</x:v>
      </x:c>
      <x:c r="AA251" s="24" t="str">
        <x:f>IFERROR(VLOOKUP(F251,'07_字典与参数'!$A$5:$E$10,2,FALSE),"待映射")</x:f>
        <x:v>新歌榜</x:v>
      </x:c>
      <x:c r="AB251" s="24" t="str">
        <x:f>IFERROR(VLOOKUP(F251,'07_字典与参数'!$A$5:$E$10,4,FALSE),"待映射")</x:f>
        <x:v>每日</x:v>
      </x:c>
      <x:c r="AC251" s="24" t="str">
        <x:f>D251&amp;"|"&amp;F251&amp;"|"&amp;L251</x:f>
        <x:v>netease_cloud_music|new|3413072224</x:v>
      </x:c>
      <x:c r="AD251" s="24" t="str">
        <x:f>IF(J251&lt;=10,"是","否")</x:f>
        <x:v>否</x:v>
      </x:c>
      <x:c r="AE251" s="24" t="n">
        <x:f>IFERROR(YEAR(R251),"缺失")</x:f>
        <x:v>2026</x:v>
      </x:c>
    </x:row>
    <x:row r="252">
      <x:c r="A252" t="str">
        <x:v>20260812T132133+0800</x:v>
      </x:c>
      <x:c r="B252" t="n">
        <x:v>46246.22329861111</x:v>
      </x:c>
      <x:c r="C252" t="str">
        <x:v>2026-08-12</x:v>
      </x:c>
      <x:c r="D252" t="str">
        <x:v>netease_cloud_music</x:v>
      </x:c>
      <x:c r="E252" t="str">
        <x:v>CN</x:v>
      </x:c>
      <x:c r="F252" t="str">
        <x:v>new</x:v>
      </x:c>
      <x:c r="G252" t="str">
        <x:v>新歌榜</x:v>
      </x:c>
      <x:c r="H252" t="str">
        <x:v>3779629</x:v>
      </x:c>
      <x:c r="I252" t="n">
        <x:v>100</x:v>
      </x:c>
      <x:c r="J252" t="n">
        <x:v>48</x:v>
      </x:c>
      <x:c r="K252" t="n">
        <x:v>53</x:v>
      </x:c>
      <x:c r="L252" t="str">
        <x:v>3417782581</x:v>
      </x:c>
      <x:c r="M252" t="str">
        <x:v>Still</x:v>
      </x:c>
      <x:c r="N252" t="str">
        <x:v>1087168 | 178059</x:v>
      </x:c>
      <x:c r="O252" t="str">
        <x:v>KAROL G | Bruno Mars</x:v>
      </x:c>
      <x:c r="P252" t="str">
        <x:v>391304970</x:v>
      </x:c>
      <x:c r="Q252" t="str">
        <x:v>NO ME ARREPIENTO DE SENTIR TANTO</x:v>
      </x:c>
      <x:c r="R252" t="str">
        <x:v>2026-08-07</x:v>
      </x:c>
      <x:c r="S252" t="str"/>
      <x:c r="T252" t="n">
        <x:v>64</x:v>
      </x:c>
      <x:c r="U252" t="n">
        <x:v>16</x:v>
      </x:c>
      <x:c r="V252" t="str">
        <x:v>https://music.163.com/song?id=3417782581</x:v>
      </x:c>
      <x:c r="W252" t="str">
        <x:v>http://p2.music.126.net/M6XUJHIuBbTVoAR_7k6EnQ==/109951173710489068.jpg</x:v>
      </x:c>
      <x:c r="X252" t="str">
        <x:v>https://music.163.com/discover/toplist?id=3779629</x:v>
      </x:c>
      <x:c r="Y252" t="str">
        <x:v>https://music.163.com/api/playlist/detail?id=3779629&amp;n=100</x:v>
      </x:c>
      <x:c r="Z252" s="24" t="str">
        <x:f>IFERROR(VLOOKUP(F252,'07_字典与参数'!$A$5:$E$10,3,FALSE),"待映射")</x:f>
        <x:v>网易云音乐</x:v>
      </x:c>
      <x:c r="AA252" s="24" t="str">
        <x:f>IFERROR(VLOOKUP(F252,'07_字典与参数'!$A$5:$E$10,2,FALSE),"待映射")</x:f>
        <x:v>新歌榜</x:v>
      </x:c>
      <x:c r="AB252" s="24" t="str">
        <x:f>IFERROR(VLOOKUP(F252,'07_字典与参数'!$A$5:$E$10,4,FALSE),"待映射")</x:f>
        <x:v>每日</x:v>
      </x:c>
      <x:c r="AC252" s="24" t="str">
        <x:f>D252&amp;"|"&amp;F252&amp;"|"&amp;L252</x:f>
        <x:v>netease_cloud_music|new|3417782581</x:v>
      </x:c>
      <x:c r="AD252" s="24" t="str">
        <x:f>IF(J252&lt;=10,"是","否")</x:f>
        <x:v>否</x:v>
      </x:c>
      <x:c r="AE252" s="24" t="n">
        <x:f>IFERROR(YEAR(R252),"缺失")</x:f>
        <x:v>2026</x:v>
      </x:c>
    </x:row>
    <x:row r="253">
      <x:c r="A253" t="str">
        <x:v>20260812T132133+0800</x:v>
      </x:c>
      <x:c r="B253" t="n">
        <x:v>46246.22329861111</x:v>
      </x:c>
      <x:c r="C253" t="str">
        <x:v>2026-08-12</x:v>
      </x:c>
      <x:c r="D253" t="str">
        <x:v>netease_cloud_music</x:v>
      </x:c>
      <x:c r="E253" t="str">
        <x:v>CN</x:v>
      </x:c>
      <x:c r="F253" t="str">
        <x:v>new</x:v>
      </x:c>
      <x:c r="G253" t="str">
        <x:v>新歌榜</x:v>
      </x:c>
      <x:c r="H253" t="str">
        <x:v>3779629</x:v>
      </x:c>
      <x:c r="I253" t="n">
        <x:v>100</x:v>
      </x:c>
      <x:c r="J253" t="n">
        <x:v>49</x:v>
      </x:c>
      <x:c r="K253" t="n">
        <x:v>52</x:v>
      </x:c>
      <x:c r="L253" t="str">
        <x:v>3410245484</x:v>
      </x:c>
      <x:c r="M253" t="str">
        <x:v>Cousin</x:v>
      </x:c>
      <x:c r="N253" t="str">
        <x:v>14117457</x:v>
      </x:c>
      <x:c r="O253" t="str">
        <x:v>SASIOVERLXRD</x:v>
      </x:c>
      <x:c r="P253" t="str">
        <x:v>388196110</x:v>
      </x:c>
      <x:c r="Q253" t="str">
        <x:v>赫鬼</x:v>
      </x:c>
      <x:c r="R253" t="str"/>
      <x:c r="S253" t="str"/>
      <x:c r="T253" t="n">
        <x:v>45</x:v>
      </x:c>
      <x:c r="U253" t="n">
        <x:v>-4</x:v>
      </x:c>
      <x:c r="V253" t="str">
        <x:v>https://music.163.com/song?id=3410245484</x:v>
      </x:c>
      <x:c r="W253" t="str">
        <x:v>http://p2.music.126.net/MEx8J6j2mntRha2stE7xlA==/109951173603999384.jpg</x:v>
      </x:c>
      <x:c r="X253" t="str">
        <x:v>https://music.163.com/discover/toplist?id=3779629</x:v>
      </x:c>
      <x:c r="Y253" t="str">
        <x:v>https://music.163.com/api/playlist/detail?id=3779629&amp;n=100</x:v>
      </x:c>
      <x:c r="Z253" s="24" t="str">
        <x:f>IFERROR(VLOOKUP(F253,'07_字典与参数'!$A$5:$E$10,3,FALSE),"待映射")</x:f>
        <x:v>网易云音乐</x:v>
      </x:c>
      <x:c r="AA253" s="24" t="str">
        <x:f>IFERROR(VLOOKUP(F253,'07_字典与参数'!$A$5:$E$10,2,FALSE),"待映射")</x:f>
        <x:v>新歌榜</x:v>
      </x:c>
      <x:c r="AB253" s="24" t="str">
        <x:f>IFERROR(VLOOKUP(F253,'07_字典与参数'!$A$5:$E$10,4,FALSE),"待映射")</x:f>
        <x:v>每日</x:v>
      </x:c>
      <x:c r="AC253" s="24" t="str">
        <x:f>D253&amp;"|"&amp;F253&amp;"|"&amp;L253</x:f>
        <x:v>netease_cloud_music|new|3410245484</x:v>
      </x:c>
      <x:c r="AD253" s="24" t="str">
        <x:f>IF(J253&lt;=10,"是","否")</x:f>
        <x:v>否</x:v>
      </x:c>
      <x:c r="AE253" s="24" t="str">
        <x:f>IFERROR(YEAR(R253),"缺失")</x:f>
        <x:v>缺失</x:v>
      </x:c>
    </x:row>
    <x:row r="254">
      <x:c r="A254" t="str">
        <x:v>20260812T132133+0800</x:v>
      </x:c>
      <x:c r="B254" t="n">
        <x:v>46246.22329861111</x:v>
      </x:c>
      <x:c r="C254" t="str">
        <x:v>2026-08-12</x:v>
      </x:c>
      <x:c r="D254" t="str">
        <x:v>netease_cloud_music</x:v>
      </x:c>
      <x:c r="E254" t="str">
        <x:v>CN</x:v>
      </x:c>
      <x:c r="F254" t="str">
        <x:v>new</x:v>
      </x:c>
      <x:c r="G254" t="str">
        <x:v>新歌榜</x:v>
      </x:c>
      <x:c r="H254" t="str">
        <x:v>3779629</x:v>
      </x:c>
      <x:c r="I254" t="n">
        <x:v>100</x:v>
      </x:c>
      <x:c r="J254" t="n">
        <x:v>50</x:v>
      </x:c>
      <x:c r="K254" t="n">
        <x:v>51</x:v>
      </x:c>
      <x:c r="L254" t="str">
        <x:v>3416373898</x:v>
      </x:c>
      <x:c r="M254" t="str">
        <x:v>RAP4</x:v>
      </x:c>
      <x:c r="N254" t="str">
        <x:v>12094558 | 865007</x:v>
      </x:c>
      <x:c r="O254" t="str">
        <x:v>Buzzy | 法老</x:v>
      </x:c>
      <x:c r="P254" t="str">
        <x:v>390736008</x:v>
      </x:c>
      <x:c r="Q254" t="str">
        <x:v>RAP4</x:v>
      </x:c>
      <x:c r="R254" t="str"/>
      <x:c r="S254" t="str"/>
      <x:c r="T254" t="n">
        <x:v>61</x:v>
      </x:c>
      <x:c r="U254" t="n">
        <x:v>11</x:v>
      </x:c>
      <x:c r="V254" t="str">
        <x:v>https://music.163.com/song?id=3416373898</x:v>
      </x:c>
      <x:c r="W254" t="str">
        <x:v>http://p2.music.126.net/Jy7TvlkSqb3nomdc0gW0zQ==/109951173706047145.jpg</x:v>
      </x:c>
      <x:c r="X254" t="str">
        <x:v>https://music.163.com/discover/toplist?id=3779629</x:v>
      </x:c>
      <x:c r="Y254" t="str">
        <x:v>https://music.163.com/api/playlist/detail?id=3779629&amp;n=100</x:v>
      </x:c>
      <x:c r="Z254" s="24" t="str">
        <x:f>IFERROR(VLOOKUP(F254,'07_字典与参数'!$A$5:$E$10,3,FALSE),"待映射")</x:f>
        <x:v>网易云音乐</x:v>
      </x:c>
      <x:c r="AA254" s="24" t="str">
        <x:f>IFERROR(VLOOKUP(F254,'07_字典与参数'!$A$5:$E$10,2,FALSE),"待映射")</x:f>
        <x:v>新歌榜</x:v>
      </x:c>
      <x:c r="AB254" s="24" t="str">
        <x:f>IFERROR(VLOOKUP(F254,'07_字典与参数'!$A$5:$E$10,4,FALSE),"待映射")</x:f>
        <x:v>每日</x:v>
      </x:c>
      <x:c r="AC254" s="24" t="str">
        <x:f>D254&amp;"|"&amp;F254&amp;"|"&amp;L254</x:f>
        <x:v>netease_cloud_music|new|3416373898</x:v>
      </x:c>
      <x:c r="AD254" s="24" t="str">
        <x:f>IF(J254&lt;=10,"是","否")</x:f>
        <x:v>否</x:v>
      </x:c>
      <x:c r="AE254" s="24" t="str">
        <x:f>IFERROR(YEAR(R254),"缺失")</x:f>
        <x:v>缺失</x:v>
      </x:c>
    </x:row>
    <x:row r="255">
      <x:c r="A255" t="str">
        <x:v>20260812T132133+0800</x:v>
      </x:c>
      <x:c r="B255" t="n">
        <x:v>46246.22329861111</x:v>
      </x:c>
      <x:c r="C255" t="str">
        <x:v>2026-08-12</x:v>
      </x:c>
      <x:c r="D255" t="str">
        <x:v>netease_cloud_music</x:v>
      </x:c>
      <x:c r="E255" t="str">
        <x:v>CN</x:v>
      </x:c>
      <x:c r="F255" t="str">
        <x:v>new</x:v>
      </x:c>
      <x:c r="G255" t="str">
        <x:v>新歌榜</x:v>
      </x:c>
      <x:c r="H255" t="str">
        <x:v>3779629</x:v>
      </x:c>
      <x:c r="I255" t="n">
        <x:v>100</x:v>
      </x:c>
      <x:c r="J255" t="n">
        <x:v>51</x:v>
      </x:c>
      <x:c r="K255" t="n">
        <x:v>50</x:v>
      </x:c>
      <x:c r="L255" t="str">
        <x:v>3412604617</x:v>
      </x:c>
      <x:c r="M255" t="str">
        <x:v>street angel（piano version）</x:v>
      </x:c>
      <x:c r="N255" t="str">
        <x:v>37125681 | 51265187</x:v>
      </x:c>
      <x:c r="O255" t="str">
        <x:v>Young Cash Jason | INDEcompany</x:v>
      </x:c>
      <x:c r="P255" t="str">
        <x:v>389463819</x:v>
      </x:c>
      <x:c r="Q255" t="str">
        <x:v>Ain’t Enough</x:v>
      </x:c>
      <x:c r="R255" t="str">
        <x:v>2026-07-31</x:v>
      </x:c>
      <x:c r="S255" t="str"/>
      <x:c r="T255" t="n">
        <x:v>55</x:v>
      </x:c>
      <x:c r="U255" t="n">
        <x:v>4</x:v>
      </x:c>
      <x:c r="V255" t="str">
        <x:v>https://music.163.com/song?id=3412604617</x:v>
      </x:c>
      <x:c r="W255" t="str">
        <x:v>http://p2.music.126.net/hgkEcEydIA6SjM6fiTDM6g==/109951173652197760.jpg</x:v>
      </x:c>
      <x:c r="X255" t="str">
        <x:v>https://music.163.com/discover/toplist?id=3779629</x:v>
      </x:c>
      <x:c r="Y255" t="str">
        <x:v>https://music.163.com/api/playlist/detail?id=3779629&amp;n=100</x:v>
      </x:c>
      <x:c r="Z255" s="24" t="str">
        <x:f>IFERROR(VLOOKUP(F255,'07_字典与参数'!$A$5:$E$10,3,FALSE),"待映射")</x:f>
        <x:v>网易云音乐</x:v>
      </x:c>
      <x:c r="AA255" s="24" t="str">
        <x:f>IFERROR(VLOOKUP(F255,'07_字典与参数'!$A$5:$E$10,2,FALSE),"待映射")</x:f>
        <x:v>新歌榜</x:v>
      </x:c>
      <x:c r="AB255" s="24" t="str">
        <x:f>IFERROR(VLOOKUP(F255,'07_字典与参数'!$A$5:$E$10,4,FALSE),"待映射")</x:f>
        <x:v>每日</x:v>
      </x:c>
      <x:c r="AC255" s="24" t="str">
        <x:f>D255&amp;"|"&amp;F255&amp;"|"&amp;L255</x:f>
        <x:v>netease_cloud_music|new|3412604617</x:v>
      </x:c>
      <x:c r="AD255" s="24" t="str">
        <x:f>IF(J255&lt;=10,"是","否")</x:f>
        <x:v>否</x:v>
      </x:c>
      <x:c r="AE255" s="24" t="n">
        <x:f>IFERROR(YEAR(R255),"缺失")</x:f>
        <x:v>2026</x:v>
      </x:c>
    </x:row>
    <x:row r="256">
      <x:c r="A256" t="str">
        <x:v>20260812T132133+0800</x:v>
      </x:c>
      <x:c r="B256" t="n">
        <x:v>46246.22329861111</x:v>
      </x:c>
      <x:c r="C256" t="str">
        <x:v>2026-08-12</x:v>
      </x:c>
      <x:c r="D256" t="str">
        <x:v>netease_cloud_music</x:v>
      </x:c>
      <x:c r="E256" t="str">
        <x:v>CN</x:v>
      </x:c>
      <x:c r="F256" t="str">
        <x:v>new</x:v>
      </x:c>
      <x:c r="G256" t="str">
        <x:v>新歌榜</x:v>
      </x:c>
      <x:c r="H256" t="str">
        <x:v>3779629</x:v>
      </x:c>
      <x:c r="I256" t="n">
        <x:v>100</x:v>
      </x:c>
      <x:c r="J256" t="n">
        <x:v>52</x:v>
      </x:c>
      <x:c r="K256" t="n">
        <x:v>49</x:v>
      </x:c>
      <x:c r="L256" t="str">
        <x:v>3413072220</x:v>
      </x:c>
      <x:c r="M256" t="str">
        <x:v>直到大地变成一颗酸橙</x:v>
      </x:c>
      <x:c r="N256" t="str">
        <x:v>32540734 |  | 51126686 | 12009147</x:v>
      </x:c>
      <x:c r="O256" t="str">
        <x:v>塞壬唱片-MSR | 平林佑人 | 星熊南巫 | Earthists.</x:v>
      </x:c>
      <x:c r="P256" t="str">
        <x:v>389627625</x:v>
      </x:c>
      <x:c r="Q256" t="str">
        <x:v>直到大地变成一颗酸橙OST</x:v>
      </x:c>
      <x:c r="R256" t="str">
        <x:v>2026-08-03</x:v>
      </x:c>
      <x:c r="S256" t="str"/>
      <x:c r="T256" t="n">
        <x:v>49</x:v>
      </x:c>
      <x:c r="U256" t="n">
        <x:v>-3</x:v>
      </x:c>
      <x:c r="V256" t="str">
        <x:v>https://music.163.com/song?id=3413072220</x:v>
      </x:c>
      <x:c r="W256" t="str">
        <x:v>http://p2.music.126.net/CynRt45ikTcMLhKRPC3WVA==/109951173656741133.jpg</x:v>
      </x:c>
      <x:c r="X256" t="str">
        <x:v>https://music.163.com/discover/toplist?id=3779629</x:v>
      </x:c>
      <x:c r="Y256" t="str">
        <x:v>https://music.163.com/api/playlist/detail?id=3779629&amp;n=100</x:v>
      </x:c>
      <x:c r="Z256" s="24" t="str">
        <x:f>IFERROR(VLOOKUP(F256,'07_字典与参数'!$A$5:$E$10,3,FALSE),"待映射")</x:f>
        <x:v>网易云音乐</x:v>
      </x:c>
      <x:c r="AA256" s="24" t="str">
        <x:f>IFERROR(VLOOKUP(F256,'07_字典与参数'!$A$5:$E$10,2,FALSE),"待映射")</x:f>
        <x:v>新歌榜</x:v>
      </x:c>
      <x:c r="AB256" s="24" t="str">
        <x:f>IFERROR(VLOOKUP(F256,'07_字典与参数'!$A$5:$E$10,4,FALSE),"待映射")</x:f>
        <x:v>每日</x:v>
      </x:c>
      <x:c r="AC256" s="24" t="str">
        <x:f>D256&amp;"|"&amp;F256&amp;"|"&amp;L256</x:f>
        <x:v>netease_cloud_music|new|3413072220</x:v>
      </x:c>
      <x:c r="AD256" s="24" t="str">
        <x:f>IF(J256&lt;=10,"是","否")</x:f>
        <x:v>否</x:v>
      </x:c>
      <x:c r="AE256" s="24" t="n">
        <x:f>IFERROR(YEAR(R256),"缺失")</x:f>
        <x:v>2026</x:v>
      </x:c>
    </x:row>
    <x:row r="257">
      <x:c r="A257" t="str">
        <x:v>20260812T132133+0800</x:v>
      </x:c>
      <x:c r="B257" t="n">
        <x:v>46246.22329861111</x:v>
      </x:c>
      <x:c r="C257" t="str">
        <x:v>2026-08-12</x:v>
      </x:c>
      <x:c r="D257" t="str">
        <x:v>netease_cloud_music</x:v>
      </x:c>
      <x:c r="E257" t="str">
        <x:v>CN</x:v>
      </x:c>
      <x:c r="F257" t="str">
        <x:v>new</x:v>
      </x:c>
      <x:c r="G257" t="str">
        <x:v>新歌榜</x:v>
      </x:c>
      <x:c r="H257" t="str">
        <x:v>3779629</x:v>
      </x:c>
      <x:c r="I257" t="n">
        <x:v>100</x:v>
      </x:c>
      <x:c r="J257" t="n">
        <x:v>53</x:v>
      </x:c>
      <x:c r="K257" t="n">
        <x:v>48</x:v>
      </x:c>
      <x:c r="L257" t="str">
        <x:v>3409587855</x:v>
      </x:c>
      <x:c r="M257" t="str">
        <x:v>WET</x:v>
      </x:c>
      <x:c r="N257" t="str">
        <x:v>124487</x:v>
      </x:c>
      <x:c r="O257" t="str">
        <x:v>J.Y. Park</x:v>
      </x:c>
      <x:c r="P257" t="str">
        <x:v>388319464</x:v>
      </x:c>
      <x:c r="Q257" t="str">
        <x:v>WET</x:v>
      </x:c>
      <x:c r="R257" t="str"/>
      <x:c r="S257" t="str"/>
      <x:c r="T257" t="n">
        <x:v>53</x:v>
      </x:c>
      <x:c r="U257" t="n">
        <x:v>0</x:v>
      </x:c>
      <x:c r="V257" t="str">
        <x:v>https://music.163.com/song?id=3409587855</x:v>
      </x:c>
      <x:c r="W257" t="str">
        <x:v>http://p2.music.126.net/Y2I4JzvSlLneN2EcKy0WtQ==/109951173610025850.jpg</x:v>
      </x:c>
      <x:c r="X257" t="str">
        <x:v>https://music.163.com/discover/toplist?id=3779629</x:v>
      </x:c>
      <x:c r="Y257" t="str">
        <x:v>https://music.163.com/api/playlist/detail?id=3779629&amp;n=100</x:v>
      </x:c>
      <x:c r="Z257" s="24" t="str">
        <x:f>IFERROR(VLOOKUP(F257,'07_字典与参数'!$A$5:$E$10,3,FALSE),"待映射")</x:f>
        <x:v>网易云音乐</x:v>
      </x:c>
      <x:c r="AA257" s="24" t="str">
        <x:f>IFERROR(VLOOKUP(F257,'07_字典与参数'!$A$5:$E$10,2,FALSE),"待映射")</x:f>
        <x:v>新歌榜</x:v>
      </x:c>
      <x:c r="AB257" s="24" t="str">
        <x:f>IFERROR(VLOOKUP(F257,'07_字典与参数'!$A$5:$E$10,4,FALSE),"待映射")</x:f>
        <x:v>每日</x:v>
      </x:c>
      <x:c r="AC257" s="24" t="str">
        <x:f>D257&amp;"|"&amp;F257&amp;"|"&amp;L257</x:f>
        <x:v>netease_cloud_music|new|3409587855</x:v>
      </x:c>
      <x:c r="AD257" s="24" t="str">
        <x:f>IF(J257&lt;=10,"是","否")</x:f>
        <x:v>否</x:v>
      </x:c>
      <x:c r="AE257" s="24" t="str">
        <x:f>IFERROR(YEAR(R257),"缺失")</x:f>
        <x:v>缺失</x:v>
      </x:c>
    </x:row>
    <x:row r="258">
      <x:c r="A258" t="str">
        <x:v>20260812T132133+0800</x:v>
      </x:c>
      <x:c r="B258" t="n">
        <x:v>46246.22329861111</x:v>
      </x:c>
      <x:c r="C258" t="str">
        <x:v>2026-08-12</x:v>
      </x:c>
      <x:c r="D258" t="str">
        <x:v>netease_cloud_music</x:v>
      </x:c>
      <x:c r="E258" t="str">
        <x:v>CN</x:v>
      </x:c>
      <x:c r="F258" t="str">
        <x:v>new</x:v>
      </x:c>
      <x:c r="G258" t="str">
        <x:v>新歌榜</x:v>
      </x:c>
      <x:c r="H258" t="str">
        <x:v>3779629</x:v>
      </x:c>
      <x:c r="I258" t="n">
        <x:v>100</x:v>
      </x:c>
      <x:c r="J258" t="n">
        <x:v>54</x:v>
      </x:c>
      <x:c r="K258" t="n">
        <x:v>47</x:v>
      </x:c>
      <x:c r="L258" t="str">
        <x:v>3414273115</x:v>
      </x:c>
      <x:c r="M258" t="str">
        <x:v>oh well</x:v>
      </x:c>
      <x:c r="N258" t="str">
        <x:v>48161</x:v>
      </x:c>
      <x:c r="O258" t="str">
        <x:v>Ariana Grande</x:v>
      </x:c>
      <x:c r="P258" t="str">
        <x:v>390031118</x:v>
      </x:c>
      <x:c r="Q258" t="str">
        <x:v>petal</x:v>
      </x:c>
      <x:c r="R258" t="str">
        <x:v>2026-07-31</x:v>
      </x:c>
      <x:c r="S258" t="str"/>
      <x:c r="T258" t="n">
        <x:v>36</x:v>
      </x:c>
      <x:c r="U258" t="n">
        <x:v>-18</x:v>
      </x:c>
      <x:c r="V258" t="str">
        <x:v>https://music.163.com/song?id=3414273115</x:v>
      </x:c>
      <x:c r="W258" t="str">
        <x:v>http://p2.music.126.net/eVZhj8MsxGhjbmTDVZVORQ==/109951173670280784.jpg</x:v>
      </x:c>
      <x:c r="X258" t="str">
        <x:v>https://music.163.com/discover/toplist?id=3779629</x:v>
      </x:c>
      <x:c r="Y258" t="str">
        <x:v>https://music.163.com/api/playlist/detail?id=3779629&amp;n=100</x:v>
      </x:c>
      <x:c r="Z258" s="24" t="str">
        <x:f>IFERROR(VLOOKUP(F258,'07_字典与参数'!$A$5:$E$10,3,FALSE),"待映射")</x:f>
        <x:v>网易云音乐</x:v>
      </x:c>
      <x:c r="AA258" s="24" t="str">
        <x:f>IFERROR(VLOOKUP(F258,'07_字典与参数'!$A$5:$E$10,2,FALSE),"待映射")</x:f>
        <x:v>新歌榜</x:v>
      </x:c>
      <x:c r="AB258" s="24" t="str">
        <x:f>IFERROR(VLOOKUP(F258,'07_字典与参数'!$A$5:$E$10,4,FALSE),"待映射")</x:f>
        <x:v>每日</x:v>
      </x:c>
      <x:c r="AC258" s="24" t="str">
        <x:f>D258&amp;"|"&amp;F258&amp;"|"&amp;L258</x:f>
        <x:v>netease_cloud_music|new|3414273115</x:v>
      </x:c>
      <x:c r="AD258" s="24" t="str">
        <x:f>IF(J258&lt;=10,"是","否")</x:f>
        <x:v>否</x:v>
      </x:c>
      <x:c r="AE258" s="24" t="n">
        <x:f>IFERROR(YEAR(R258),"缺失")</x:f>
        <x:v>2026</x:v>
      </x:c>
    </x:row>
    <x:row r="259">
      <x:c r="A259" t="str">
        <x:v>20260812T132133+0800</x:v>
      </x:c>
      <x:c r="B259" t="n">
        <x:v>46246.22329861111</x:v>
      </x:c>
      <x:c r="C259" t="str">
        <x:v>2026-08-12</x:v>
      </x:c>
      <x:c r="D259" t="str">
        <x:v>netease_cloud_music</x:v>
      </x:c>
      <x:c r="E259" t="str">
        <x:v>CN</x:v>
      </x:c>
      <x:c r="F259" t="str">
        <x:v>new</x:v>
      </x:c>
      <x:c r="G259" t="str">
        <x:v>新歌榜</x:v>
      </x:c>
      <x:c r="H259" t="str">
        <x:v>3779629</x:v>
      </x:c>
      <x:c r="I259" t="n">
        <x:v>100</x:v>
      </x:c>
      <x:c r="J259" t="n">
        <x:v>55</x:v>
      </x:c>
      <x:c r="K259" t="n">
        <x:v>46</x:v>
      </x:c>
      <x:c r="L259" t="str">
        <x:v>3416093943</x:v>
      </x:c>
      <x:c r="M259" t="str">
        <x:v>代偿</x:v>
      </x:c>
      <x:c r="N259" t="str">
        <x:v>99641900</x:v>
      </x:c>
      <x:c r="O259" t="str">
        <x:v>巧莫</x:v>
      </x:c>
      <x:c r="P259" t="str">
        <x:v>390563690</x:v>
      </x:c>
      <x:c r="Q259" t="str">
        <x:v>代偿</x:v>
      </x:c>
      <x:c r="R259" t="str"/>
      <x:c r="S259" t="str"/>
      <x:c r="T259"/>
      <x:c r="U259"/>
      <x:c r="V259" t="str">
        <x:v>https://music.163.com/song?id=3416093943</x:v>
      </x:c>
      <x:c r="W259" t="str">
        <x:v>http://p2.music.126.net/uC4ek_6_frLyXayYEF7y8g==/109951173690218295.jpg</x:v>
      </x:c>
      <x:c r="X259" t="str">
        <x:v>https://music.163.com/discover/toplist?id=3779629</x:v>
      </x:c>
      <x:c r="Y259" t="str">
        <x:v>https://music.163.com/api/playlist/detail?id=3779629&amp;n=100</x:v>
      </x:c>
      <x:c r="Z259" s="24" t="str">
        <x:f>IFERROR(VLOOKUP(F259,'07_字典与参数'!$A$5:$E$10,3,FALSE),"待映射")</x:f>
        <x:v>网易云音乐</x:v>
      </x:c>
      <x:c r="AA259" s="24" t="str">
        <x:f>IFERROR(VLOOKUP(F259,'07_字典与参数'!$A$5:$E$10,2,FALSE),"待映射")</x:f>
        <x:v>新歌榜</x:v>
      </x:c>
      <x:c r="AB259" s="24" t="str">
        <x:f>IFERROR(VLOOKUP(F259,'07_字典与参数'!$A$5:$E$10,4,FALSE),"待映射")</x:f>
        <x:v>每日</x:v>
      </x:c>
      <x:c r="AC259" s="24" t="str">
        <x:f>D259&amp;"|"&amp;F259&amp;"|"&amp;L259</x:f>
        <x:v>netease_cloud_music|new|3416093943</x:v>
      </x:c>
      <x:c r="AD259" s="24" t="str">
        <x:f>IF(J259&lt;=10,"是","否")</x:f>
        <x:v>否</x:v>
      </x:c>
      <x:c r="AE259" s="24" t="str">
        <x:f>IFERROR(YEAR(R259),"缺失")</x:f>
        <x:v>缺失</x:v>
      </x:c>
    </x:row>
    <x:row r="260">
      <x:c r="A260" t="str">
        <x:v>20260812T132133+0800</x:v>
      </x:c>
      <x:c r="B260" t="n">
        <x:v>46246.22329861111</x:v>
      </x:c>
      <x:c r="C260" t="str">
        <x:v>2026-08-12</x:v>
      </x:c>
      <x:c r="D260" t="str">
        <x:v>netease_cloud_music</x:v>
      </x:c>
      <x:c r="E260" t="str">
        <x:v>CN</x:v>
      </x:c>
      <x:c r="F260" t="str">
        <x:v>new</x:v>
      </x:c>
      <x:c r="G260" t="str">
        <x:v>新歌榜</x:v>
      </x:c>
      <x:c r="H260" t="str">
        <x:v>3779629</x:v>
      </x:c>
      <x:c r="I260" t="n">
        <x:v>100</x:v>
      </x:c>
      <x:c r="J260" t="n">
        <x:v>56</x:v>
      </x:c>
      <x:c r="K260" t="n">
        <x:v>45</x:v>
      </x:c>
      <x:c r="L260" t="str">
        <x:v>3413660014</x:v>
      </x:c>
      <x:c r="M260" t="str">
        <x:v>if you</x:v>
      </x:c>
      <x:c r="N260" t="str">
        <x:v>94514109 | 98724675</x:v>
      </x:c>
      <x:c r="O260" t="str">
        <x:v>Kyle衫子 | WHICHWAY_MUSIC</x:v>
      </x:c>
      <x:c r="P260" t="str">
        <x:v>389826922</x:v>
      </x:c>
      <x:c r="Q260" t="str">
        <x:v>if you</x:v>
      </x:c>
      <x:c r="R260" t="str">
        <x:v>2026-08-02</x:v>
      </x:c>
      <x:c r="S260" t="str"/>
      <x:c r="T260"/>
      <x:c r="U260"/>
      <x:c r="V260" t="str">
        <x:v>https://music.163.com/song?id=3413660014</x:v>
      </x:c>
      <x:c r="W260" t="str">
        <x:v>http://p2.music.126.net/RZg4gNkwbnQWNTEGa2fGSw==/109951173662654043.jpg</x:v>
      </x:c>
      <x:c r="X260" t="str">
        <x:v>https://music.163.com/discover/toplist?id=3779629</x:v>
      </x:c>
      <x:c r="Y260" t="str">
        <x:v>https://music.163.com/api/playlist/detail?id=3779629&amp;n=100</x:v>
      </x:c>
      <x:c r="Z260" s="24" t="str">
        <x:f>IFERROR(VLOOKUP(F260,'07_字典与参数'!$A$5:$E$10,3,FALSE),"待映射")</x:f>
        <x:v>网易云音乐</x:v>
      </x:c>
      <x:c r="AA260" s="24" t="str">
        <x:f>IFERROR(VLOOKUP(F260,'07_字典与参数'!$A$5:$E$10,2,FALSE),"待映射")</x:f>
        <x:v>新歌榜</x:v>
      </x:c>
      <x:c r="AB260" s="24" t="str">
        <x:f>IFERROR(VLOOKUP(F260,'07_字典与参数'!$A$5:$E$10,4,FALSE),"待映射")</x:f>
        <x:v>每日</x:v>
      </x:c>
      <x:c r="AC260" s="24" t="str">
        <x:f>D260&amp;"|"&amp;F260&amp;"|"&amp;L260</x:f>
        <x:v>netease_cloud_music|new|3413660014</x:v>
      </x:c>
      <x:c r="AD260" s="24" t="str">
        <x:f>IF(J260&lt;=10,"是","否")</x:f>
        <x:v>否</x:v>
      </x:c>
      <x:c r="AE260" s="24" t="n">
        <x:f>IFERROR(YEAR(R260),"缺失")</x:f>
        <x:v>2026</x:v>
      </x:c>
    </x:row>
    <x:row r="261">
      <x:c r="A261" t="str">
        <x:v>20260812T132133+0800</x:v>
      </x:c>
      <x:c r="B261" t="n">
        <x:v>46246.22329861111</x:v>
      </x:c>
      <x:c r="C261" t="str">
        <x:v>2026-08-12</x:v>
      </x:c>
      <x:c r="D261" t="str">
        <x:v>netease_cloud_music</x:v>
      </x:c>
      <x:c r="E261" t="str">
        <x:v>CN</x:v>
      </x:c>
      <x:c r="F261" t="str">
        <x:v>new</x:v>
      </x:c>
      <x:c r="G261" t="str">
        <x:v>新歌榜</x:v>
      </x:c>
      <x:c r="H261" t="str">
        <x:v>3779629</x:v>
      </x:c>
      <x:c r="I261" t="n">
        <x:v>100</x:v>
      </x:c>
      <x:c r="J261" t="n">
        <x:v>57</x:v>
      </x:c>
      <x:c r="K261" t="n">
        <x:v>44</x:v>
      </x:c>
      <x:c r="L261" t="str">
        <x:v>3407932370</x:v>
      </x:c>
      <x:c r="M261" t="str">
        <x:v>嘿陈会计 (Live)</x:v>
      </x:c>
      <x:c r="N261" t="str">
        <x:v>12563131</x:v>
      </x:c>
      <x:c r="O261" t="str">
        <x:v>Rapeter</x:v>
      </x:c>
      <x:c r="P261" t="str">
        <x:v>387602202</x:v>
      </x:c>
      <x:c r="Q261" t="str">
        <x:v>说唱巅峰对决2026 第四期</x:v>
      </x:c>
      <x:c r="R261" t="str"/>
      <x:c r="S261" t="str"/>
      <x:c r="T261" t="n">
        <x:v>57</x:v>
      </x:c>
      <x:c r="U261" t="n">
        <x:v>0</x:v>
      </x:c>
      <x:c r="V261" t="str">
        <x:v>https://music.163.com/song?id=3407932370</x:v>
      </x:c>
      <x:c r="W261" t="str">
        <x:v>http://p2.music.126.net/gsC98aHFTOS0Jn2QMdp-dw==/109951173580334778.jpg</x:v>
      </x:c>
      <x:c r="X261" t="str">
        <x:v>https://music.163.com/discover/toplist?id=3779629</x:v>
      </x:c>
      <x:c r="Y261" t="str">
        <x:v>https://music.163.com/api/playlist/detail?id=3779629&amp;n=100</x:v>
      </x:c>
      <x:c r="Z261" s="24" t="str">
        <x:f>IFERROR(VLOOKUP(F261,'07_字典与参数'!$A$5:$E$10,3,FALSE),"待映射")</x:f>
        <x:v>网易云音乐</x:v>
      </x:c>
      <x:c r="AA261" s="24" t="str">
        <x:f>IFERROR(VLOOKUP(F261,'07_字典与参数'!$A$5:$E$10,2,FALSE),"待映射")</x:f>
        <x:v>新歌榜</x:v>
      </x:c>
      <x:c r="AB261" s="24" t="str">
        <x:f>IFERROR(VLOOKUP(F261,'07_字典与参数'!$A$5:$E$10,4,FALSE),"待映射")</x:f>
        <x:v>每日</x:v>
      </x:c>
      <x:c r="AC261" s="24" t="str">
        <x:f>D261&amp;"|"&amp;F261&amp;"|"&amp;L261</x:f>
        <x:v>netease_cloud_music|new|3407932370</x:v>
      </x:c>
      <x:c r="AD261" s="24" t="str">
        <x:f>IF(J261&lt;=10,"是","否")</x:f>
        <x:v>否</x:v>
      </x:c>
      <x:c r="AE261" s="24" t="str">
        <x:f>IFERROR(YEAR(R261),"缺失")</x:f>
        <x:v>缺失</x:v>
      </x:c>
    </x:row>
    <x:row r="262">
      <x:c r="A262" t="str">
        <x:v>20260812T132133+0800</x:v>
      </x:c>
      <x:c r="B262" t="n">
        <x:v>46246.22329861111</x:v>
      </x:c>
      <x:c r="C262" t="str">
        <x:v>2026-08-12</x:v>
      </x:c>
      <x:c r="D262" t="str">
        <x:v>netease_cloud_music</x:v>
      </x:c>
      <x:c r="E262" t="str">
        <x:v>CN</x:v>
      </x:c>
      <x:c r="F262" t="str">
        <x:v>new</x:v>
      </x:c>
      <x:c r="G262" t="str">
        <x:v>新歌榜</x:v>
      </x:c>
      <x:c r="H262" t="str">
        <x:v>3779629</x:v>
      </x:c>
      <x:c r="I262" t="n">
        <x:v>100</x:v>
      </x:c>
      <x:c r="J262" t="n">
        <x:v>58</x:v>
      </x:c>
      <x:c r="K262" t="n">
        <x:v>43</x:v>
      </x:c>
      <x:c r="L262" t="str">
        <x:v>3407805044</x:v>
      </x:c>
      <x:c r="M262" t="str">
        <x:v>我不难过 (Live版)</x:v>
      </x:c>
      <x:c r="N262" t="str">
        <x:v>12217134 | 1087140</x:v>
      </x:c>
      <x:c r="O262" t="str">
        <x:v>刘雨昕XIN LIU | 欧阳娜娜</x:v>
      </x:c>
      <x:c r="P262" t="str">
        <x:v>387549490</x:v>
      </x:c>
      <x:c r="Q262" t="str">
        <x:v>天赐的声音第七季 第6期</x:v>
      </x:c>
      <x:c r="R262" t="str"/>
      <x:c r="S262" t="str"/>
      <x:c r="T262" t="n">
        <x:v>54</x:v>
      </x:c>
      <x:c r="U262" t="n">
        <x:v>-4</x:v>
      </x:c>
      <x:c r="V262" t="str">
        <x:v>https://music.163.com/song?id=3407805044</x:v>
      </x:c>
      <x:c r="W262" t="str">
        <x:v>http://p2.music.126.net/vVtUT4iA2CXUtxf9Lfd9_g==/109951173577479026.jpg</x:v>
      </x:c>
      <x:c r="X262" t="str">
        <x:v>https://music.163.com/discover/toplist?id=3779629</x:v>
      </x:c>
      <x:c r="Y262" t="str">
        <x:v>https://music.163.com/api/playlist/detail?id=3779629&amp;n=100</x:v>
      </x:c>
      <x:c r="Z262" s="24" t="str">
        <x:f>IFERROR(VLOOKUP(F262,'07_字典与参数'!$A$5:$E$10,3,FALSE),"待映射")</x:f>
        <x:v>网易云音乐</x:v>
      </x:c>
      <x:c r="AA262" s="24" t="str">
        <x:f>IFERROR(VLOOKUP(F262,'07_字典与参数'!$A$5:$E$10,2,FALSE),"待映射")</x:f>
        <x:v>新歌榜</x:v>
      </x:c>
      <x:c r="AB262" s="24" t="str">
        <x:f>IFERROR(VLOOKUP(F262,'07_字典与参数'!$A$5:$E$10,4,FALSE),"待映射")</x:f>
        <x:v>每日</x:v>
      </x:c>
      <x:c r="AC262" s="24" t="str">
        <x:f>D262&amp;"|"&amp;F262&amp;"|"&amp;L262</x:f>
        <x:v>netease_cloud_music|new|3407805044</x:v>
      </x:c>
      <x:c r="AD262" s="24" t="str">
        <x:f>IF(J262&lt;=10,"是","否")</x:f>
        <x:v>否</x:v>
      </x:c>
      <x:c r="AE262" s="24" t="str">
        <x:f>IFERROR(YEAR(R262),"缺失")</x:f>
        <x:v>缺失</x:v>
      </x:c>
    </x:row>
    <x:row r="263">
      <x:c r="A263" t="str">
        <x:v>20260812T132133+0800</x:v>
      </x:c>
      <x:c r="B263" t="n">
        <x:v>46246.22329861111</x:v>
      </x:c>
      <x:c r="C263" t="str">
        <x:v>2026-08-12</x:v>
      </x:c>
      <x:c r="D263" t="str">
        <x:v>netease_cloud_music</x:v>
      </x:c>
      <x:c r="E263" t="str">
        <x:v>CN</x:v>
      </x:c>
      <x:c r="F263" t="str">
        <x:v>new</x:v>
      </x:c>
      <x:c r="G263" t="str">
        <x:v>新歌榜</x:v>
      </x:c>
      <x:c r="H263" t="str">
        <x:v>3779629</x:v>
      </x:c>
      <x:c r="I263" t="n">
        <x:v>100</x:v>
      </x:c>
      <x:c r="J263" t="n">
        <x:v>59</x:v>
      </x:c>
      <x:c r="K263" t="n">
        <x:v>42</x:v>
      </x:c>
      <x:c r="L263" t="str">
        <x:v>3417798190</x:v>
      </x:c>
      <x:c r="M263" t="str">
        <x:v>被驯服的象 (live)</x:v>
      </x:c>
      <x:c r="N263" t="str">
        <x:v>181007 | 1087140</x:v>
      </x:c>
      <x:c r="O263" t="str">
        <x:v>窦靖童 | 欧阳娜娜</x:v>
      </x:c>
      <x:c r="P263" t="str">
        <x:v>391308088</x:v>
      </x:c>
      <x:c r="Q263" t="str">
        <x:v>歌手2026 第12期</x:v>
      </x:c>
      <x:c r="R263" t="str"/>
      <x:c r="S263" t="str"/>
      <x:c r="T263" t="n">
        <x:v>48</x:v>
      </x:c>
      <x:c r="U263" t="n">
        <x:v>-11</x:v>
      </x:c>
      <x:c r="V263" t="str">
        <x:v>https://music.163.com/song?id=3417798190</x:v>
      </x:c>
      <x:c r="W263" t="str">
        <x:v>http://p2.music.126.net/pDZPHgzMSeTA9Maw0ifn4w==/109951173710607097.jpg</x:v>
      </x:c>
      <x:c r="X263" t="str">
        <x:v>https://music.163.com/discover/toplist?id=3779629</x:v>
      </x:c>
      <x:c r="Y263" t="str">
        <x:v>https://music.163.com/api/playlist/detail?id=3779629&amp;n=100</x:v>
      </x:c>
      <x:c r="Z263" s="24" t="str">
        <x:f>IFERROR(VLOOKUP(F263,'07_字典与参数'!$A$5:$E$10,3,FALSE),"待映射")</x:f>
        <x:v>网易云音乐</x:v>
      </x:c>
      <x:c r="AA263" s="24" t="str">
        <x:f>IFERROR(VLOOKUP(F263,'07_字典与参数'!$A$5:$E$10,2,FALSE),"待映射")</x:f>
        <x:v>新歌榜</x:v>
      </x:c>
      <x:c r="AB263" s="24" t="str">
        <x:f>IFERROR(VLOOKUP(F263,'07_字典与参数'!$A$5:$E$10,4,FALSE),"待映射")</x:f>
        <x:v>每日</x:v>
      </x:c>
      <x:c r="AC263" s="24" t="str">
        <x:f>D263&amp;"|"&amp;F263&amp;"|"&amp;L263</x:f>
        <x:v>netease_cloud_music|new|3417798190</x:v>
      </x:c>
      <x:c r="AD263" s="24" t="str">
        <x:f>IF(J263&lt;=10,"是","否")</x:f>
        <x:v>否</x:v>
      </x:c>
      <x:c r="AE263" s="24" t="str">
        <x:f>IFERROR(YEAR(R263),"缺失")</x:f>
        <x:v>缺失</x:v>
      </x:c>
    </x:row>
    <x:row r="264">
      <x:c r="A264" t="str">
        <x:v>20260812T132133+0800</x:v>
      </x:c>
      <x:c r="B264" t="n">
        <x:v>46246.22329861111</x:v>
      </x:c>
      <x:c r="C264" t="str">
        <x:v>2026-08-12</x:v>
      </x:c>
      <x:c r="D264" t="str">
        <x:v>netease_cloud_music</x:v>
      </x:c>
      <x:c r="E264" t="str">
        <x:v>CN</x:v>
      </x:c>
      <x:c r="F264" t="str">
        <x:v>new</x:v>
      </x:c>
      <x:c r="G264" t="str">
        <x:v>新歌榜</x:v>
      </x:c>
      <x:c r="H264" t="str">
        <x:v>3779629</x:v>
      </x:c>
      <x:c r="I264" t="n">
        <x:v>100</x:v>
      </x:c>
      <x:c r="J264" t="n">
        <x:v>60</x:v>
      </x:c>
      <x:c r="K264" t="n">
        <x:v>41</x:v>
      </x:c>
      <x:c r="L264" t="str">
        <x:v>3414473442</x:v>
      </x:c>
      <x:c r="M264" t="str">
        <x:v>野草 (Live)</x:v>
      </x:c>
      <x:c r="N264" t="str">
        <x:v>166014</x:v>
      </x:c>
      <x:c r="O264" t="str">
        <x:v>金志文</x:v>
      </x:c>
      <x:c r="P264" t="str">
        <x:v>390097848</x:v>
      </x:c>
      <x:c r="Q264" t="str">
        <x:v>国乐无双 第10期</x:v>
      </x:c>
      <x:c r="R264" t="str"/>
      <x:c r="S264" t="str"/>
      <x:c r="T264"/>
      <x:c r="U264"/>
      <x:c r="V264" t="str">
        <x:v>https://music.163.com/song?id=3414473442</x:v>
      </x:c>
      <x:c r="W264" t="str">
        <x:v>http://p2.music.126.net/DE9__VdDCVQCdAdz_92hww==/109951173671527853.jpg</x:v>
      </x:c>
      <x:c r="X264" t="str">
        <x:v>https://music.163.com/discover/toplist?id=3779629</x:v>
      </x:c>
      <x:c r="Y264" t="str">
        <x:v>https://music.163.com/api/playlist/detail?id=3779629&amp;n=100</x:v>
      </x:c>
      <x:c r="Z264" s="24" t="str">
        <x:f>IFERROR(VLOOKUP(F264,'07_字典与参数'!$A$5:$E$10,3,FALSE),"待映射")</x:f>
        <x:v>网易云音乐</x:v>
      </x:c>
      <x:c r="AA264" s="24" t="str">
        <x:f>IFERROR(VLOOKUP(F264,'07_字典与参数'!$A$5:$E$10,2,FALSE),"待映射")</x:f>
        <x:v>新歌榜</x:v>
      </x:c>
      <x:c r="AB264" s="24" t="str">
        <x:f>IFERROR(VLOOKUP(F264,'07_字典与参数'!$A$5:$E$10,4,FALSE),"待映射")</x:f>
        <x:v>每日</x:v>
      </x:c>
      <x:c r="AC264" s="24" t="str">
        <x:f>D264&amp;"|"&amp;F264&amp;"|"&amp;L264</x:f>
        <x:v>netease_cloud_music|new|3414473442</x:v>
      </x:c>
      <x:c r="AD264" s="24" t="str">
        <x:f>IF(J264&lt;=10,"是","否")</x:f>
        <x:v>否</x:v>
      </x:c>
      <x:c r="AE264" s="24" t="str">
        <x:f>IFERROR(YEAR(R264),"缺失")</x:f>
        <x:v>缺失</x:v>
      </x:c>
    </x:row>
    <x:row r="265">
      <x:c r="A265" t="str">
        <x:v>20260812T132133+0800</x:v>
      </x:c>
      <x:c r="B265" t="n">
        <x:v>46246.22329861111</x:v>
      </x:c>
      <x:c r="C265" t="str">
        <x:v>2026-08-12</x:v>
      </x:c>
      <x:c r="D265" t="str">
        <x:v>netease_cloud_music</x:v>
      </x:c>
      <x:c r="E265" t="str">
        <x:v>CN</x:v>
      </x:c>
      <x:c r="F265" t="str">
        <x:v>new</x:v>
      </x:c>
      <x:c r="G265" t="str">
        <x:v>新歌榜</x:v>
      </x:c>
      <x:c r="H265" t="str">
        <x:v>3779629</x:v>
      </x:c>
      <x:c r="I265" t="n">
        <x:v>100</x:v>
      </x:c>
      <x:c r="J265" t="n">
        <x:v>61</x:v>
      </x:c>
      <x:c r="K265" t="n">
        <x:v>40</x:v>
      </x:c>
      <x:c r="L265" t="str">
        <x:v>3412485838</x:v>
      </x:c>
      <x:c r="M265" t="str">
        <x:v>花落花</x:v>
      </x:c>
      <x:c r="N265" t="str">
        <x:v>58884305</x:v>
      </x:c>
      <x:c r="O265" t="str">
        <x:v>陈少熙</x:v>
      </x:c>
      <x:c r="P265" t="str">
        <x:v>389425559</x:v>
      </x:c>
      <x:c r="Q265" t="str">
        <x:v>花落花</x:v>
      </x:c>
      <x:c r="R265" t="str">
        <x:v>2026-07-29</x:v>
      </x:c>
      <x:c r="S265" t="str"/>
      <x:c r="T265" t="n">
        <x:v>59</x:v>
      </x:c>
      <x:c r="U265" t="n">
        <x:v>-2</x:v>
      </x:c>
      <x:c r="V265" t="str">
        <x:v>https://music.163.com/song?id=3412485838</x:v>
      </x:c>
      <x:c r="W265" t="str">
        <x:v>http://p2.music.126.net/qI_EScJv74EVlyulMW3jXg==/109951173651178197.jpg</x:v>
      </x:c>
      <x:c r="X265" t="str">
        <x:v>https://music.163.com/discover/toplist?id=3779629</x:v>
      </x:c>
      <x:c r="Y265" t="str">
        <x:v>https://music.163.com/api/playlist/detail?id=3779629&amp;n=100</x:v>
      </x:c>
      <x:c r="Z265" s="24" t="str">
        <x:f>IFERROR(VLOOKUP(F265,'07_字典与参数'!$A$5:$E$10,3,FALSE),"待映射")</x:f>
        <x:v>网易云音乐</x:v>
      </x:c>
      <x:c r="AA265" s="24" t="str">
        <x:f>IFERROR(VLOOKUP(F265,'07_字典与参数'!$A$5:$E$10,2,FALSE),"待映射")</x:f>
        <x:v>新歌榜</x:v>
      </x:c>
      <x:c r="AB265" s="24" t="str">
        <x:f>IFERROR(VLOOKUP(F265,'07_字典与参数'!$A$5:$E$10,4,FALSE),"待映射")</x:f>
        <x:v>每日</x:v>
      </x:c>
      <x:c r="AC265" s="24" t="str">
        <x:f>D265&amp;"|"&amp;F265&amp;"|"&amp;L265</x:f>
        <x:v>netease_cloud_music|new|3412485838</x:v>
      </x:c>
      <x:c r="AD265" s="24" t="str">
        <x:f>IF(J265&lt;=10,"是","否")</x:f>
        <x:v>否</x:v>
      </x:c>
      <x:c r="AE265" s="24" t="n">
        <x:f>IFERROR(YEAR(R265),"缺失")</x:f>
        <x:v>2026</x:v>
      </x:c>
    </x:row>
    <x:row r="266">
      <x:c r="A266" t="str">
        <x:v>20260812T132133+0800</x:v>
      </x:c>
      <x:c r="B266" t="n">
        <x:v>46246.22329861111</x:v>
      </x:c>
      <x:c r="C266" t="str">
        <x:v>2026-08-12</x:v>
      </x:c>
      <x:c r="D266" t="str">
        <x:v>netease_cloud_music</x:v>
      </x:c>
      <x:c r="E266" t="str">
        <x:v>CN</x:v>
      </x:c>
      <x:c r="F266" t="str">
        <x:v>new</x:v>
      </x:c>
      <x:c r="G266" t="str">
        <x:v>新歌榜</x:v>
      </x:c>
      <x:c r="H266" t="str">
        <x:v>3779629</x:v>
      </x:c>
      <x:c r="I266" t="n">
        <x:v>100</x:v>
      </x:c>
      <x:c r="J266" t="n">
        <x:v>62</x:v>
      </x:c>
      <x:c r="K266" t="n">
        <x:v>39</x:v>
      </x:c>
      <x:c r="L266" t="str">
        <x:v>3413209729</x:v>
      </x:c>
      <x:c r="M266" t="str">
        <x:v>左转灯 (1000 Times+1)</x:v>
      </x:c>
      <x:c r="N266" t="str">
        <x:v>1178287</x:v>
      </x:c>
      <x:c r="O266" t="str">
        <x:v>派伟俊</x:v>
      </x:c>
      <x:c r="P266" t="str">
        <x:v>389673477</x:v>
      </x:c>
      <x:c r="Q266" t="str">
        <x:v>BAD IDEA</x:v>
      </x:c>
      <x:c r="R266" t="str"/>
      <x:c r="S266" t="str"/>
      <x:c r="T266" t="n">
        <x:v>69</x:v>
      </x:c>
      <x:c r="U266" t="n">
        <x:v>7</x:v>
      </x:c>
      <x:c r="V266" t="str">
        <x:v>https://music.163.com/song?id=3413209729</x:v>
      </x:c>
      <x:c r="W266" t="str">
        <x:v>http://p2.music.126.net/VUmvtXuUpsmHt5WIZef3uA==/109951173658185235.jpg</x:v>
      </x:c>
      <x:c r="X266" t="str">
        <x:v>https://music.163.com/discover/toplist?id=3779629</x:v>
      </x:c>
      <x:c r="Y266" t="str">
        <x:v>https://music.163.com/api/playlist/detail?id=3779629&amp;n=100</x:v>
      </x:c>
      <x:c r="Z266" s="24" t="str">
        <x:f>IFERROR(VLOOKUP(F266,'07_字典与参数'!$A$5:$E$10,3,FALSE),"待映射")</x:f>
        <x:v>网易云音乐</x:v>
      </x:c>
      <x:c r="AA266" s="24" t="str">
        <x:f>IFERROR(VLOOKUP(F266,'07_字典与参数'!$A$5:$E$10,2,FALSE),"待映射")</x:f>
        <x:v>新歌榜</x:v>
      </x:c>
      <x:c r="AB266" s="24" t="str">
        <x:f>IFERROR(VLOOKUP(F266,'07_字典与参数'!$A$5:$E$10,4,FALSE),"待映射")</x:f>
        <x:v>每日</x:v>
      </x:c>
      <x:c r="AC266" s="24" t="str">
        <x:f>D266&amp;"|"&amp;F266&amp;"|"&amp;L266</x:f>
        <x:v>netease_cloud_music|new|3413209729</x:v>
      </x:c>
      <x:c r="AD266" s="24" t="str">
        <x:f>IF(J266&lt;=10,"是","否")</x:f>
        <x:v>否</x:v>
      </x:c>
      <x:c r="AE266" s="24" t="str">
        <x:f>IFERROR(YEAR(R266),"缺失")</x:f>
        <x:v>缺失</x:v>
      </x:c>
    </x:row>
    <x:row r="267">
      <x:c r="A267" t="str">
        <x:v>20260812T132133+0800</x:v>
      </x:c>
      <x:c r="B267" t="n">
        <x:v>46246.22329861111</x:v>
      </x:c>
      <x:c r="C267" t="str">
        <x:v>2026-08-12</x:v>
      </x:c>
      <x:c r="D267" t="str">
        <x:v>netease_cloud_music</x:v>
      </x:c>
      <x:c r="E267" t="str">
        <x:v>CN</x:v>
      </x:c>
      <x:c r="F267" t="str">
        <x:v>new</x:v>
      </x:c>
      <x:c r="G267" t="str">
        <x:v>新歌榜</x:v>
      </x:c>
      <x:c r="H267" t="str">
        <x:v>3779629</x:v>
      </x:c>
      <x:c r="I267" t="n">
        <x:v>100</x:v>
      </x:c>
      <x:c r="J267" t="n">
        <x:v>63</x:v>
      </x:c>
      <x:c r="K267" t="n">
        <x:v>38</x:v>
      </x:c>
      <x:c r="L267" t="str">
        <x:v>3411940192</x:v>
      </x:c>
      <x:c r="M267" t="str">
        <x:v>你我他</x:v>
      </x:c>
      <x:c r="N267" t="str">
        <x:v>32220939</x:v>
      </x:c>
      <x:c r="O267" t="str">
        <x:v>en（王翊恩）</x:v>
      </x:c>
      <x:c r="P267" t="str">
        <x:v>389228966</x:v>
      </x:c>
      <x:c r="Q267" t="str">
        <x:v>你我他</x:v>
      </x:c>
      <x:c r="R267" t="str">
        <x:v>2026-07-31</x:v>
      </x:c>
      <x:c r="S267" t="str"/>
      <x:c r="T267" t="n">
        <x:v>66</x:v>
      </x:c>
      <x:c r="U267" t="n">
        <x:v>3</x:v>
      </x:c>
      <x:c r="V267" t="str">
        <x:v>https://music.163.com/song?id=3411940192</x:v>
      </x:c>
      <x:c r="W267" t="str">
        <x:v>http://p2.music.126.net/--7nouU5zLC3z-WDZeTOzA==/109951173645380839.jpg</x:v>
      </x:c>
      <x:c r="X267" t="str">
        <x:v>https://music.163.com/discover/toplist?id=3779629</x:v>
      </x:c>
      <x:c r="Y267" t="str">
        <x:v>https://music.163.com/api/playlist/detail?id=3779629&amp;n=100</x:v>
      </x:c>
      <x:c r="Z267" s="24" t="str">
        <x:f>IFERROR(VLOOKUP(F267,'07_字典与参数'!$A$5:$E$10,3,FALSE),"待映射")</x:f>
        <x:v>网易云音乐</x:v>
      </x:c>
      <x:c r="AA267" s="24" t="str">
        <x:f>IFERROR(VLOOKUP(F267,'07_字典与参数'!$A$5:$E$10,2,FALSE),"待映射")</x:f>
        <x:v>新歌榜</x:v>
      </x:c>
      <x:c r="AB267" s="24" t="str">
        <x:f>IFERROR(VLOOKUP(F267,'07_字典与参数'!$A$5:$E$10,4,FALSE),"待映射")</x:f>
        <x:v>每日</x:v>
      </x:c>
      <x:c r="AC267" s="24" t="str">
        <x:f>D267&amp;"|"&amp;F267&amp;"|"&amp;L267</x:f>
        <x:v>netease_cloud_music|new|3411940192</x:v>
      </x:c>
      <x:c r="AD267" s="24" t="str">
        <x:f>IF(J267&lt;=10,"是","否")</x:f>
        <x:v>否</x:v>
      </x:c>
      <x:c r="AE267" s="24" t="n">
        <x:f>IFERROR(YEAR(R267),"缺失")</x:f>
        <x:v>2026</x:v>
      </x:c>
    </x:row>
    <x:row r="268">
      <x:c r="A268" t="str">
        <x:v>20260812T132133+0800</x:v>
      </x:c>
      <x:c r="B268" t="n">
        <x:v>46246.22329861111</x:v>
      </x:c>
      <x:c r="C268" t="str">
        <x:v>2026-08-12</x:v>
      </x:c>
      <x:c r="D268" t="str">
        <x:v>netease_cloud_music</x:v>
      </x:c>
      <x:c r="E268" t="str">
        <x:v>CN</x:v>
      </x:c>
      <x:c r="F268" t="str">
        <x:v>new</x:v>
      </x:c>
      <x:c r="G268" t="str">
        <x:v>新歌榜</x:v>
      </x:c>
      <x:c r="H268" t="str">
        <x:v>3779629</x:v>
      </x:c>
      <x:c r="I268" t="n">
        <x:v>100</x:v>
      </x:c>
      <x:c r="J268" t="n">
        <x:v>64</x:v>
      </x:c>
      <x:c r="K268" t="n">
        <x:v>37</x:v>
      </x:c>
      <x:c r="L268" t="str">
        <x:v>3416246403</x:v>
      </x:c>
      <x:c r="M268" t="str">
        <x:v>恶性循环</x:v>
      </x:c>
      <x:c r="N268" t="str">
        <x:v>122228398</x:v>
      </x:c>
      <x:c r="O268" t="str">
        <x:v>银河小鱼</x:v>
      </x:c>
      <x:c r="P268" t="str">
        <x:v>390680277</x:v>
      </x:c>
      <x:c r="Q268" t="str">
        <x:v>恶性循环</x:v>
      </x:c>
      <x:c r="R268" t="str">
        <x:v>2026-08-07</x:v>
      </x:c>
      <x:c r="S268" t="str"/>
      <x:c r="T268" t="n">
        <x:v>60</x:v>
      </x:c>
      <x:c r="U268" t="n">
        <x:v>-4</x:v>
      </x:c>
      <x:c r="V268" t="str">
        <x:v>https://music.163.com/song?id=3416246403</x:v>
      </x:c>
      <x:c r="W268" t="str">
        <x:v>http://p2.music.126.net/lG9CZb6gJ3kmKYlSGtf55Q==/109951173692152418.jpg</x:v>
      </x:c>
      <x:c r="X268" t="str">
        <x:v>https://music.163.com/discover/toplist?id=3779629</x:v>
      </x:c>
      <x:c r="Y268" t="str">
        <x:v>https://music.163.com/api/playlist/detail?id=3779629&amp;n=100</x:v>
      </x:c>
      <x:c r="Z268" s="24" t="str">
        <x:f>IFERROR(VLOOKUP(F268,'07_字典与参数'!$A$5:$E$10,3,FALSE),"待映射")</x:f>
        <x:v>网易云音乐</x:v>
      </x:c>
      <x:c r="AA268" s="24" t="str">
        <x:f>IFERROR(VLOOKUP(F268,'07_字典与参数'!$A$5:$E$10,2,FALSE),"待映射")</x:f>
        <x:v>新歌榜</x:v>
      </x:c>
      <x:c r="AB268" s="24" t="str">
        <x:f>IFERROR(VLOOKUP(F268,'07_字典与参数'!$A$5:$E$10,4,FALSE),"待映射")</x:f>
        <x:v>每日</x:v>
      </x:c>
      <x:c r="AC268" s="24" t="str">
        <x:f>D268&amp;"|"&amp;F268&amp;"|"&amp;L268</x:f>
        <x:v>netease_cloud_music|new|3416246403</x:v>
      </x:c>
      <x:c r="AD268" s="24" t="str">
        <x:f>IF(J268&lt;=10,"是","否")</x:f>
        <x:v>否</x:v>
      </x:c>
      <x:c r="AE268" s="24" t="n">
        <x:f>IFERROR(YEAR(R268),"缺失")</x:f>
        <x:v>2026</x:v>
      </x:c>
    </x:row>
    <x:row r="269">
      <x:c r="A269" t="str">
        <x:v>20260812T132133+0800</x:v>
      </x:c>
      <x:c r="B269" t="n">
        <x:v>46246.22329861111</x:v>
      </x:c>
      <x:c r="C269" t="str">
        <x:v>2026-08-12</x:v>
      </x:c>
      <x:c r="D269" t="str">
        <x:v>netease_cloud_music</x:v>
      </x:c>
      <x:c r="E269" t="str">
        <x:v>CN</x:v>
      </x:c>
      <x:c r="F269" t="str">
        <x:v>new</x:v>
      </x:c>
      <x:c r="G269" t="str">
        <x:v>新歌榜</x:v>
      </x:c>
      <x:c r="H269" t="str">
        <x:v>3779629</x:v>
      </x:c>
      <x:c r="I269" t="n">
        <x:v>100</x:v>
      </x:c>
      <x:c r="J269" t="n">
        <x:v>65</x:v>
      </x:c>
      <x:c r="K269" t="n">
        <x:v>36</x:v>
      </x:c>
      <x:c r="L269" t="str">
        <x:v>3411856334</x:v>
      </x:c>
      <x:c r="M269" t="str">
        <x:v>瓦解 (Live)</x:v>
      </x:c>
      <x:c r="N269" t="str">
        <x:v>12631485</x:v>
      </x:c>
      <x:c r="O269" t="str">
        <x:v>h3R3</x:v>
      </x:c>
      <x:c r="P269" t="str">
        <x:v>389191519</x:v>
      </x:c>
      <x:c r="Q269" t="str">
        <x:v>回响-Live</x:v>
      </x:c>
      <x:c r="R269" t="str">
        <x:v>2026-08-07</x:v>
      </x:c>
      <x:c r="S269" t="str"/>
      <x:c r="T269" t="n">
        <x:v>62</x:v>
      </x:c>
      <x:c r="U269" t="n">
        <x:v>-3</x:v>
      </x:c>
      <x:c r="V269" t="str">
        <x:v>https://music.163.com/song?id=3411856334</x:v>
      </x:c>
      <x:c r="W269" t="str">
        <x:v>http://p2.music.126.net/mhDqF41yZxpOYvjqu-OWUg==/109951173644003110.jpg</x:v>
      </x:c>
      <x:c r="X269" t="str">
        <x:v>https://music.163.com/discover/toplist?id=3779629</x:v>
      </x:c>
      <x:c r="Y269" t="str">
        <x:v>https://music.163.com/api/playlist/detail?id=3779629&amp;n=100</x:v>
      </x:c>
      <x:c r="Z269" s="24" t="str">
        <x:f>IFERROR(VLOOKUP(F269,'07_字典与参数'!$A$5:$E$10,3,FALSE),"待映射")</x:f>
        <x:v>网易云音乐</x:v>
      </x:c>
      <x:c r="AA269" s="24" t="str">
        <x:f>IFERROR(VLOOKUP(F269,'07_字典与参数'!$A$5:$E$10,2,FALSE),"待映射")</x:f>
        <x:v>新歌榜</x:v>
      </x:c>
      <x:c r="AB269" s="24" t="str">
        <x:f>IFERROR(VLOOKUP(F269,'07_字典与参数'!$A$5:$E$10,4,FALSE),"待映射")</x:f>
        <x:v>每日</x:v>
      </x:c>
      <x:c r="AC269" s="24" t="str">
        <x:f>D269&amp;"|"&amp;F269&amp;"|"&amp;L269</x:f>
        <x:v>netease_cloud_music|new|3411856334</x:v>
      </x:c>
      <x:c r="AD269" s="24" t="str">
        <x:f>IF(J269&lt;=10,"是","否")</x:f>
        <x:v>否</x:v>
      </x:c>
      <x:c r="AE269" s="24" t="n">
        <x:f>IFERROR(YEAR(R269),"缺失")</x:f>
        <x:v>2026</x:v>
      </x:c>
    </x:row>
    <x:row r="270">
      <x:c r="A270" t="str">
        <x:v>20260812T132133+0800</x:v>
      </x:c>
      <x:c r="B270" t="n">
        <x:v>46246.22329861111</x:v>
      </x:c>
      <x:c r="C270" t="str">
        <x:v>2026-08-12</x:v>
      </x:c>
      <x:c r="D270" t="str">
        <x:v>netease_cloud_music</x:v>
      </x:c>
      <x:c r="E270" t="str">
        <x:v>CN</x:v>
      </x:c>
      <x:c r="F270" t="str">
        <x:v>new</x:v>
      </x:c>
      <x:c r="G270" t="str">
        <x:v>新歌榜</x:v>
      </x:c>
      <x:c r="H270" t="str">
        <x:v>3779629</x:v>
      </x:c>
      <x:c r="I270" t="n">
        <x:v>100</x:v>
      </x:c>
      <x:c r="J270" t="n">
        <x:v>66</x:v>
      </x:c>
      <x:c r="K270" t="n">
        <x:v>35</x:v>
      </x:c>
      <x:c r="L270" t="str">
        <x:v>3408892422</x:v>
      </x:c>
      <x:c r="M270" t="str">
        <x:v>SWEAT</x:v>
      </x:c>
      <x:c r="N270" t="str">
        <x:v>57446856</x:v>
      </x:c>
      <x:c r="O270" t="str">
        <x:v>KISS OF LIFE</x:v>
      </x:c>
      <x:c r="P270" t="str">
        <x:v>387998683</x:v>
      </x:c>
      <x:c r="Q270" t="str">
        <x:v>SWEAT</x:v>
      </x:c>
      <x:c r="R270" t="str">
        <x:v>2026-08-04</x:v>
      </x:c>
      <x:c r="S270" t="str"/>
      <x:c r="T270" t="n">
        <x:v>70</x:v>
      </x:c>
      <x:c r="U270" t="n">
        <x:v>4</x:v>
      </x:c>
      <x:c r="V270" t="str">
        <x:v>https://music.163.com/song?id=3408892422</x:v>
      </x:c>
      <x:c r="W270" t="str">
        <x:v>http://p2.music.126.net/9WDC2QKpskF0ks9oZ3_JOA==/109951173597682394.jpg</x:v>
      </x:c>
      <x:c r="X270" t="str">
        <x:v>https://music.163.com/discover/toplist?id=3779629</x:v>
      </x:c>
      <x:c r="Y270" t="str">
        <x:v>https://music.163.com/api/playlist/detail?id=3779629&amp;n=100</x:v>
      </x:c>
      <x:c r="Z270" s="24" t="str">
        <x:f>IFERROR(VLOOKUP(F270,'07_字典与参数'!$A$5:$E$10,3,FALSE),"待映射")</x:f>
        <x:v>网易云音乐</x:v>
      </x:c>
      <x:c r="AA270" s="24" t="str">
        <x:f>IFERROR(VLOOKUP(F270,'07_字典与参数'!$A$5:$E$10,2,FALSE),"待映射")</x:f>
        <x:v>新歌榜</x:v>
      </x:c>
      <x:c r="AB270" s="24" t="str">
        <x:f>IFERROR(VLOOKUP(F270,'07_字典与参数'!$A$5:$E$10,4,FALSE),"待映射")</x:f>
        <x:v>每日</x:v>
      </x:c>
      <x:c r="AC270" s="24" t="str">
        <x:f>D270&amp;"|"&amp;F270&amp;"|"&amp;L270</x:f>
        <x:v>netease_cloud_music|new|3408892422</x:v>
      </x:c>
      <x:c r="AD270" s="24" t="str">
        <x:f>IF(J270&lt;=10,"是","否")</x:f>
        <x:v>否</x:v>
      </x:c>
      <x:c r="AE270" s="24" t="n">
        <x:f>IFERROR(YEAR(R270),"缺失")</x:f>
        <x:v>2026</x:v>
      </x:c>
    </x:row>
    <x:row r="271">
      <x:c r="A271" t="str">
        <x:v>20260812T132133+0800</x:v>
      </x:c>
      <x:c r="B271" t="n">
        <x:v>46246.22329861111</x:v>
      </x:c>
      <x:c r="C271" t="str">
        <x:v>2026-08-12</x:v>
      </x:c>
      <x:c r="D271" t="str">
        <x:v>netease_cloud_music</x:v>
      </x:c>
      <x:c r="E271" t="str">
        <x:v>CN</x:v>
      </x:c>
      <x:c r="F271" t="str">
        <x:v>new</x:v>
      </x:c>
      <x:c r="G271" t="str">
        <x:v>新歌榜</x:v>
      </x:c>
      <x:c r="H271" t="str">
        <x:v>3779629</x:v>
      </x:c>
      <x:c r="I271" t="n">
        <x:v>100</x:v>
      </x:c>
      <x:c r="J271" t="n">
        <x:v>67</x:v>
      </x:c>
      <x:c r="K271" t="n">
        <x:v>34</x:v>
      </x:c>
      <x:c r="L271" t="str">
        <x:v>3406701762</x:v>
      </x:c>
      <x:c r="M271" t="str">
        <x:v>Never Endless</x:v>
      </x:c>
      <x:c r="N271" t="str">
        <x:v>59686611</x:v>
      </x:c>
      <x:c r="O271" t="str">
        <x:v>HKYE</x:v>
      </x:c>
      <x:c r="P271" t="str">
        <x:v>387020080</x:v>
      </x:c>
      <x:c r="Q271" t="str">
        <x:v>Never Endless</x:v>
      </x:c>
      <x:c r="R271" t="str"/>
      <x:c r="S271" t="str"/>
      <x:c r="T271"/>
      <x:c r="U271"/>
      <x:c r="V271" t="str">
        <x:v>https://music.163.com/song?id=3406701762</x:v>
      </x:c>
      <x:c r="W271" t="str">
        <x:v>http://p2.music.126.net/olglexZbdQA__jFLqxyseQ==/109951173560862451.jpg</x:v>
      </x:c>
      <x:c r="X271" t="str">
        <x:v>https://music.163.com/discover/toplist?id=3779629</x:v>
      </x:c>
      <x:c r="Y271" t="str">
        <x:v>https://music.163.com/api/playlist/detail?id=3779629&amp;n=100</x:v>
      </x:c>
      <x:c r="Z271" s="24" t="str">
        <x:f>IFERROR(VLOOKUP(F271,'07_字典与参数'!$A$5:$E$10,3,FALSE),"待映射")</x:f>
        <x:v>网易云音乐</x:v>
      </x:c>
      <x:c r="AA271" s="24" t="str">
        <x:f>IFERROR(VLOOKUP(F271,'07_字典与参数'!$A$5:$E$10,2,FALSE),"待映射")</x:f>
        <x:v>新歌榜</x:v>
      </x:c>
      <x:c r="AB271" s="24" t="str">
        <x:f>IFERROR(VLOOKUP(F271,'07_字典与参数'!$A$5:$E$10,4,FALSE),"待映射")</x:f>
        <x:v>每日</x:v>
      </x:c>
      <x:c r="AC271" s="24" t="str">
        <x:f>D271&amp;"|"&amp;F271&amp;"|"&amp;L271</x:f>
        <x:v>netease_cloud_music|new|3406701762</x:v>
      </x:c>
      <x:c r="AD271" s="24" t="str">
        <x:f>IF(J271&lt;=10,"是","否")</x:f>
        <x:v>否</x:v>
      </x:c>
      <x:c r="AE271" s="24" t="str">
        <x:f>IFERROR(YEAR(R271),"缺失")</x:f>
        <x:v>缺失</x:v>
      </x:c>
    </x:row>
    <x:row r="272">
      <x:c r="A272" t="str">
        <x:v>20260812T132133+0800</x:v>
      </x:c>
      <x:c r="B272" t="n">
        <x:v>46246.22329861111</x:v>
      </x:c>
      <x:c r="C272" t="str">
        <x:v>2026-08-12</x:v>
      </x:c>
      <x:c r="D272" t="str">
        <x:v>netease_cloud_music</x:v>
      </x:c>
      <x:c r="E272" t="str">
        <x:v>CN</x:v>
      </x:c>
      <x:c r="F272" t="str">
        <x:v>new</x:v>
      </x:c>
      <x:c r="G272" t="str">
        <x:v>新歌榜</x:v>
      </x:c>
      <x:c r="H272" t="str">
        <x:v>3779629</x:v>
      </x:c>
      <x:c r="I272" t="n">
        <x:v>100</x:v>
      </x:c>
      <x:c r="J272" t="n">
        <x:v>68</x:v>
      </x:c>
      <x:c r="K272" t="n">
        <x:v>33</x:v>
      </x:c>
      <x:c r="L272" t="str">
        <x:v>3407323768</x:v>
      </x:c>
      <x:c r="M272" t="str">
        <x:v>毕业照</x:v>
      </x:c>
      <x:c r="N272" t="str">
        <x:v>12523451</x:v>
      </x:c>
      <x:c r="O272" t="str">
        <x:v>BrAnTB白景屹</x:v>
      </x:c>
      <x:c r="P272" t="str">
        <x:v>387360366</x:v>
      </x:c>
      <x:c r="Q272" t="str">
        <x:v>北上南下</x:v>
      </x:c>
      <x:c r="R272" t="str">
        <x:v>2026-07-25</x:v>
      </x:c>
      <x:c r="S272" t="str"/>
      <x:c r="T272" t="n">
        <x:v>63</x:v>
      </x:c>
      <x:c r="U272" t="n">
        <x:v>-5</x:v>
      </x:c>
      <x:c r="V272" t="str">
        <x:v>https://music.163.com/song?id=3407323768</x:v>
      </x:c>
      <x:c r="W272" t="str">
        <x:v>http://p2.music.126.net/JuvANwrvk67_NmcP4NKc-w==/109951173568935801.jpg</x:v>
      </x:c>
      <x:c r="X272" t="str">
        <x:v>https://music.163.com/discover/toplist?id=3779629</x:v>
      </x:c>
      <x:c r="Y272" t="str">
        <x:v>https://music.163.com/api/playlist/detail?id=3779629&amp;n=100</x:v>
      </x:c>
      <x:c r="Z272" s="24" t="str">
        <x:f>IFERROR(VLOOKUP(F272,'07_字典与参数'!$A$5:$E$10,3,FALSE),"待映射")</x:f>
        <x:v>网易云音乐</x:v>
      </x:c>
      <x:c r="AA272" s="24" t="str">
        <x:f>IFERROR(VLOOKUP(F272,'07_字典与参数'!$A$5:$E$10,2,FALSE),"待映射")</x:f>
        <x:v>新歌榜</x:v>
      </x:c>
      <x:c r="AB272" s="24" t="str">
        <x:f>IFERROR(VLOOKUP(F272,'07_字典与参数'!$A$5:$E$10,4,FALSE),"待映射")</x:f>
        <x:v>每日</x:v>
      </x:c>
      <x:c r="AC272" s="24" t="str">
        <x:f>D272&amp;"|"&amp;F272&amp;"|"&amp;L272</x:f>
        <x:v>netease_cloud_music|new|3407323768</x:v>
      </x:c>
      <x:c r="AD272" s="24" t="str">
        <x:f>IF(J272&lt;=10,"是","否")</x:f>
        <x:v>否</x:v>
      </x:c>
      <x:c r="AE272" s="24" t="n">
        <x:f>IFERROR(YEAR(R272),"缺失")</x:f>
        <x:v>2026</x:v>
      </x:c>
    </x:row>
    <x:row r="273">
      <x:c r="A273" t="str">
        <x:v>20260812T132133+0800</x:v>
      </x:c>
      <x:c r="B273" t="n">
        <x:v>46246.22329861111</x:v>
      </x:c>
      <x:c r="C273" t="str">
        <x:v>2026-08-12</x:v>
      </x:c>
      <x:c r="D273" t="str">
        <x:v>netease_cloud_music</x:v>
      </x:c>
      <x:c r="E273" t="str">
        <x:v>CN</x:v>
      </x:c>
      <x:c r="F273" t="str">
        <x:v>new</x:v>
      </x:c>
      <x:c r="G273" t="str">
        <x:v>新歌榜</x:v>
      </x:c>
      <x:c r="H273" t="str">
        <x:v>3779629</x:v>
      </x:c>
      <x:c r="I273" t="n">
        <x:v>100</x:v>
      </x:c>
      <x:c r="J273" t="n">
        <x:v>69</x:v>
      </x:c>
      <x:c r="K273" t="n">
        <x:v>32</x:v>
      </x:c>
      <x:c r="L273" t="str">
        <x:v>3411575362</x:v>
      </x:c>
      <x:c r="M273" t="str">
        <x:v>失重色</x:v>
      </x:c>
      <x:c r="N273" t="str">
        <x:v>1124559</x:v>
      </x:c>
      <x:c r="O273" t="str">
        <x:v>SEHUN</x:v>
      </x:c>
      <x:c r="P273" t="str">
        <x:v>389079078</x:v>
      </x:c>
      <x:c r="Q273" t="str">
        <x:v>失重色</x:v>
      </x:c>
      <x:c r="R273" t="str">
        <x:v>2026-07-29</x:v>
      </x:c>
      <x:c r="S273" t="str"/>
      <x:c r="T273" t="n">
        <x:v>56</x:v>
      </x:c>
      <x:c r="U273" t="n">
        <x:v>-13</x:v>
      </x:c>
      <x:c r="V273" t="str">
        <x:v>https://music.163.com/song?id=3411575362</x:v>
      </x:c>
      <x:c r="W273" t="str">
        <x:v>http://p2.music.126.net/gv4VICaJBpR9DUDG5kvT0g==/109951173639053399.jpg</x:v>
      </x:c>
      <x:c r="X273" t="str">
        <x:v>https://music.163.com/discover/toplist?id=3779629</x:v>
      </x:c>
      <x:c r="Y273" t="str">
        <x:v>https://music.163.com/api/playlist/detail?id=3779629&amp;n=100</x:v>
      </x:c>
      <x:c r="Z273" s="24" t="str">
        <x:f>IFERROR(VLOOKUP(F273,'07_字典与参数'!$A$5:$E$10,3,FALSE),"待映射")</x:f>
        <x:v>网易云音乐</x:v>
      </x:c>
      <x:c r="AA273" s="24" t="str">
        <x:f>IFERROR(VLOOKUP(F273,'07_字典与参数'!$A$5:$E$10,2,FALSE),"待映射")</x:f>
        <x:v>新歌榜</x:v>
      </x:c>
      <x:c r="AB273" s="24" t="str">
        <x:f>IFERROR(VLOOKUP(F273,'07_字典与参数'!$A$5:$E$10,4,FALSE),"待映射")</x:f>
        <x:v>每日</x:v>
      </x:c>
      <x:c r="AC273" s="24" t="str">
        <x:f>D273&amp;"|"&amp;F273&amp;"|"&amp;L273</x:f>
        <x:v>netease_cloud_music|new|3411575362</x:v>
      </x:c>
      <x:c r="AD273" s="24" t="str">
        <x:f>IF(J273&lt;=10,"是","否")</x:f>
        <x:v>否</x:v>
      </x:c>
      <x:c r="AE273" s="24" t="n">
        <x:f>IFERROR(YEAR(R273),"缺失")</x:f>
        <x:v>2026</x:v>
      </x:c>
    </x:row>
    <x:row r="274">
      <x:c r="A274" t="str">
        <x:v>20260812T132133+0800</x:v>
      </x:c>
      <x:c r="B274" t="n">
        <x:v>46246.22329861111</x:v>
      </x:c>
      <x:c r="C274" t="str">
        <x:v>2026-08-12</x:v>
      </x:c>
      <x:c r="D274" t="str">
        <x:v>netease_cloud_music</x:v>
      </x:c>
      <x:c r="E274" t="str">
        <x:v>CN</x:v>
      </x:c>
      <x:c r="F274" t="str">
        <x:v>new</x:v>
      </x:c>
      <x:c r="G274" t="str">
        <x:v>新歌榜</x:v>
      </x:c>
      <x:c r="H274" t="str">
        <x:v>3779629</x:v>
      </x:c>
      <x:c r="I274" t="n">
        <x:v>100</x:v>
      </x:c>
      <x:c r="J274" t="n">
        <x:v>70</x:v>
      </x:c>
      <x:c r="K274" t="n">
        <x:v>31</x:v>
      </x:c>
      <x:c r="L274" t="str">
        <x:v>3411196334</x:v>
      </x:c>
      <x:c r="M274" t="str">
        <x:v>Dats Me (通通是我)  (Live)</x:v>
      </x:c>
      <x:c r="N274" t="str">
        <x:v>49141872</x:v>
      </x:c>
      <x:c r="O274" t="str">
        <x:v>Top Barry</x:v>
      </x:c>
      <x:c r="P274" t="str">
        <x:v>388942253</x:v>
      </x:c>
      <x:c r="Q274" t="str">
        <x:v>说唱巅峰对决2026 第五期</x:v>
      </x:c>
      <x:c r="R274" t="str"/>
      <x:c r="S274" t="str"/>
      <x:c r="T274" t="n">
        <x:v>65</x:v>
      </x:c>
      <x:c r="U274" t="n">
        <x:v>-5</x:v>
      </x:c>
      <x:c r="V274" t="str">
        <x:v>https://music.163.com/song?id=3411196334</x:v>
      </x:c>
      <x:c r="W274" t="str">
        <x:v>http://p2.music.126.net/KnyQp7HJbamMIrBo12yPOA==/109951173634722873.jpg</x:v>
      </x:c>
      <x:c r="X274" t="str">
        <x:v>https://music.163.com/discover/toplist?id=3779629</x:v>
      </x:c>
      <x:c r="Y274" t="str">
        <x:v>https://music.163.com/api/playlist/detail?id=3779629&amp;n=100</x:v>
      </x:c>
      <x:c r="Z274" s="24" t="str">
        <x:f>IFERROR(VLOOKUP(F274,'07_字典与参数'!$A$5:$E$10,3,FALSE),"待映射")</x:f>
        <x:v>网易云音乐</x:v>
      </x:c>
      <x:c r="AA274" s="24" t="str">
        <x:f>IFERROR(VLOOKUP(F274,'07_字典与参数'!$A$5:$E$10,2,FALSE),"待映射")</x:f>
        <x:v>新歌榜</x:v>
      </x:c>
      <x:c r="AB274" s="24" t="str">
        <x:f>IFERROR(VLOOKUP(F274,'07_字典与参数'!$A$5:$E$10,4,FALSE),"待映射")</x:f>
        <x:v>每日</x:v>
      </x:c>
      <x:c r="AC274" s="24" t="str">
        <x:f>D274&amp;"|"&amp;F274&amp;"|"&amp;L274</x:f>
        <x:v>netease_cloud_music|new|3411196334</x:v>
      </x:c>
      <x:c r="AD274" s="24" t="str">
        <x:f>IF(J274&lt;=10,"是","否")</x:f>
        <x:v>否</x:v>
      </x:c>
      <x:c r="AE274" s="24" t="str">
        <x:f>IFERROR(YEAR(R274),"缺失")</x:f>
        <x:v>缺失</x:v>
      </x:c>
    </x:row>
    <x:row r="275">
      <x:c r="A275" t="str">
        <x:v>20260812T132133+0800</x:v>
      </x:c>
      <x:c r="B275" t="n">
        <x:v>46246.22329861111</x:v>
      </x:c>
      <x:c r="C275" t="str">
        <x:v>2026-08-12</x:v>
      </x:c>
      <x:c r="D275" t="str">
        <x:v>netease_cloud_music</x:v>
      </x:c>
      <x:c r="E275" t="str">
        <x:v>CN</x:v>
      </x:c>
      <x:c r="F275" t="str">
        <x:v>new</x:v>
      </x:c>
      <x:c r="G275" t="str">
        <x:v>新歌榜</x:v>
      </x:c>
      <x:c r="H275" t="str">
        <x:v>3779629</x:v>
      </x:c>
      <x:c r="I275" t="n">
        <x:v>100</x:v>
      </x:c>
      <x:c r="J275" t="n">
        <x:v>71</x:v>
      </x:c>
      <x:c r="K275" t="n">
        <x:v>30</x:v>
      </x:c>
      <x:c r="L275" t="str">
        <x:v>3407305324</x:v>
      </x:c>
      <x:c r="M275" t="str">
        <x:v>人生就是一场朝花夕拾</x:v>
      </x:c>
      <x:c r="N275" t="str">
        <x:v>94295709</x:v>
      </x:c>
      <x:c r="O275" t="str">
        <x:v>供销社乐队</x:v>
      </x:c>
      <x:c r="P275" t="str">
        <x:v>387352257</x:v>
      </x:c>
      <x:c r="Q275" t="str">
        <x:v>人生就是一场朝花夕拾</x:v>
      </x:c>
      <x:c r="R275" t="str">
        <x:v>2026-07-18</x:v>
      </x:c>
      <x:c r="S275" t="str"/>
      <x:c r="T275" t="n">
        <x:v>72</x:v>
      </x:c>
      <x:c r="U275" t="n">
        <x:v>1</x:v>
      </x:c>
      <x:c r="V275" t="str">
        <x:v>https://music.163.com/song?id=3407305324</x:v>
      </x:c>
      <x:c r="W275" t="str">
        <x:v>http://p1.music.126.net/BqT177oRTTDDCT8sQLKvCw==/109951173568695161.jpg</x:v>
      </x:c>
      <x:c r="X275" t="str">
        <x:v>https://music.163.com/discover/toplist?id=3779629</x:v>
      </x:c>
      <x:c r="Y275" t="str">
        <x:v>https://music.163.com/api/playlist/detail?id=3779629&amp;n=100</x:v>
      </x:c>
      <x:c r="Z275" s="24" t="str">
        <x:f>IFERROR(VLOOKUP(F275,'07_字典与参数'!$A$5:$E$10,3,FALSE),"待映射")</x:f>
        <x:v>网易云音乐</x:v>
      </x:c>
      <x:c r="AA275" s="24" t="str">
        <x:f>IFERROR(VLOOKUP(F275,'07_字典与参数'!$A$5:$E$10,2,FALSE),"待映射")</x:f>
        <x:v>新歌榜</x:v>
      </x:c>
      <x:c r="AB275" s="24" t="str">
        <x:f>IFERROR(VLOOKUP(F275,'07_字典与参数'!$A$5:$E$10,4,FALSE),"待映射")</x:f>
        <x:v>每日</x:v>
      </x:c>
      <x:c r="AC275" s="24" t="str">
        <x:f>D275&amp;"|"&amp;F275&amp;"|"&amp;L275</x:f>
        <x:v>netease_cloud_music|new|3407305324</x:v>
      </x:c>
      <x:c r="AD275" s="24" t="str">
        <x:f>IF(J275&lt;=10,"是","否")</x:f>
        <x:v>否</x:v>
      </x:c>
      <x:c r="AE275" s="24" t="n">
        <x:f>IFERROR(YEAR(R275),"缺失")</x:f>
        <x:v>2026</x:v>
      </x:c>
    </x:row>
    <x:row r="276">
      <x:c r="A276" t="str">
        <x:v>20260812T132133+0800</x:v>
      </x:c>
      <x:c r="B276" t="n">
        <x:v>46246.22329861111</x:v>
      </x:c>
      <x:c r="C276" t="str">
        <x:v>2026-08-12</x:v>
      </x:c>
      <x:c r="D276" t="str">
        <x:v>netease_cloud_music</x:v>
      </x:c>
      <x:c r="E276" t="str">
        <x:v>CN</x:v>
      </x:c>
      <x:c r="F276" t="str">
        <x:v>new</x:v>
      </x:c>
      <x:c r="G276" t="str">
        <x:v>新歌榜</x:v>
      </x:c>
      <x:c r="H276" t="str">
        <x:v>3779629</x:v>
      </x:c>
      <x:c r="I276" t="n">
        <x:v>100</x:v>
      </x:c>
      <x:c r="J276" t="n">
        <x:v>72</x:v>
      </x:c>
      <x:c r="K276" t="n">
        <x:v>29</x:v>
      </x:c>
      <x:c r="L276" t="str">
        <x:v>3413910962</x:v>
      </x:c>
      <x:c r="M276" t="str">
        <x:v>无声书</x:v>
      </x:c>
      <x:c r="N276" t="str"/>
      <x:c r="O276" t="str">
        <x:v>梅兰兰</x:v>
      </x:c>
      <x:c r="P276" t="str">
        <x:v>389903818</x:v>
      </x:c>
      <x:c r="Q276" t="str">
        <x:v>无声书</x:v>
      </x:c>
      <x:c r="R276" t="str">
        <x:v>2026-07-31</x:v>
      </x:c>
      <x:c r="S276" t="str"/>
      <x:c r="T276" t="n">
        <x:v>68</x:v>
      </x:c>
      <x:c r="U276" t="n">
        <x:v>-4</x:v>
      </x:c>
      <x:c r="V276" t="str">
        <x:v>https://music.163.com/song?id=3413910962</x:v>
      </x:c>
      <x:c r="W276" t="str">
        <x:v>http://p1.music.126.net/cTwK150MqI-p3xrOLI98Zw==/109951173664985983.jpg</x:v>
      </x:c>
      <x:c r="X276" t="str">
        <x:v>https://music.163.com/discover/toplist?id=3779629</x:v>
      </x:c>
      <x:c r="Y276" t="str">
        <x:v>https://music.163.com/api/playlist/detail?id=3779629&amp;n=100</x:v>
      </x:c>
      <x:c r="Z276" s="24" t="str">
        <x:f>IFERROR(VLOOKUP(F276,'07_字典与参数'!$A$5:$E$10,3,FALSE),"待映射")</x:f>
        <x:v>网易云音乐</x:v>
      </x:c>
      <x:c r="AA276" s="24" t="str">
        <x:f>IFERROR(VLOOKUP(F276,'07_字典与参数'!$A$5:$E$10,2,FALSE),"待映射")</x:f>
        <x:v>新歌榜</x:v>
      </x:c>
      <x:c r="AB276" s="24" t="str">
        <x:f>IFERROR(VLOOKUP(F276,'07_字典与参数'!$A$5:$E$10,4,FALSE),"待映射")</x:f>
        <x:v>每日</x:v>
      </x:c>
      <x:c r="AC276" s="24" t="str">
        <x:f>D276&amp;"|"&amp;F276&amp;"|"&amp;L276</x:f>
        <x:v>netease_cloud_music|new|3413910962</x:v>
      </x:c>
      <x:c r="AD276" s="24" t="str">
        <x:f>IF(J276&lt;=10,"是","否")</x:f>
        <x:v>否</x:v>
      </x:c>
      <x:c r="AE276" s="24" t="n">
        <x:f>IFERROR(YEAR(R276),"缺失")</x:f>
        <x:v>2026</x:v>
      </x:c>
    </x:row>
    <x:row r="277">
      <x:c r="A277" t="str">
        <x:v>20260812T132133+0800</x:v>
      </x:c>
      <x:c r="B277" t="n">
        <x:v>46246.22329861111</x:v>
      </x:c>
      <x:c r="C277" t="str">
        <x:v>2026-08-12</x:v>
      </x:c>
      <x:c r="D277" t="str">
        <x:v>netease_cloud_music</x:v>
      </x:c>
      <x:c r="E277" t="str">
        <x:v>CN</x:v>
      </x:c>
      <x:c r="F277" t="str">
        <x:v>new</x:v>
      </x:c>
      <x:c r="G277" t="str">
        <x:v>新歌榜</x:v>
      </x:c>
      <x:c r="H277" t="str">
        <x:v>3779629</x:v>
      </x:c>
      <x:c r="I277" t="n">
        <x:v>100</x:v>
      </x:c>
      <x:c r="J277" t="n">
        <x:v>73</x:v>
      </x:c>
      <x:c r="K277" t="n">
        <x:v>28</x:v>
      </x:c>
      <x:c r="L277" t="str">
        <x:v>3406305479</x:v>
      </x:c>
      <x:c r="M277" t="str">
        <x:v>小两届 (那是一位小两届的学妹)</x:v>
      </x:c>
      <x:c r="N277" t="str">
        <x:v>58605241</x:v>
      </x:c>
      <x:c r="O277" t="str">
        <x:v>泽希poolhope</x:v>
      </x:c>
      <x:c r="P277" t="str">
        <x:v>386884113</x:v>
      </x:c>
      <x:c r="Q277" t="str">
        <x:v>小两届 (那是一位小两届的学妹)</x:v>
      </x:c>
      <x:c r="R277" t="str">
        <x:v>2026-07-16</x:v>
      </x:c>
      <x:c r="S277" t="str"/>
      <x:c r="T277" t="n">
        <x:v>71</x:v>
      </x:c>
      <x:c r="U277" t="n">
        <x:v>-2</x:v>
      </x:c>
      <x:c r="V277" t="str">
        <x:v>https://music.163.com/song?id=3406305479</x:v>
      </x:c>
      <x:c r="W277" t="str">
        <x:v>http://p1.music.126.net/4Il8--iDI4AdtsNvuxv_Ng==/109951173554924903.jpg</x:v>
      </x:c>
      <x:c r="X277" t="str">
        <x:v>https://music.163.com/discover/toplist?id=3779629</x:v>
      </x:c>
      <x:c r="Y277" t="str">
        <x:v>https://music.163.com/api/playlist/detail?id=3779629&amp;n=100</x:v>
      </x:c>
      <x:c r="Z277" s="24" t="str">
        <x:f>IFERROR(VLOOKUP(F277,'07_字典与参数'!$A$5:$E$10,3,FALSE),"待映射")</x:f>
        <x:v>网易云音乐</x:v>
      </x:c>
      <x:c r="AA277" s="24" t="str">
        <x:f>IFERROR(VLOOKUP(F277,'07_字典与参数'!$A$5:$E$10,2,FALSE),"待映射")</x:f>
        <x:v>新歌榜</x:v>
      </x:c>
      <x:c r="AB277" s="24" t="str">
        <x:f>IFERROR(VLOOKUP(F277,'07_字典与参数'!$A$5:$E$10,4,FALSE),"待映射")</x:f>
        <x:v>每日</x:v>
      </x:c>
      <x:c r="AC277" s="24" t="str">
        <x:f>D277&amp;"|"&amp;F277&amp;"|"&amp;L277</x:f>
        <x:v>netease_cloud_music|new|3406305479</x:v>
      </x:c>
      <x:c r="AD277" s="24" t="str">
        <x:f>IF(J277&lt;=10,"是","否")</x:f>
        <x:v>否</x:v>
      </x:c>
      <x:c r="AE277" s="24" t="n">
        <x:f>IFERROR(YEAR(R277),"缺失")</x:f>
        <x:v>2026</x:v>
      </x:c>
    </x:row>
    <x:row r="278">
      <x:c r="A278" t="str">
        <x:v>20260812T132133+0800</x:v>
      </x:c>
      <x:c r="B278" t="n">
        <x:v>46246.22329861111</x:v>
      </x:c>
      <x:c r="C278" t="str">
        <x:v>2026-08-12</x:v>
      </x:c>
      <x:c r="D278" t="str">
        <x:v>netease_cloud_music</x:v>
      </x:c>
      <x:c r="E278" t="str">
        <x:v>CN</x:v>
      </x:c>
      <x:c r="F278" t="str">
        <x:v>new</x:v>
      </x:c>
      <x:c r="G278" t="str">
        <x:v>新歌榜</x:v>
      </x:c>
      <x:c r="H278" t="str">
        <x:v>3779629</x:v>
      </x:c>
      <x:c r="I278" t="n">
        <x:v>100</x:v>
      </x:c>
      <x:c r="J278" t="n">
        <x:v>74</x:v>
      </x:c>
      <x:c r="K278" t="n">
        <x:v>27</x:v>
      </x:c>
      <x:c r="L278" t="str">
        <x:v>3417231865</x:v>
      </x:c>
      <x:c r="M278" t="str">
        <x:v>黑白</x:v>
      </x:c>
      <x:c r="N278" t="str">
        <x:v>12529648 | 55315624</x:v>
      </x:c>
      <x:c r="O278" t="str">
        <x:v>KIV | 贾真Jahgen</x:v>
      </x:c>
      <x:c r="P278" t="str">
        <x:v>391112360</x:v>
      </x:c>
      <x:c r="Q278" t="str">
        <x:v>黑白</x:v>
      </x:c>
      <x:c r="R278" t="str">
        <x:v>2026-08-08</x:v>
      </x:c>
      <x:c r="S278" t="str"/>
      <x:c r="T278" t="n">
        <x:v>58</x:v>
      </x:c>
      <x:c r="U278" t="n">
        <x:v>-16</x:v>
      </x:c>
      <x:c r="V278" t="str">
        <x:v>https://music.163.com/song?id=3417231865</x:v>
      </x:c>
      <x:c r="W278" t="str">
        <x:v>http://p1.music.126.net/XvrWWslf5brL0rmVzqxAtw==/109951173704147854.jpg</x:v>
      </x:c>
      <x:c r="X278" t="str">
        <x:v>https://music.163.com/discover/toplist?id=3779629</x:v>
      </x:c>
      <x:c r="Y278" t="str">
        <x:v>https://music.163.com/api/playlist/detail?id=3779629&amp;n=100</x:v>
      </x:c>
      <x:c r="Z278" s="24" t="str">
        <x:f>IFERROR(VLOOKUP(F278,'07_字典与参数'!$A$5:$E$10,3,FALSE),"待映射")</x:f>
        <x:v>网易云音乐</x:v>
      </x:c>
      <x:c r="AA278" s="24" t="str">
        <x:f>IFERROR(VLOOKUP(F278,'07_字典与参数'!$A$5:$E$10,2,FALSE),"待映射")</x:f>
        <x:v>新歌榜</x:v>
      </x:c>
      <x:c r="AB278" s="24" t="str">
        <x:f>IFERROR(VLOOKUP(F278,'07_字典与参数'!$A$5:$E$10,4,FALSE),"待映射")</x:f>
        <x:v>每日</x:v>
      </x:c>
      <x:c r="AC278" s="24" t="str">
        <x:f>D278&amp;"|"&amp;F278&amp;"|"&amp;L278</x:f>
        <x:v>netease_cloud_music|new|3417231865</x:v>
      </x:c>
      <x:c r="AD278" s="24" t="str">
        <x:f>IF(J278&lt;=10,"是","否")</x:f>
        <x:v>否</x:v>
      </x:c>
      <x:c r="AE278" s="24" t="n">
        <x:f>IFERROR(YEAR(R278),"缺失")</x:f>
        <x:v>2026</x:v>
      </x:c>
    </x:row>
    <x:row r="279">
      <x:c r="A279" t="str">
        <x:v>20260812T132133+0800</x:v>
      </x:c>
      <x:c r="B279" t="n">
        <x:v>46246.22329861111</x:v>
      </x:c>
      <x:c r="C279" t="str">
        <x:v>2026-08-12</x:v>
      </x:c>
      <x:c r="D279" t="str">
        <x:v>netease_cloud_music</x:v>
      </x:c>
      <x:c r="E279" t="str">
        <x:v>CN</x:v>
      </x:c>
      <x:c r="F279" t="str">
        <x:v>new</x:v>
      </x:c>
      <x:c r="G279" t="str">
        <x:v>新歌榜</x:v>
      </x:c>
      <x:c r="H279" t="str">
        <x:v>3779629</x:v>
      </x:c>
      <x:c r="I279" t="n">
        <x:v>100</x:v>
      </x:c>
      <x:c r="J279" t="n">
        <x:v>75</x:v>
      </x:c>
      <x:c r="K279" t="n">
        <x:v>26</x:v>
      </x:c>
      <x:c r="L279" t="str">
        <x:v>3407057564</x:v>
      </x:c>
      <x:c r="M279" t="str">
        <x:v>港</x:v>
      </x:c>
      <x:c r="N279" t="str">
        <x:v>48497149</x:v>
      </x:c>
      <x:c r="O279" t="str">
        <x:v>柠安</x:v>
      </x:c>
      <x:c r="P279" t="str">
        <x:v>387198817</x:v>
      </x:c>
      <x:c r="Q279" t="str">
        <x:v>港</x:v>
      </x:c>
      <x:c r="R279" t="str"/>
      <x:c r="S279" t="str"/>
      <x:c r="T279" t="n">
        <x:v>83</x:v>
      </x:c>
      <x:c r="U279" t="n">
        <x:v>8</x:v>
      </x:c>
      <x:c r="V279" t="str">
        <x:v>https://music.163.com/song?id=3407057564</x:v>
      </x:c>
      <x:c r="W279" t="str">
        <x:v>http://p1.music.126.net/njOcjNFWKRgXb5ImnDCSIw==/109951173562158912.jpg</x:v>
      </x:c>
      <x:c r="X279" t="str">
        <x:v>https://music.163.com/discover/toplist?id=3779629</x:v>
      </x:c>
      <x:c r="Y279" t="str">
        <x:v>https://music.163.com/api/playlist/detail?id=3779629&amp;n=100</x:v>
      </x:c>
      <x:c r="Z279" s="24" t="str">
        <x:f>IFERROR(VLOOKUP(F279,'07_字典与参数'!$A$5:$E$10,3,FALSE),"待映射")</x:f>
        <x:v>网易云音乐</x:v>
      </x:c>
      <x:c r="AA279" s="24" t="str">
        <x:f>IFERROR(VLOOKUP(F279,'07_字典与参数'!$A$5:$E$10,2,FALSE),"待映射")</x:f>
        <x:v>新歌榜</x:v>
      </x:c>
      <x:c r="AB279" s="24" t="str">
        <x:f>IFERROR(VLOOKUP(F279,'07_字典与参数'!$A$5:$E$10,4,FALSE),"待映射")</x:f>
        <x:v>每日</x:v>
      </x:c>
      <x:c r="AC279" s="24" t="str">
        <x:f>D279&amp;"|"&amp;F279&amp;"|"&amp;L279</x:f>
        <x:v>netease_cloud_music|new|3407057564</x:v>
      </x:c>
      <x:c r="AD279" s="24" t="str">
        <x:f>IF(J279&lt;=10,"是","否")</x:f>
        <x:v>否</x:v>
      </x:c>
      <x:c r="AE279" s="24" t="str">
        <x:f>IFERROR(YEAR(R279),"缺失")</x:f>
        <x:v>缺失</x:v>
      </x:c>
    </x:row>
    <x:row r="280">
      <x:c r="A280" t="str">
        <x:v>20260812T132133+0800</x:v>
      </x:c>
      <x:c r="B280" t="n">
        <x:v>46246.22329861111</x:v>
      </x:c>
      <x:c r="C280" t="str">
        <x:v>2026-08-12</x:v>
      </x:c>
      <x:c r="D280" t="str">
        <x:v>netease_cloud_music</x:v>
      </x:c>
      <x:c r="E280" t="str">
        <x:v>CN</x:v>
      </x:c>
      <x:c r="F280" t="str">
        <x:v>new</x:v>
      </x:c>
      <x:c r="G280" t="str">
        <x:v>新歌榜</x:v>
      </x:c>
      <x:c r="H280" t="str">
        <x:v>3779629</x:v>
      </x:c>
      <x:c r="I280" t="n">
        <x:v>100</x:v>
      </x:c>
      <x:c r="J280" t="n">
        <x:v>76</x:v>
      </x:c>
      <x:c r="K280" t="n">
        <x:v>25</x:v>
      </x:c>
      <x:c r="L280" t="str">
        <x:v>3408940397</x:v>
      </x:c>
      <x:c r="M280" t="str">
        <x:v>Just a Mind</x:v>
      </x:c>
      <x:c r="N280" t="str">
        <x:v>94439994</x:v>
      </x:c>
      <x:c r="O280" t="str">
        <x:v>Agera</x:v>
      </x:c>
      <x:c r="P280" t="str">
        <x:v>387965141</x:v>
      </x:c>
      <x:c r="Q280" t="str">
        <x:v>Just a Mind</x:v>
      </x:c>
      <x:c r="R280" t="str"/>
      <x:c r="S280" t="str"/>
      <x:c r="T280"/>
      <x:c r="U280"/>
      <x:c r="V280" t="str">
        <x:v>https://music.163.com/song?id=3408940397</x:v>
      </x:c>
      <x:c r="W280" t="str">
        <x:v>http://p1.music.126.net/_0iL_hUjLUuor5KzbAcbCQ==/109951173598307428.jpg</x:v>
      </x:c>
      <x:c r="X280" t="str">
        <x:v>https://music.163.com/discover/toplist?id=3779629</x:v>
      </x:c>
      <x:c r="Y280" t="str">
        <x:v>https://music.163.com/api/playlist/detail?id=3779629&amp;n=100</x:v>
      </x:c>
      <x:c r="Z280" s="24" t="str">
        <x:f>IFERROR(VLOOKUP(F280,'07_字典与参数'!$A$5:$E$10,3,FALSE),"待映射")</x:f>
        <x:v>网易云音乐</x:v>
      </x:c>
      <x:c r="AA280" s="24" t="str">
        <x:f>IFERROR(VLOOKUP(F280,'07_字典与参数'!$A$5:$E$10,2,FALSE),"待映射")</x:f>
        <x:v>新歌榜</x:v>
      </x:c>
      <x:c r="AB280" s="24" t="str">
        <x:f>IFERROR(VLOOKUP(F280,'07_字典与参数'!$A$5:$E$10,4,FALSE),"待映射")</x:f>
        <x:v>每日</x:v>
      </x:c>
      <x:c r="AC280" s="24" t="str">
        <x:f>D280&amp;"|"&amp;F280&amp;"|"&amp;L280</x:f>
        <x:v>netease_cloud_music|new|3408940397</x:v>
      </x:c>
      <x:c r="AD280" s="24" t="str">
        <x:f>IF(J280&lt;=10,"是","否")</x:f>
        <x:v>否</x:v>
      </x:c>
      <x:c r="AE280" s="24" t="str">
        <x:f>IFERROR(YEAR(R280),"缺失")</x:f>
        <x:v>缺失</x:v>
      </x:c>
    </x:row>
    <x:row r="281">
      <x:c r="A281" t="str">
        <x:v>20260812T132133+0800</x:v>
      </x:c>
      <x:c r="B281" t="n">
        <x:v>46246.22329861111</x:v>
      </x:c>
      <x:c r="C281" t="str">
        <x:v>2026-08-12</x:v>
      </x:c>
      <x:c r="D281" t="str">
        <x:v>netease_cloud_music</x:v>
      </x:c>
      <x:c r="E281" t="str">
        <x:v>CN</x:v>
      </x:c>
      <x:c r="F281" t="str">
        <x:v>new</x:v>
      </x:c>
      <x:c r="G281" t="str">
        <x:v>新歌榜</x:v>
      </x:c>
      <x:c r="H281" t="str">
        <x:v>3779629</x:v>
      </x:c>
      <x:c r="I281" t="n">
        <x:v>100</x:v>
      </x:c>
      <x:c r="J281" t="n">
        <x:v>77</x:v>
      </x:c>
      <x:c r="K281" t="n">
        <x:v>24</x:v>
      </x:c>
      <x:c r="L281" t="str">
        <x:v>3410047065</x:v>
      </x:c>
      <x:c r="M281" t="str">
        <x:v>窒息 (那天我哭到窒息)</x:v>
      </x:c>
      <x:c r="N281" t="str">
        <x:v>7907</x:v>
      </x:c>
      <x:c r="O281" t="str">
        <x:v>何洁</x:v>
      </x:c>
      <x:c r="P281" t="str">
        <x:v>388504355</x:v>
      </x:c>
      <x:c r="Q281" t="str">
        <x:v>窒息 (那天我哭到窒息)</x:v>
      </x:c>
      <x:c r="R281" t="str"/>
      <x:c r="S281" t="str"/>
      <x:c r="T281"/>
      <x:c r="U281"/>
      <x:c r="V281" t="str">
        <x:v>https://music.163.com/song?id=3410047065</x:v>
      </x:c>
      <x:c r="W281" t="str">
        <x:v>http://p1.music.126.net/5NfPsnUVmnWRo6C9piZhHA==/109951173611559970.jpg</x:v>
      </x:c>
      <x:c r="X281" t="str">
        <x:v>https://music.163.com/discover/toplist?id=3779629</x:v>
      </x:c>
      <x:c r="Y281" t="str">
        <x:v>https://music.163.com/api/playlist/detail?id=3779629&amp;n=100</x:v>
      </x:c>
      <x:c r="Z281" s="24" t="str">
        <x:f>IFERROR(VLOOKUP(F281,'07_字典与参数'!$A$5:$E$10,3,FALSE),"待映射")</x:f>
        <x:v>网易云音乐</x:v>
      </x:c>
      <x:c r="AA281" s="24" t="str">
        <x:f>IFERROR(VLOOKUP(F281,'07_字典与参数'!$A$5:$E$10,2,FALSE),"待映射")</x:f>
        <x:v>新歌榜</x:v>
      </x:c>
      <x:c r="AB281" s="24" t="str">
        <x:f>IFERROR(VLOOKUP(F281,'07_字典与参数'!$A$5:$E$10,4,FALSE),"待映射")</x:f>
        <x:v>每日</x:v>
      </x:c>
      <x:c r="AC281" s="24" t="str">
        <x:f>D281&amp;"|"&amp;F281&amp;"|"&amp;L281</x:f>
        <x:v>netease_cloud_music|new|3410047065</x:v>
      </x:c>
      <x:c r="AD281" s="24" t="str">
        <x:f>IF(J281&lt;=10,"是","否")</x:f>
        <x:v>否</x:v>
      </x:c>
      <x:c r="AE281" s="24" t="str">
        <x:f>IFERROR(YEAR(R281),"缺失")</x:f>
        <x:v>缺失</x:v>
      </x:c>
    </x:row>
    <x:row r="282">
      <x:c r="A282" t="str">
        <x:v>20260812T132133+0800</x:v>
      </x:c>
      <x:c r="B282" t="n">
        <x:v>46246.22329861111</x:v>
      </x:c>
      <x:c r="C282" t="str">
        <x:v>2026-08-12</x:v>
      </x:c>
      <x:c r="D282" t="str">
        <x:v>netease_cloud_music</x:v>
      </x:c>
      <x:c r="E282" t="str">
        <x:v>CN</x:v>
      </x:c>
      <x:c r="F282" t="str">
        <x:v>new</x:v>
      </x:c>
      <x:c r="G282" t="str">
        <x:v>新歌榜</x:v>
      </x:c>
      <x:c r="H282" t="str">
        <x:v>3779629</x:v>
      </x:c>
      <x:c r="I282" t="n">
        <x:v>100</x:v>
      </x:c>
      <x:c r="J282" t="n">
        <x:v>78</x:v>
      </x:c>
      <x:c r="K282" t="n">
        <x:v>23</x:v>
      </x:c>
      <x:c r="L282" t="str">
        <x:v>3410168048</x:v>
      </x:c>
      <x:c r="M282" t="str">
        <x:v>说好不再见</x:v>
      </x:c>
      <x:c r="N282" t="str">
        <x:v>12471927</x:v>
      </x:c>
      <x:c r="O282" t="str">
        <x:v>江皓南</x:v>
      </x:c>
      <x:c r="P282" t="str">
        <x:v>388546716</x:v>
      </x:c>
      <x:c r="Q282" t="str">
        <x:v>说好不再见</x:v>
      </x:c>
      <x:c r="R282" t="str">
        <x:v>2026-07-24</x:v>
      </x:c>
      <x:c r="S282" t="str"/>
      <x:c r="T282" t="n">
        <x:v>86</x:v>
      </x:c>
      <x:c r="U282" t="n">
        <x:v>8</x:v>
      </x:c>
      <x:c r="V282" t="str">
        <x:v>https://music.163.com/song?id=3410168048</x:v>
      </x:c>
      <x:c r="W282" t="str">
        <x:v>http://p1.music.126.net/SkUsDBxJ26fYNA6m2pjAmQ==/109951173621678196.jpg</x:v>
      </x:c>
      <x:c r="X282" t="str">
        <x:v>https://music.163.com/discover/toplist?id=3779629</x:v>
      </x:c>
      <x:c r="Y282" t="str">
        <x:v>https://music.163.com/api/playlist/detail?id=3779629&amp;n=100</x:v>
      </x:c>
      <x:c r="Z282" s="24" t="str">
        <x:f>IFERROR(VLOOKUP(F282,'07_字典与参数'!$A$5:$E$10,3,FALSE),"待映射")</x:f>
        <x:v>网易云音乐</x:v>
      </x:c>
      <x:c r="AA282" s="24" t="str">
        <x:f>IFERROR(VLOOKUP(F282,'07_字典与参数'!$A$5:$E$10,2,FALSE),"待映射")</x:f>
        <x:v>新歌榜</x:v>
      </x:c>
      <x:c r="AB282" s="24" t="str">
        <x:f>IFERROR(VLOOKUP(F282,'07_字典与参数'!$A$5:$E$10,4,FALSE),"待映射")</x:f>
        <x:v>每日</x:v>
      </x:c>
      <x:c r="AC282" s="24" t="str">
        <x:f>D282&amp;"|"&amp;F282&amp;"|"&amp;L282</x:f>
        <x:v>netease_cloud_music|new|3410168048</x:v>
      </x:c>
      <x:c r="AD282" s="24" t="str">
        <x:f>IF(J282&lt;=10,"是","否")</x:f>
        <x:v>否</x:v>
      </x:c>
      <x:c r="AE282" s="24" t="n">
        <x:f>IFERROR(YEAR(R282),"缺失")</x:f>
        <x:v>2026</x:v>
      </x:c>
    </x:row>
    <x:row r="283">
      <x:c r="A283" t="str">
        <x:v>20260812T132133+0800</x:v>
      </x:c>
      <x:c r="B283" t="n">
        <x:v>46246.22329861111</x:v>
      </x:c>
      <x:c r="C283" t="str">
        <x:v>2026-08-12</x:v>
      </x:c>
      <x:c r="D283" t="str">
        <x:v>netease_cloud_music</x:v>
      </x:c>
      <x:c r="E283" t="str">
        <x:v>CN</x:v>
      </x:c>
      <x:c r="F283" t="str">
        <x:v>new</x:v>
      </x:c>
      <x:c r="G283" t="str">
        <x:v>新歌榜</x:v>
      </x:c>
      <x:c r="H283" t="str">
        <x:v>3779629</x:v>
      </x:c>
      <x:c r="I283" t="n">
        <x:v>100</x:v>
      </x:c>
      <x:c r="J283" t="n">
        <x:v>79</x:v>
      </x:c>
      <x:c r="K283" t="n">
        <x:v>22</x:v>
      </x:c>
      <x:c r="L283" t="str">
        <x:v>3410063350</x:v>
      </x:c>
      <x:c r="M283" t="str">
        <x:v>Camera</x:v>
      </x:c>
      <x:c r="N283" t="str">
        <x:v>53092</x:v>
      </x:c>
      <x:c r="O283" t="str">
        <x:v>Charli xcx</x:v>
      </x:c>
      <x:c r="P283" t="str">
        <x:v>388510703</x:v>
      </x:c>
      <x:c r="Q283" t="str">
        <x:v>Music, Fashion, Film</x:v>
      </x:c>
      <x:c r="R283" t="str">
        <x:v>2026-07-24</x:v>
      </x:c>
      <x:c r="S283" t="str"/>
      <x:c r="T283" t="n">
        <x:v>67</x:v>
      </x:c>
      <x:c r="U283" t="n">
        <x:v>-12</x:v>
      </x:c>
      <x:c r="V283" t="str">
        <x:v>https://music.163.com/song?id=3410063350</x:v>
      </x:c>
      <x:c r="W283" t="str">
        <x:v>http://p1.music.126.net/IQGjkohrt3Bna3xsbBlEMA==/109951173620612327.jpg</x:v>
      </x:c>
      <x:c r="X283" t="str">
        <x:v>https://music.163.com/discover/toplist?id=3779629</x:v>
      </x:c>
      <x:c r="Y283" t="str">
        <x:v>https://music.163.com/api/playlist/detail?id=3779629&amp;n=100</x:v>
      </x:c>
      <x:c r="Z283" s="24" t="str">
        <x:f>IFERROR(VLOOKUP(F283,'07_字典与参数'!$A$5:$E$10,3,FALSE),"待映射")</x:f>
        <x:v>网易云音乐</x:v>
      </x:c>
      <x:c r="AA283" s="24" t="str">
        <x:f>IFERROR(VLOOKUP(F283,'07_字典与参数'!$A$5:$E$10,2,FALSE),"待映射")</x:f>
        <x:v>新歌榜</x:v>
      </x:c>
      <x:c r="AB283" s="24" t="str">
        <x:f>IFERROR(VLOOKUP(F283,'07_字典与参数'!$A$5:$E$10,4,FALSE),"待映射")</x:f>
        <x:v>每日</x:v>
      </x:c>
      <x:c r="AC283" s="24" t="str">
        <x:f>D283&amp;"|"&amp;F283&amp;"|"&amp;L283</x:f>
        <x:v>netease_cloud_music|new|3410063350</x:v>
      </x:c>
      <x:c r="AD283" s="24" t="str">
        <x:f>IF(J283&lt;=10,"是","否")</x:f>
        <x:v>否</x:v>
      </x:c>
      <x:c r="AE283" s="24" t="n">
        <x:f>IFERROR(YEAR(R283),"缺失")</x:f>
        <x:v>2026</x:v>
      </x:c>
    </x:row>
    <x:row r="284">
      <x:c r="A284" t="str">
        <x:v>20260812T132133+0800</x:v>
      </x:c>
      <x:c r="B284" t="n">
        <x:v>46246.22329861111</x:v>
      </x:c>
      <x:c r="C284" t="str">
        <x:v>2026-08-12</x:v>
      </x:c>
      <x:c r="D284" t="str">
        <x:v>netease_cloud_music</x:v>
      </x:c>
      <x:c r="E284" t="str">
        <x:v>CN</x:v>
      </x:c>
      <x:c r="F284" t="str">
        <x:v>new</x:v>
      </x:c>
      <x:c r="G284" t="str">
        <x:v>新歌榜</x:v>
      </x:c>
      <x:c r="H284" t="str">
        <x:v>3779629</x:v>
      </x:c>
      <x:c r="I284" t="n">
        <x:v>100</x:v>
      </x:c>
      <x:c r="J284" t="n">
        <x:v>80</x:v>
      </x:c>
      <x:c r="K284" t="n">
        <x:v>21</x:v>
      </x:c>
      <x:c r="L284" t="str">
        <x:v>3401056578</x:v>
      </x:c>
      <x:c r="M284" t="str">
        <x:v>衛星</x:v>
      </x:c>
      <x:c r="N284" t="str">
        <x:v>54033338</x:v>
      </x:c>
      <x:c r="O284" t="str">
        <x:v>柿崎ユウタ</x:v>
      </x:c>
      <x:c r="P284" t="str">
        <x:v>385020306</x:v>
      </x:c>
      <x:c r="Q284" t="str">
        <x:v>衛星</x:v>
      </x:c>
      <x:c r="R284" t="str">
        <x:v>2026-07-22</x:v>
      </x:c>
      <x:c r="S284" t="str"/>
      <x:c r="T284" t="n">
        <x:v>79</x:v>
      </x:c>
      <x:c r="U284" t="n">
        <x:v>-1</x:v>
      </x:c>
      <x:c r="V284" t="str">
        <x:v>https://music.163.com/song?id=3401056578</x:v>
      </x:c>
      <x:c r="W284" t="str">
        <x:v>http://p1.music.126.net/DE9go2A_lsP625CWGWD27A==/109951173498135529.jpg</x:v>
      </x:c>
      <x:c r="X284" t="str">
        <x:v>https://music.163.com/discover/toplist?id=3779629</x:v>
      </x:c>
      <x:c r="Y284" t="str">
        <x:v>https://music.163.com/api/playlist/detail?id=3779629&amp;n=100</x:v>
      </x:c>
      <x:c r="Z284" s="24" t="str">
        <x:f>IFERROR(VLOOKUP(F284,'07_字典与参数'!$A$5:$E$10,3,FALSE),"待映射")</x:f>
        <x:v>网易云音乐</x:v>
      </x:c>
      <x:c r="AA284" s="24" t="str">
        <x:f>IFERROR(VLOOKUP(F284,'07_字典与参数'!$A$5:$E$10,2,FALSE),"待映射")</x:f>
        <x:v>新歌榜</x:v>
      </x:c>
      <x:c r="AB284" s="24" t="str">
        <x:f>IFERROR(VLOOKUP(F284,'07_字典与参数'!$A$5:$E$10,4,FALSE),"待映射")</x:f>
        <x:v>每日</x:v>
      </x:c>
      <x:c r="AC284" s="24" t="str">
        <x:f>D284&amp;"|"&amp;F284&amp;"|"&amp;L284</x:f>
        <x:v>netease_cloud_music|new|3401056578</x:v>
      </x:c>
      <x:c r="AD284" s="24" t="str">
        <x:f>IF(J284&lt;=10,"是","否")</x:f>
        <x:v>否</x:v>
      </x:c>
      <x:c r="AE284" s="24" t="n">
        <x:f>IFERROR(YEAR(R284),"缺失")</x:f>
        <x:v>2026</x:v>
      </x:c>
    </x:row>
    <x:row r="285">
      <x:c r="A285" t="str">
        <x:v>20260812T132133+0800</x:v>
      </x:c>
      <x:c r="B285" t="n">
        <x:v>46246.22329861111</x:v>
      </x:c>
      <x:c r="C285" t="str">
        <x:v>2026-08-12</x:v>
      </x:c>
      <x:c r="D285" t="str">
        <x:v>netease_cloud_music</x:v>
      </x:c>
      <x:c r="E285" t="str">
        <x:v>CN</x:v>
      </x:c>
      <x:c r="F285" t="str">
        <x:v>new</x:v>
      </x:c>
      <x:c r="G285" t="str">
        <x:v>新歌榜</x:v>
      </x:c>
      <x:c r="H285" t="str">
        <x:v>3779629</x:v>
      </x:c>
      <x:c r="I285" t="n">
        <x:v>100</x:v>
      </x:c>
      <x:c r="J285" t="n">
        <x:v>81</x:v>
      </x:c>
      <x:c r="K285" t="n">
        <x:v>20</x:v>
      </x:c>
      <x:c r="L285" t="str">
        <x:v>3414312176</x:v>
      </x:c>
      <x:c r="M285" t="str">
        <x:v>风催雨(电音版)</x:v>
      </x:c>
      <x:c r="N285" t="str">
        <x:v>127187125</x:v>
      </x:c>
      <x:c r="O285" t="str">
        <x:v>DJ Konatal</x:v>
      </x:c>
      <x:c r="P285" t="str">
        <x:v>390044796</x:v>
      </x:c>
      <x:c r="Q285" t="str">
        <x:v>风催雨（电音版）</x:v>
      </x:c>
      <x:c r="R285" t="str">
        <x:v>2026-07-31</x:v>
      </x:c>
      <x:c r="S285" t="str"/>
      <x:c r="T285" t="n">
        <x:v>74</x:v>
      </x:c>
      <x:c r="U285" t="n">
        <x:v>-7</x:v>
      </x:c>
      <x:c r="V285" t="str">
        <x:v>https://music.163.com/song?id=3414312176</x:v>
      </x:c>
      <x:c r="W285" t="str">
        <x:v>http://p1.music.126.net/QDAF0SX5LqbTAGUJSi3pZQ==/109951173669872266.jpg</x:v>
      </x:c>
      <x:c r="X285" t="str">
        <x:v>https://music.163.com/discover/toplist?id=3779629</x:v>
      </x:c>
      <x:c r="Y285" t="str">
        <x:v>https://music.163.com/api/playlist/detail?id=3779629&amp;n=100</x:v>
      </x:c>
      <x:c r="Z285" s="24" t="str">
        <x:f>IFERROR(VLOOKUP(F285,'07_字典与参数'!$A$5:$E$10,3,FALSE),"待映射")</x:f>
        <x:v>网易云音乐</x:v>
      </x:c>
      <x:c r="AA285" s="24" t="str">
        <x:f>IFERROR(VLOOKUP(F285,'07_字典与参数'!$A$5:$E$10,2,FALSE),"待映射")</x:f>
        <x:v>新歌榜</x:v>
      </x:c>
      <x:c r="AB285" s="24" t="str">
        <x:f>IFERROR(VLOOKUP(F285,'07_字典与参数'!$A$5:$E$10,4,FALSE),"待映射")</x:f>
        <x:v>每日</x:v>
      </x:c>
      <x:c r="AC285" s="24" t="str">
        <x:f>D285&amp;"|"&amp;F285&amp;"|"&amp;L285</x:f>
        <x:v>netease_cloud_music|new|3414312176</x:v>
      </x:c>
      <x:c r="AD285" s="24" t="str">
        <x:f>IF(J285&lt;=10,"是","否")</x:f>
        <x:v>否</x:v>
      </x:c>
      <x:c r="AE285" s="24" t="n">
        <x:f>IFERROR(YEAR(R285),"缺失")</x:f>
        <x:v>2026</x:v>
      </x:c>
    </x:row>
    <x:row r="286">
      <x:c r="A286" t="str">
        <x:v>20260812T132133+0800</x:v>
      </x:c>
      <x:c r="B286" t="n">
        <x:v>46246.22329861111</x:v>
      </x:c>
      <x:c r="C286" t="str">
        <x:v>2026-08-12</x:v>
      </x:c>
      <x:c r="D286" t="str">
        <x:v>netease_cloud_music</x:v>
      </x:c>
      <x:c r="E286" t="str">
        <x:v>CN</x:v>
      </x:c>
      <x:c r="F286" t="str">
        <x:v>new</x:v>
      </x:c>
      <x:c r="G286" t="str">
        <x:v>新歌榜</x:v>
      </x:c>
      <x:c r="H286" t="str">
        <x:v>3779629</x:v>
      </x:c>
      <x:c r="I286" t="n">
        <x:v>100</x:v>
      </x:c>
      <x:c r="J286" t="n">
        <x:v>82</x:v>
      </x:c>
      <x:c r="K286" t="n">
        <x:v>19</x:v>
      </x:c>
      <x:c r="L286" t="str">
        <x:v>3417857538</x:v>
      </x:c>
      <x:c r="M286" t="str">
        <x:v>Ever2Late!</x:v>
      </x:c>
      <x:c r="N286" t="str">
        <x:v>97197815</x:v>
      </x:c>
      <x:c r="O286" t="str">
        <x:v>KiiiKiii</x:v>
      </x:c>
      <x:c r="P286" t="str">
        <x:v>391328479</x:v>
      </x:c>
      <x:c r="Q286" t="str">
        <x:v>WhyKiiiKiii</x:v>
      </x:c>
      <x:c r="R286" t="str"/>
      <x:c r="S286" t="str"/>
      <x:c r="T286" t="n">
        <x:v>95</x:v>
      </x:c>
      <x:c r="U286" t="n">
        <x:v>13</x:v>
      </x:c>
      <x:c r="V286" t="str">
        <x:v>https://music.163.com/song?id=3417857538</x:v>
      </x:c>
      <x:c r="W286" t="str">
        <x:v>http://p1.music.126.net/WkoRkzt-5-E6g4W1gqN7ZQ==/109951173711211073.jpg</x:v>
      </x:c>
      <x:c r="X286" t="str">
        <x:v>https://music.163.com/discover/toplist?id=3779629</x:v>
      </x:c>
      <x:c r="Y286" t="str">
        <x:v>https://music.163.com/api/playlist/detail?id=3779629&amp;n=100</x:v>
      </x:c>
      <x:c r="Z286" s="24" t="str">
        <x:f>IFERROR(VLOOKUP(F286,'07_字典与参数'!$A$5:$E$10,3,FALSE),"待映射")</x:f>
        <x:v>网易云音乐</x:v>
      </x:c>
      <x:c r="AA286" s="24" t="str">
        <x:f>IFERROR(VLOOKUP(F286,'07_字典与参数'!$A$5:$E$10,2,FALSE),"待映射")</x:f>
        <x:v>新歌榜</x:v>
      </x:c>
      <x:c r="AB286" s="24" t="str">
        <x:f>IFERROR(VLOOKUP(F286,'07_字典与参数'!$A$5:$E$10,4,FALSE),"待映射")</x:f>
        <x:v>每日</x:v>
      </x:c>
      <x:c r="AC286" s="24" t="str">
        <x:f>D286&amp;"|"&amp;F286&amp;"|"&amp;L286</x:f>
        <x:v>netease_cloud_music|new|3417857538</x:v>
      </x:c>
      <x:c r="AD286" s="24" t="str">
        <x:f>IF(J286&lt;=10,"是","否")</x:f>
        <x:v>否</x:v>
      </x:c>
      <x:c r="AE286" s="24" t="str">
        <x:f>IFERROR(YEAR(R286),"缺失")</x:f>
        <x:v>缺失</x:v>
      </x:c>
    </x:row>
    <x:row r="287">
      <x:c r="A287" t="str">
        <x:v>20260812T132133+0800</x:v>
      </x:c>
      <x:c r="B287" t="n">
        <x:v>46246.22329861111</x:v>
      </x:c>
      <x:c r="C287" t="str">
        <x:v>2026-08-12</x:v>
      </x:c>
      <x:c r="D287" t="str">
        <x:v>netease_cloud_music</x:v>
      </x:c>
      <x:c r="E287" t="str">
        <x:v>CN</x:v>
      </x:c>
      <x:c r="F287" t="str">
        <x:v>new</x:v>
      </x:c>
      <x:c r="G287" t="str">
        <x:v>新歌榜</x:v>
      </x:c>
      <x:c r="H287" t="str">
        <x:v>3779629</x:v>
      </x:c>
      <x:c r="I287" t="n">
        <x:v>100</x:v>
      </x:c>
      <x:c r="J287" t="n">
        <x:v>83</x:v>
      </x:c>
      <x:c r="K287" t="n">
        <x:v>18</x:v>
      </x:c>
      <x:c r="L287" t="str">
        <x:v>3408809820</x:v>
      </x:c>
      <x:c r="M287" t="str">
        <x:v>耳朵</x:v>
      </x:c>
      <x:c r="N287" t="str">
        <x:v>12417070</x:v>
      </x:c>
      <x:c r="O287" t="str">
        <x:v>JOSHUA</x:v>
      </x:c>
      <x:c r="P287" t="str">
        <x:v>387963008</x:v>
      </x:c>
      <x:c r="Q287" t="str">
        <x:v>耳朵</x:v>
      </x:c>
      <x:c r="R287" t="str">
        <x:v>2026-07-23</x:v>
      </x:c>
      <x:c r="S287" t="str"/>
      <x:c r="T287" t="n">
        <x:v>98</x:v>
      </x:c>
      <x:c r="U287" t="n">
        <x:v>15</x:v>
      </x:c>
      <x:c r="V287" t="str">
        <x:v>https://music.163.com/song?id=3408809820</x:v>
      </x:c>
      <x:c r="W287" t="str">
        <x:v>http://p1.music.126.net/tp-rmwIaBUOSp83NaX6_oQ==/109951173596455292.jpg</x:v>
      </x:c>
      <x:c r="X287" t="str">
        <x:v>https://music.163.com/discover/toplist?id=3779629</x:v>
      </x:c>
      <x:c r="Y287" t="str">
        <x:v>https://music.163.com/api/playlist/detail?id=3779629&amp;n=100</x:v>
      </x:c>
      <x:c r="Z287" s="24" t="str">
        <x:f>IFERROR(VLOOKUP(F287,'07_字典与参数'!$A$5:$E$10,3,FALSE),"待映射")</x:f>
        <x:v>网易云音乐</x:v>
      </x:c>
      <x:c r="AA287" s="24" t="str">
        <x:f>IFERROR(VLOOKUP(F287,'07_字典与参数'!$A$5:$E$10,2,FALSE),"待映射")</x:f>
        <x:v>新歌榜</x:v>
      </x:c>
      <x:c r="AB287" s="24" t="str">
        <x:f>IFERROR(VLOOKUP(F287,'07_字典与参数'!$A$5:$E$10,4,FALSE),"待映射")</x:f>
        <x:v>每日</x:v>
      </x:c>
      <x:c r="AC287" s="24" t="str">
        <x:f>D287&amp;"|"&amp;F287&amp;"|"&amp;L287</x:f>
        <x:v>netease_cloud_music|new|3408809820</x:v>
      </x:c>
      <x:c r="AD287" s="24" t="str">
        <x:f>IF(J287&lt;=10,"是","否")</x:f>
        <x:v>否</x:v>
      </x:c>
      <x:c r="AE287" s="24" t="n">
        <x:f>IFERROR(YEAR(R287),"缺失")</x:f>
        <x:v>2026</x:v>
      </x:c>
    </x:row>
    <x:row r="288">
      <x:c r="A288" t="str">
        <x:v>20260812T132133+0800</x:v>
      </x:c>
      <x:c r="B288" t="n">
        <x:v>46246.22329861111</x:v>
      </x:c>
      <x:c r="C288" t="str">
        <x:v>2026-08-12</x:v>
      </x:c>
      <x:c r="D288" t="str">
        <x:v>netease_cloud_music</x:v>
      </x:c>
      <x:c r="E288" t="str">
        <x:v>CN</x:v>
      </x:c>
      <x:c r="F288" t="str">
        <x:v>new</x:v>
      </x:c>
      <x:c r="G288" t="str">
        <x:v>新歌榜</x:v>
      </x:c>
      <x:c r="H288" t="str">
        <x:v>3779629</x:v>
      </x:c>
      <x:c r="I288" t="n">
        <x:v>100</x:v>
      </x:c>
      <x:c r="J288" t="n">
        <x:v>84</x:v>
      </x:c>
      <x:c r="K288" t="n">
        <x:v>17</x:v>
      </x:c>
      <x:c r="L288" t="str">
        <x:v>3417563246</x:v>
      </x:c>
      <x:c r="M288" t="str">
        <x:v>Don’t Leave Me on the Dance Floor</x:v>
      </x:c>
      <x:c r="N288" t="str">
        <x:v>50934</x:v>
      </x:c>
      <x:c r="O288" t="str">
        <x:v>Carly Rae Jepsen</x:v>
      </x:c>
      <x:c r="P288" t="str">
        <x:v>391226311</x:v>
      </x:c>
      <x:c r="Q288" t="str">
        <x:v>Don’t Leave Me on the Dance Floor</x:v>
      </x:c>
      <x:c r="R288" t="str">
        <x:v>2026-08-07</x:v>
      </x:c>
      <x:c r="S288" t="str"/>
      <x:c r="T288" t="n">
        <x:v>96</x:v>
      </x:c>
      <x:c r="U288" t="n">
        <x:v>12</x:v>
      </x:c>
      <x:c r="V288" t="str">
        <x:v>https://music.163.com/song?id=3417563246</x:v>
      </x:c>
      <x:c r="W288" t="str">
        <x:v>http://p1.music.126.net/82znyuyicUIse1iExLVj_A==/109951173709814016.jpg</x:v>
      </x:c>
      <x:c r="X288" t="str">
        <x:v>https://music.163.com/discover/toplist?id=3779629</x:v>
      </x:c>
      <x:c r="Y288" t="str">
        <x:v>https://music.163.com/api/playlist/detail?id=3779629&amp;n=100</x:v>
      </x:c>
      <x:c r="Z288" s="24" t="str">
        <x:f>IFERROR(VLOOKUP(F288,'07_字典与参数'!$A$5:$E$10,3,FALSE),"待映射")</x:f>
        <x:v>网易云音乐</x:v>
      </x:c>
      <x:c r="AA288" s="24" t="str">
        <x:f>IFERROR(VLOOKUP(F288,'07_字典与参数'!$A$5:$E$10,2,FALSE),"待映射")</x:f>
        <x:v>新歌榜</x:v>
      </x:c>
      <x:c r="AB288" s="24" t="str">
        <x:f>IFERROR(VLOOKUP(F288,'07_字典与参数'!$A$5:$E$10,4,FALSE),"待映射")</x:f>
        <x:v>每日</x:v>
      </x:c>
      <x:c r="AC288" s="24" t="str">
        <x:f>D288&amp;"|"&amp;F288&amp;"|"&amp;L288</x:f>
        <x:v>netease_cloud_music|new|3417563246</x:v>
      </x:c>
      <x:c r="AD288" s="24" t="str">
        <x:f>IF(J288&lt;=10,"是","否")</x:f>
        <x:v>否</x:v>
      </x:c>
      <x:c r="AE288" s="24" t="n">
        <x:f>IFERROR(YEAR(R288),"缺失")</x:f>
        <x:v>2026</x:v>
      </x:c>
    </x:row>
    <x:row r="289">
      <x:c r="A289" t="str">
        <x:v>20260812T132133+0800</x:v>
      </x:c>
      <x:c r="B289" t="n">
        <x:v>46246.22329861111</x:v>
      </x:c>
      <x:c r="C289" t="str">
        <x:v>2026-08-12</x:v>
      </x:c>
      <x:c r="D289" t="str">
        <x:v>netease_cloud_music</x:v>
      </x:c>
      <x:c r="E289" t="str">
        <x:v>CN</x:v>
      </x:c>
      <x:c r="F289" t="str">
        <x:v>new</x:v>
      </x:c>
      <x:c r="G289" t="str">
        <x:v>新歌榜</x:v>
      </x:c>
      <x:c r="H289" t="str">
        <x:v>3779629</x:v>
      </x:c>
      <x:c r="I289" t="n">
        <x:v>100</x:v>
      </x:c>
      <x:c r="J289" t="n">
        <x:v>85</x:v>
      </x:c>
      <x:c r="K289" t="n">
        <x:v>16</x:v>
      </x:c>
      <x:c r="L289" t="str">
        <x:v>3411195185</x:v>
      </x:c>
      <x:c r="M289" t="str">
        <x:v>小人物 (Live)</x:v>
      </x:c>
      <x:c r="N289" t="str">
        <x:v>12371082</x:v>
      </x:c>
      <x:c r="O289" t="str">
        <x:v>辉子</x:v>
      </x:c>
      <x:c r="P289" t="str">
        <x:v>388942253</x:v>
      </x:c>
      <x:c r="Q289" t="str">
        <x:v>说唱巅峰对决2026 第五期</x:v>
      </x:c>
      <x:c r="R289" t="str"/>
      <x:c r="S289" t="str"/>
      <x:c r="T289" t="n">
        <x:v>76</x:v>
      </x:c>
      <x:c r="U289" t="n">
        <x:v>-9</x:v>
      </x:c>
      <x:c r="V289" t="str">
        <x:v>https://music.163.com/song?id=3411195185</x:v>
      </x:c>
      <x:c r="W289" t="str">
        <x:v>http://p1.music.126.net/KnyQp7HJbamMIrBo12yPOA==/109951173634722873.jpg</x:v>
      </x:c>
      <x:c r="X289" t="str">
        <x:v>https://music.163.com/discover/toplist?id=3779629</x:v>
      </x:c>
      <x:c r="Y289" t="str">
        <x:v>https://music.163.com/api/playlist/detail?id=3779629&amp;n=100</x:v>
      </x:c>
      <x:c r="Z289" s="24" t="str">
        <x:f>IFERROR(VLOOKUP(F289,'07_字典与参数'!$A$5:$E$10,3,FALSE),"待映射")</x:f>
        <x:v>网易云音乐</x:v>
      </x:c>
      <x:c r="AA289" s="24" t="str">
        <x:f>IFERROR(VLOOKUP(F289,'07_字典与参数'!$A$5:$E$10,2,FALSE),"待映射")</x:f>
        <x:v>新歌榜</x:v>
      </x:c>
      <x:c r="AB289" s="24" t="str">
        <x:f>IFERROR(VLOOKUP(F289,'07_字典与参数'!$A$5:$E$10,4,FALSE),"待映射")</x:f>
        <x:v>每日</x:v>
      </x:c>
      <x:c r="AC289" s="24" t="str">
        <x:f>D289&amp;"|"&amp;F289&amp;"|"&amp;L289</x:f>
        <x:v>netease_cloud_music|new|3411195185</x:v>
      </x:c>
      <x:c r="AD289" s="24" t="str">
        <x:f>IF(J289&lt;=10,"是","否")</x:f>
        <x:v>否</x:v>
      </x:c>
      <x:c r="AE289" s="24" t="str">
        <x:f>IFERROR(YEAR(R289),"缺失")</x:f>
        <x:v>缺失</x:v>
      </x:c>
    </x:row>
    <x:row r="290">
      <x:c r="A290" t="str">
        <x:v>20260812T132133+0800</x:v>
      </x:c>
      <x:c r="B290" t="n">
        <x:v>46246.22329861111</x:v>
      </x:c>
      <x:c r="C290" t="str">
        <x:v>2026-08-12</x:v>
      </x:c>
      <x:c r="D290" t="str">
        <x:v>netease_cloud_music</x:v>
      </x:c>
      <x:c r="E290" t="str">
        <x:v>CN</x:v>
      </x:c>
      <x:c r="F290" t="str">
        <x:v>new</x:v>
      </x:c>
      <x:c r="G290" t="str">
        <x:v>新歌榜</x:v>
      </x:c>
      <x:c r="H290" t="str">
        <x:v>3779629</x:v>
      </x:c>
      <x:c r="I290" t="n">
        <x:v>100</x:v>
      </x:c>
      <x:c r="J290" t="n">
        <x:v>86</x:v>
      </x:c>
      <x:c r="K290" t="n">
        <x:v>15</x:v>
      </x:c>
      <x:c r="L290" t="str">
        <x:v>3417855760</x:v>
      </x:c>
      <x:c r="M290" t="str">
        <x:v>SWEET SOUR</x:v>
      </x:c>
      <x:c r="N290" t="str">
        <x:v>97197815</x:v>
      </x:c>
      <x:c r="O290" t="str">
        <x:v>KiiiKiii</x:v>
      </x:c>
      <x:c r="P290" t="str">
        <x:v>391328479</x:v>
      </x:c>
      <x:c r="Q290" t="str">
        <x:v>WhyKiiiKiii</x:v>
      </x:c>
      <x:c r="R290" t="str"/>
      <x:c r="S290" t="str"/>
      <x:c r="T290"/>
      <x:c r="U290"/>
      <x:c r="V290" t="str">
        <x:v>https://music.163.com/song?id=3417855760</x:v>
      </x:c>
      <x:c r="W290" t="str">
        <x:v>http://p1.music.126.net/WkoRkzt-5-E6g4W1gqN7ZQ==/109951173711211073.jpg</x:v>
      </x:c>
      <x:c r="X290" t="str">
        <x:v>https://music.163.com/discover/toplist?id=3779629</x:v>
      </x:c>
      <x:c r="Y290" t="str">
        <x:v>https://music.163.com/api/playlist/detail?id=3779629&amp;n=100</x:v>
      </x:c>
      <x:c r="Z290" s="24" t="str">
        <x:f>IFERROR(VLOOKUP(F290,'07_字典与参数'!$A$5:$E$10,3,FALSE),"待映射")</x:f>
        <x:v>网易云音乐</x:v>
      </x:c>
      <x:c r="AA290" s="24" t="str">
        <x:f>IFERROR(VLOOKUP(F290,'07_字典与参数'!$A$5:$E$10,2,FALSE),"待映射")</x:f>
        <x:v>新歌榜</x:v>
      </x:c>
      <x:c r="AB290" s="24" t="str">
        <x:f>IFERROR(VLOOKUP(F290,'07_字典与参数'!$A$5:$E$10,4,FALSE),"待映射")</x:f>
        <x:v>每日</x:v>
      </x:c>
      <x:c r="AC290" s="24" t="str">
        <x:f>D290&amp;"|"&amp;F290&amp;"|"&amp;L290</x:f>
        <x:v>netease_cloud_music|new|3417855760</x:v>
      </x:c>
      <x:c r="AD290" s="24" t="str">
        <x:f>IF(J290&lt;=10,"是","否")</x:f>
        <x:v>否</x:v>
      </x:c>
      <x:c r="AE290" s="24" t="str">
        <x:f>IFERROR(YEAR(R290),"缺失")</x:f>
        <x:v>缺失</x:v>
      </x:c>
    </x:row>
    <x:row r="291">
      <x:c r="A291" t="str">
        <x:v>20260812T132133+0800</x:v>
      </x:c>
      <x:c r="B291" t="n">
        <x:v>46246.22329861111</x:v>
      </x:c>
      <x:c r="C291" t="str">
        <x:v>2026-08-12</x:v>
      </x:c>
      <x:c r="D291" t="str">
        <x:v>netease_cloud_music</x:v>
      </x:c>
      <x:c r="E291" t="str">
        <x:v>CN</x:v>
      </x:c>
      <x:c r="F291" t="str">
        <x:v>new</x:v>
      </x:c>
      <x:c r="G291" t="str">
        <x:v>新歌榜</x:v>
      </x:c>
      <x:c r="H291" t="str">
        <x:v>3779629</x:v>
      </x:c>
      <x:c r="I291" t="n">
        <x:v>100</x:v>
      </x:c>
      <x:c r="J291" t="n">
        <x:v>87</x:v>
      </x:c>
      <x:c r="K291" t="n">
        <x:v>14</x:v>
      </x:c>
      <x:c r="L291" t="str">
        <x:v>3414488844</x:v>
      </x:c>
      <x:c r="M291" t="str">
        <x:v>敬昨天敬今天敬明天 (Live)</x:v>
      </x:c>
      <x:c r="N291" t="str">
        <x:v>12277473 | 12853605</x:v>
      </x:c>
      <x:c r="O291" t="str">
        <x:v>李大奔BENZO | SHarK</x:v>
      </x:c>
      <x:c r="P291" t="str">
        <x:v>390102810</x:v>
      </x:c>
      <x:c r="Q291" t="str">
        <x:v>说唱巅峰对决2026 第六期</x:v>
      </x:c>
      <x:c r="R291" t="str"/>
      <x:c r="S291" t="str"/>
      <x:c r="T291" t="n">
        <x:v>82</x:v>
      </x:c>
      <x:c r="U291" t="n">
        <x:v>-5</x:v>
      </x:c>
      <x:c r="V291" t="str">
        <x:v>https://music.163.com/song?id=3414488844</x:v>
      </x:c>
      <x:c r="W291" t="str">
        <x:v>http://p1.music.126.net/8vkWFMdRU12EZnhqUkVlMw==/109951173671668840.jpg</x:v>
      </x:c>
      <x:c r="X291" t="str">
        <x:v>https://music.163.com/discover/toplist?id=3779629</x:v>
      </x:c>
      <x:c r="Y291" t="str">
        <x:v>https://music.163.com/api/playlist/detail?id=3779629&amp;n=100</x:v>
      </x:c>
      <x:c r="Z291" s="24" t="str">
        <x:f>IFERROR(VLOOKUP(F291,'07_字典与参数'!$A$5:$E$10,3,FALSE),"待映射")</x:f>
        <x:v>网易云音乐</x:v>
      </x:c>
      <x:c r="AA291" s="24" t="str">
        <x:f>IFERROR(VLOOKUP(F291,'07_字典与参数'!$A$5:$E$10,2,FALSE),"待映射")</x:f>
        <x:v>新歌榜</x:v>
      </x:c>
      <x:c r="AB291" s="24" t="str">
        <x:f>IFERROR(VLOOKUP(F291,'07_字典与参数'!$A$5:$E$10,4,FALSE),"待映射")</x:f>
        <x:v>每日</x:v>
      </x:c>
      <x:c r="AC291" s="24" t="str">
        <x:f>D291&amp;"|"&amp;F291&amp;"|"&amp;L291</x:f>
        <x:v>netease_cloud_music|new|3414488844</x:v>
      </x:c>
      <x:c r="AD291" s="24" t="str">
        <x:f>IF(J291&lt;=10,"是","否")</x:f>
        <x:v>否</x:v>
      </x:c>
      <x:c r="AE291" s="24" t="str">
        <x:f>IFERROR(YEAR(R291),"缺失")</x:f>
        <x:v>缺失</x:v>
      </x:c>
    </x:row>
    <x:row r="292">
      <x:c r="A292" t="str">
        <x:v>20260812T132133+0800</x:v>
      </x:c>
      <x:c r="B292" t="n">
        <x:v>46246.22329861111</x:v>
      </x:c>
      <x:c r="C292" t="str">
        <x:v>2026-08-12</x:v>
      </x:c>
      <x:c r="D292" t="str">
        <x:v>netease_cloud_music</x:v>
      </x:c>
      <x:c r="E292" t="str">
        <x:v>CN</x:v>
      </x:c>
      <x:c r="F292" t="str">
        <x:v>new</x:v>
      </x:c>
      <x:c r="G292" t="str">
        <x:v>新歌榜</x:v>
      </x:c>
      <x:c r="H292" t="str">
        <x:v>3779629</x:v>
      </x:c>
      <x:c r="I292" t="n">
        <x:v>100</x:v>
      </x:c>
      <x:c r="J292" t="n">
        <x:v>88</x:v>
      </x:c>
      <x:c r="K292" t="n">
        <x:v>13</x:v>
      </x:c>
      <x:c r="L292" t="str">
        <x:v>3414488846</x:v>
      </x:c>
      <x:c r="M292" t="str">
        <x:v>电子布洛芬 (Live)</x:v>
      </x:c>
      <x:c r="N292" t="str">
        <x:v>1087200 | 12570417</x:v>
      </x:c>
      <x:c r="O292" t="str">
        <x:v>AThree | 那奇沃夫</x:v>
      </x:c>
      <x:c r="P292" t="str">
        <x:v>390102810</x:v>
      </x:c>
      <x:c r="Q292" t="str">
        <x:v>说唱巅峰对决2026 第六期</x:v>
      </x:c>
      <x:c r="R292" t="str"/>
      <x:c r="S292" t="str"/>
      <x:c r="T292" t="n">
        <x:v>85</x:v>
      </x:c>
      <x:c r="U292" t="n">
        <x:v>-3</x:v>
      </x:c>
      <x:c r="V292" t="str">
        <x:v>https://music.163.com/song?id=3414488846</x:v>
      </x:c>
      <x:c r="W292" t="str">
        <x:v>http://p1.music.126.net/8vkWFMdRU12EZnhqUkVlMw==/109951173671668840.jpg</x:v>
      </x:c>
      <x:c r="X292" t="str">
        <x:v>https://music.163.com/discover/toplist?id=3779629</x:v>
      </x:c>
      <x:c r="Y292" t="str">
        <x:v>https://music.163.com/api/playlist/detail?id=3779629&amp;n=100</x:v>
      </x:c>
      <x:c r="Z292" s="24" t="str">
        <x:f>IFERROR(VLOOKUP(F292,'07_字典与参数'!$A$5:$E$10,3,FALSE),"待映射")</x:f>
        <x:v>网易云音乐</x:v>
      </x:c>
      <x:c r="AA292" s="24" t="str">
        <x:f>IFERROR(VLOOKUP(F292,'07_字典与参数'!$A$5:$E$10,2,FALSE),"待映射")</x:f>
        <x:v>新歌榜</x:v>
      </x:c>
      <x:c r="AB292" s="24" t="str">
        <x:f>IFERROR(VLOOKUP(F292,'07_字典与参数'!$A$5:$E$10,4,FALSE),"待映射")</x:f>
        <x:v>每日</x:v>
      </x:c>
      <x:c r="AC292" s="24" t="str">
        <x:f>D292&amp;"|"&amp;F292&amp;"|"&amp;L292</x:f>
        <x:v>netease_cloud_music|new|3414488846</x:v>
      </x:c>
      <x:c r="AD292" s="24" t="str">
        <x:f>IF(J292&lt;=10,"是","否")</x:f>
        <x:v>否</x:v>
      </x:c>
      <x:c r="AE292" s="24" t="str">
        <x:f>IFERROR(YEAR(R292),"缺失")</x:f>
        <x:v>缺失</x:v>
      </x:c>
    </x:row>
    <x:row r="293">
      <x:c r="A293" t="str">
        <x:v>20260812T132133+0800</x:v>
      </x:c>
      <x:c r="B293" t="n">
        <x:v>46246.22329861111</x:v>
      </x:c>
      <x:c r="C293" t="str">
        <x:v>2026-08-12</x:v>
      </x:c>
      <x:c r="D293" t="str">
        <x:v>netease_cloud_music</x:v>
      </x:c>
      <x:c r="E293" t="str">
        <x:v>CN</x:v>
      </x:c>
      <x:c r="F293" t="str">
        <x:v>new</x:v>
      </x:c>
      <x:c r="G293" t="str">
        <x:v>新歌榜</x:v>
      </x:c>
      <x:c r="H293" t="str">
        <x:v>3779629</x:v>
      </x:c>
      <x:c r="I293" t="n">
        <x:v>100</x:v>
      </x:c>
      <x:c r="J293" t="n">
        <x:v>89</x:v>
      </x:c>
      <x:c r="K293" t="n">
        <x:v>12</x:v>
      </x:c>
      <x:c r="L293" t="str">
        <x:v>3417855761</x:v>
      </x:c>
      <x:c r="M293" t="str">
        <x:v>Candy Pink Magic Hole Flip Phone (나 어떡해)</x:v>
      </x:c>
      <x:c r="N293" t="str">
        <x:v>97197815</x:v>
      </x:c>
      <x:c r="O293" t="str">
        <x:v>KiiiKiii</x:v>
      </x:c>
      <x:c r="P293" t="str">
        <x:v>391328479</x:v>
      </x:c>
      <x:c r="Q293" t="str">
        <x:v>WhyKiiiKiii</x:v>
      </x:c>
      <x:c r="R293" t="str"/>
      <x:c r="S293" t="str"/>
      <x:c r="T293"/>
      <x:c r="U293"/>
      <x:c r="V293" t="str">
        <x:v>https://music.163.com/song?id=3417855761</x:v>
      </x:c>
      <x:c r="W293" t="str">
        <x:v>http://p1.music.126.net/WkoRkzt-5-E6g4W1gqN7ZQ==/109951173711211073.jpg</x:v>
      </x:c>
      <x:c r="X293" t="str">
        <x:v>https://music.163.com/discover/toplist?id=3779629</x:v>
      </x:c>
      <x:c r="Y293" t="str">
        <x:v>https://music.163.com/api/playlist/detail?id=3779629&amp;n=100</x:v>
      </x:c>
      <x:c r="Z293" s="24" t="str">
        <x:f>IFERROR(VLOOKUP(F293,'07_字典与参数'!$A$5:$E$10,3,FALSE),"待映射")</x:f>
        <x:v>网易云音乐</x:v>
      </x:c>
      <x:c r="AA293" s="24" t="str">
        <x:f>IFERROR(VLOOKUP(F293,'07_字典与参数'!$A$5:$E$10,2,FALSE),"待映射")</x:f>
        <x:v>新歌榜</x:v>
      </x:c>
      <x:c r="AB293" s="24" t="str">
        <x:f>IFERROR(VLOOKUP(F293,'07_字典与参数'!$A$5:$E$10,4,FALSE),"待映射")</x:f>
        <x:v>每日</x:v>
      </x:c>
      <x:c r="AC293" s="24" t="str">
        <x:f>D293&amp;"|"&amp;F293&amp;"|"&amp;L293</x:f>
        <x:v>netease_cloud_music|new|3417855761</x:v>
      </x:c>
      <x:c r="AD293" s="24" t="str">
        <x:f>IF(J293&lt;=10,"是","否")</x:f>
        <x:v>否</x:v>
      </x:c>
      <x:c r="AE293" s="24" t="str">
        <x:f>IFERROR(YEAR(R293),"缺失")</x:f>
        <x:v>缺失</x:v>
      </x:c>
    </x:row>
    <x:row r="294">
      <x:c r="A294" t="str">
        <x:v>20260812T132133+0800</x:v>
      </x:c>
      <x:c r="B294" t="n">
        <x:v>46246.22329861111</x:v>
      </x:c>
      <x:c r="C294" t="str">
        <x:v>2026-08-12</x:v>
      </x:c>
      <x:c r="D294" t="str">
        <x:v>netease_cloud_music</x:v>
      </x:c>
      <x:c r="E294" t="str">
        <x:v>CN</x:v>
      </x:c>
      <x:c r="F294" t="str">
        <x:v>new</x:v>
      </x:c>
      <x:c r="G294" t="str">
        <x:v>新歌榜</x:v>
      </x:c>
      <x:c r="H294" t="str">
        <x:v>3779629</x:v>
      </x:c>
      <x:c r="I294" t="n">
        <x:v>100</x:v>
      </x:c>
      <x:c r="J294" t="n">
        <x:v>90</x:v>
      </x:c>
      <x:c r="K294" t="n">
        <x:v>11</x:v>
      </x:c>
      <x:c r="L294" t="str">
        <x:v>3415831754</x:v>
      </x:c>
      <x:c r="M294" t="str">
        <x:v>FLIRTY</x:v>
      </x:c>
      <x:c r="N294" t="str">
        <x:v>12098022 | 124542</x:v>
      </x:c>
      <x:c r="O294" t="str">
        <x:v>多荣 | 朴宰范</x:v>
      </x:c>
      <x:c r="P294" t="str">
        <x:v>390500636</x:v>
      </x:c>
      <x:c r="Q294" t="str">
        <x:v>FLIRTY</x:v>
      </x:c>
      <x:c r="R294" t="str">
        <x:v>2026-08-04</x:v>
      </x:c>
      <x:c r="S294" t="str"/>
      <x:c r="T294"/>
      <x:c r="U294"/>
      <x:c r="V294" t="str">
        <x:v>https://music.163.com/song?id=3415831754</x:v>
      </x:c>
      <x:c r="W294" t="str">
        <x:v>http://p1.music.126.net/T-ICksMIIKixnB7tmRgQww==/109951173686497794.jpg</x:v>
      </x:c>
      <x:c r="X294" t="str">
        <x:v>https://music.163.com/discover/toplist?id=3779629</x:v>
      </x:c>
      <x:c r="Y294" t="str">
        <x:v>https://music.163.com/api/playlist/detail?id=3779629&amp;n=100</x:v>
      </x:c>
      <x:c r="Z294" s="24" t="str">
        <x:f>IFERROR(VLOOKUP(F294,'07_字典与参数'!$A$5:$E$10,3,FALSE),"待映射")</x:f>
        <x:v>网易云音乐</x:v>
      </x:c>
      <x:c r="AA294" s="24" t="str">
        <x:f>IFERROR(VLOOKUP(F294,'07_字典与参数'!$A$5:$E$10,2,FALSE),"待映射")</x:f>
        <x:v>新歌榜</x:v>
      </x:c>
      <x:c r="AB294" s="24" t="str">
        <x:f>IFERROR(VLOOKUP(F294,'07_字典与参数'!$A$5:$E$10,4,FALSE),"待映射")</x:f>
        <x:v>每日</x:v>
      </x:c>
      <x:c r="AC294" s="24" t="str">
        <x:f>D294&amp;"|"&amp;F294&amp;"|"&amp;L294</x:f>
        <x:v>netease_cloud_music|new|3415831754</x:v>
      </x:c>
      <x:c r="AD294" s="24" t="str">
        <x:f>IF(J294&lt;=10,"是","否")</x:f>
        <x:v>否</x:v>
      </x:c>
      <x:c r="AE294" s="24" t="n">
        <x:f>IFERROR(YEAR(R294),"缺失")</x:f>
        <x:v>2026</x:v>
      </x:c>
    </x:row>
    <x:row r="295">
      <x:c r="A295" t="str">
        <x:v>20260812T132133+0800</x:v>
      </x:c>
      <x:c r="B295" t="n">
        <x:v>46246.22329861111</x:v>
      </x:c>
      <x:c r="C295" t="str">
        <x:v>2026-08-12</x:v>
      </x:c>
      <x:c r="D295" t="str">
        <x:v>netease_cloud_music</x:v>
      </x:c>
      <x:c r="E295" t="str">
        <x:v>CN</x:v>
      </x:c>
      <x:c r="F295" t="str">
        <x:v>new</x:v>
      </x:c>
      <x:c r="G295" t="str">
        <x:v>新歌榜</x:v>
      </x:c>
      <x:c r="H295" t="str">
        <x:v>3779629</x:v>
      </x:c>
      <x:c r="I295" t="n">
        <x:v>100</x:v>
      </x:c>
      <x:c r="J295" t="n">
        <x:v>91</x:v>
      </x:c>
      <x:c r="K295" t="n">
        <x:v>10</x:v>
      </x:c>
      <x:c r="L295" t="str">
        <x:v>3411999848</x:v>
      </x:c>
      <x:c r="M295" t="str">
        <x:v>Two to Tango 交缠舞步</x:v>
      </x:c>
      <x:c r="N295" t="str">
        <x:v>94007859 | 12487174</x:v>
      </x:c>
      <x:c r="O295" t="str">
        <x:v>三Z-STUDIO | HOYO-MiX</x:v>
      </x:c>
      <x:c r="P295" t="str">
        <x:v>389255741</x:v>
      </x:c>
      <x:c r="Q295" t="str">
        <x:v>绝区零-Two to Tango 交缠舞步</x:v>
      </x:c>
      <x:c r="R295" t="str">
        <x:v>2026-07-27</x:v>
      </x:c>
      <x:c r="S295" t="str"/>
      <x:c r="T295" t="n">
        <x:v>90</x:v>
      </x:c>
      <x:c r="U295" t="n">
        <x:v>-1</x:v>
      </x:c>
      <x:c r="V295" t="str">
        <x:v>https://music.163.com/song?id=3411999848</x:v>
      </x:c>
      <x:c r="W295" t="str">
        <x:v>http://p2.music.126.net/z9yFCzaBcefizzmDkMwmEQ==/109951173644432376.jpg</x:v>
      </x:c>
      <x:c r="X295" t="str">
        <x:v>https://music.163.com/discover/toplist?id=3779629</x:v>
      </x:c>
      <x:c r="Y295" t="str">
        <x:v>https://music.163.com/api/playlist/detail?id=3779629&amp;n=100</x:v>
      </x:c>
      <x:c r="Z295" s="24" t="str">
        <x:f>IFERROR(VLOOKUP(F295,'07_字典与参数'!$A$5:$E$10,3,FALSE),"待映射")</x:f>
        <x:v>网易云音乐</x:v>
      </x:c>
      <x:c r="AA295" s="24" t="str">
        <x:f>IFERROR(VLOOKUP(F295,'07_字典与参数'!$A$5:$E$10,2,FALSE),"待映射")</x:f>
        <x:v>新歌榜</x:v>
      </x:c>
      <x:c r="AB295" s="24" t="str">
        <x:f>IFERROR(VLOOKUP(F295,'07_字典与参数'!$A$5:$E$10,4,FALSE),"待映射")</x:f>
        <x:v>每日</x:v>
      </x:c>
      <x:c r="AC295" s="24" t="str">
        <x:f>D295&amp;"|"&amp;F295&amp;"|"&amp;L295</x:f>
        <x:v>netease_cloud_music|new|3411999848</x:v>
      </x:c>
      <x:c r="AD295" s="24" t="str">
        <x:f>IF(J295&lt;=10,"是","否")</x:f>
        <x:v>否</x:v>
      </x:c>
      <x:c r="AE295" s="24" t="n">
        <x:f>IFERROR(YEAR(R295),"缺失")</x:f>
        <x:v>2026</x:v>
      </x:c>
    </x:row>
    <x:row r="296">
      <x:c r="A296" t="str">
        <x:v>20260812T132133+0800</x:v>
      </x:c>
      <x:c r="B296" t="n">
        <x:v>46246.22329861111</x:v>
      </x:c>
      <x:c r="C296" t="str">
        <x:v>2026-08-12</x:v>
      </x:c>
      <x:c r="D296" t="str">
        <x:v>netease_cloud_music</x:v>
      </x:c>
      <x:c r="E296" t="str">
        <x:v>CN</x:v>
      </x:c>
      <x:c r="F296" t="str">
        <x:v>new</x:v>
      </x:c>
      <x:c r="G296" t="str">
        <x:v>新歌榜</x:v>
      </x:c>
      <x:c r="H296" t="str">
        <x:v>3779629</x:v>
      </x:c>
      <x:c r="I296" t="n">
        <x:v>100</x:v>
      </x:c>
      <x:c r="J296" t="n">
        <x:v>92</x:v>
      </x:c>
      <x:c r="K296" t="n">
        <x:v>9</x:v>
      </x:c>
      <x:c r="L296" t="str">
        <x:v>3414273118</x:v>
      </x:c>
      <x:c r="M296" t="str">
        <x:v>never get over me</x:v>
      </x:c>
      <x:c r="N296" t="str">
        <x:v>48161</x:v>
      </x:c>
      <x:c r="O296" t="str">
        <x:v>Ariana Grande</x:v>
      </x:c>
      <x:c r="P296" t="str">
        <x:v>390031118</x:v>
      </x:c>
      <x:c r="Q296" t="str">
        <x:v>petal</x:v>
      </x:c>
      <x:c r="R296" t="str">
        <x:v>2026-07-31</x:v>
      </x:c>
      <x:c r="S296" t="str"/>
      <x:c r="T296"/>
      <x:c r="U296"/>
      <x:c r="V296" t="str">
        <x:v>https://music.163.com/song?id=3414273118</x:v>
      </x:c>
      <x:c r="W296" t="str">
        <x:v>http://p2.music.126.net/eVZhj8MsxGhjbmTDVZVORQ==/109951173670280784.jpg</x:v>
      </x:c>
      <x:c r="X296" t="str">
        <x:v>https://music.163.com/discover/toplist?id=3779629</x:v>
      </x:c>
      <x:c r="Y296" t="str">
        <x:v>https://music.163.com/api/playlist/detail?id=3779629&amp;n=100</x:v>
      </x:c>
      <x:c r="Z296" s="24" t="str">
        <x:f>IFERROR(VLOOKUP(F296,'07_字典与参数'!$A$5:$E$10,3,FALSE),"待映射")</x:f>
        <x:v>网易云音乐</x:v>
      </x:c>
      <x:c r="AA296" s="24" t="str">
        <x:f>IFERROR(VLOOKUP(F296,'07_字典与参数'!$A$5:$E$10,2,FALSE),"待映射")</x:f>
        <x:v>新歌榜</x:v>
      </x:c>
      <x:c r="AB296" s="24" t="str">
        <x:f>IFERROR(VLOOKUP(F296,'07_字典与参数'!$A$5:$E$10,4,FALSE),"待映射")</x:f>
        <x:v>每日</x:v>
      </x:c>
      <x:c r="AC296" s="24" t="str">
        <x:f>D296&amp;"|"&amp;F296&amp;"|"&amp;L296</x:f>
        <x:v>netease_cloud_music|new|3414273118</x:v>
      </x:c>
      <x:c r="AD296" s="24" t="str">
        <x:f>IF(J296&lt;=10,"是","否")</x:f>
        <x:v>否</x:v>
      </x:c>
      <x:c r="AE296" s="24" t="n">
        <x:f>IFERROR(YEAR(R296),"缺失")</x:f>
        <x:v>2026</x:v>
      </x:c>
    </x:row>
    <x:row r="297">
      <x:c r="A297" t="str">
        <x:v>20260812T132133+0800</x:v>
      </x:c>
      <x:c r="B297" t="n">
        <x:v>46246.22329861111</x:v>
      </x:c>
      <x:c r="C297" t="str">
        <x:v>2026-08-12</x:v>
      </x:c>
      <x:c r="D297" t="str">
        <x:v>netease_cloud_music</x:v>
      </x:c>
      <x:c r="E297" t="str">
        <x:v>CN</x:v>
      </x:c>
      <x:c r="F297" t="str">
        <x:v>new</x:v>
      </x:c>
      <x:c r="G297" t="str">
        <x:v>新歌榜</x:v>
      </x:c>
      <x:c r="H297" t="str">
        <x:v>3779629</x:v>
      </x:c>
      <x:c r="I297" t="n">
        <x:v>100</x:v>
      </x:c>
      <x:c r="J297" t="n">
        <x:v>93</x:v>
      </x:c>
      <x:c r="K297" t="n">
        <x:v>8</x:v>
      </x:c>
      <x:c r="L297" t="str">
        <x:v>3410661551</x:v>
      </x:c>
      <x:c r="M297" t="str">
        <x:v>月光与吻痕 (Live版)</x:v>
      </x:c>
      <x:c r="N297" t="str">
        <x:v>6066 | 3077 | 1191044</x:v>
      </x:c>
      <x:c r="O297" t="str">
        <x:v>杨宗纬 | 欢子 | 喻言</x:v>
      </x:c>
      <x:c r="P297" t="str">
        <x:v>388738891</x:v>
      </x:c>
      <x:c r="Q297" t="str">
        <x:v>天赐的声音第七季 第7期</x:v>
      </x:c>
      <x:c r="R297" t="str"/>
      <x:c r="S297" t="str"/>
      <x:c r="T297" t="n">
        <x:v>81</x:v>
      </x:c>
      <x:c r="U297" t="n">
        <x:v>-12</x:v>
      </x:c>
      <x:c r="V297" t="str">
        <x:v>https://music.163.com/song?id=3410661551</x:v>
      </x:c>
      <x:c r="W297" t="str">
        <x:v>http://p2.music.126.net/AZcj5MyK_h5ZdkUh8nM7rQ==/109951173627817582.jpg</x:v>
      </x:c>
      <x:c r="X297" t="str">
        <x:v>https://music.163.com/discover/toplist?id=3779629</x:v>
      </x:c>
      <x:c r="Y297" t="str">
        <x:v>https://music.163.com/api/playlist/detail?id=3779629&amp;n=100</x:v>
      </x:c>
      <x:c r="Z297" s="24" t="str">
        <x:f>IFERROR(VLOOKUP(F297,'07_字典与参数'!$A$5:$E$10,3,FALSE),"待映射")</x:f>
        <x:v>网易云音乐</x:v>
      </x:c>
      <x:c r="AA297" s="24" t="str">
        <x:f>IFERROR(VLOOKUP(F297,'07_字典与参数'!$A$5:$E$10,2,FALSE),"待映射")</x:f>
        <x:v>新歌榜</x:v>
      </x:c>
      <x:c r="AB297" s="24" t="str">
        <x:f>IFERROR(VLOOKUP(F297,'07_字典与参数'!$A$5:$E$10,4,FALSE),"待映射")</x:f>
        <x:v>每日</x:v>
      </x:c>
      <x:c r="AC297" s="24" t="str">
        <x:f>D297&amp;"|"&amp;F297&amp;"|"&amp;L297</x:f>
        <x:v>netease_cloud_music|new|3410661551</x:v>
      </x:c>
      <x:c r="AD297" s="24" t="str">
        <x:f>IF(J297&lt;=10,"是","否")</x:f>
        <x:v>否</x:v>
      </x:c>
      <x:c r="AE297" s="24" t="str">
        <x:f>IFERROR(YEAR(R297),"缺失")</x:f>
        <x:v>缺失</x:v>
      </x:c>
    </x:row>
    <x:row r="298">
      <x:c r="A298" t="str">
        <x:v>20260812T132133+0800</x:v>
      </x:c>
      <x:c r="B298" t="n">
        <x:v>46246.22329861111</x:v>
      </x:c>
      <x:c r="C298" t="str">
        <x:v>2026-08-12</x:v>
      </x:c>
      <x:c r="D298" t="str">
        <x:v>netease_cloud_music</x:v>
      </x:c>
      <x:c r="E298" t="str">
        <x:v>CN</x:v>
      </x:c>
      <x:c r="F298" t="str">
        <x:v>new</x:v>
      </x:c>
      <x:c r="G298" t="str">
        <x:v>新歌榜</x:v>
      </x:c>
      <x:c r="H298" t="str">
        <x:v>3779629</x:v>
      </x:c>
      <x:c r="I298" t="n">
        <x:v>100</x:v>
      </x:c>
      <x:c r="J298" t="n">
        <x:v>94</x:v>
      </x:c>
      <x:c r="K298" t="n">
        <x:v>7</x:v>
      </x:c>
      <x:c r="L298" t="str">
        <x:v>3413309055</x:v>
      </x:c>
      <x:c r="M298" t="str">
        <x:v>攀峰</x:v>
      </x:c>
      <x:c r="N298" t="str">
        <x:v>62197835 | 94089748 | 35083105 | 52171576 | 34500363 | 60977837</x:v>
      </x:c>
      <x:c r="O298" t="str">
        <x:v>崔十八 | 麦麦 | 贰万ovo | 木木墩 | 鲸 | 听潮阁</x:v>
      </x:c>
      <x:c r="P298" t="str">
        <x:v>389707611</x:v>
      </x:c>
      <x:c r="Q298" t="str">
        <x:v>攀峰</x:v>
      </x:c>
      <x:c r="R298" t="str">
        <x:v>2026-08-10</x:v>
      </x:c>
      <x:c r="S298" t="str"/>
      <x:c r="T298" t="n">
        <x:v>77</x:v>
      </x:c>
      <x:c r="U298" t="n">
        <x:v>-17</x:v>
      </x:c>
      <x:c r="V298" t="str">
        <x:v>https://music.163.com/song?id=3413309055</x:v>
      </x:c>
      <x:c r="W298" t="str">
        <x:v>http://p2.music.126.net/e4TUtouZMnjLnB4R6VHUPA==/109951173659195321.jpg</x:v>
      </x:c>
      <x:c r="X298" t="str">
        <x:v>https://music.163.com/discover/toplist?id=3779629</x:v>
      </x:c>
      <x:c r="Y298" t="str">
        <x:v>https://music.163.com/api/playlist/detail?id=3779629&amp;n=100</x:v>
      </x:c>
      <x:c r="Z298" s="24" t="str">
        <x:f>IFERROR(VLOOKUP(F298,'07_字典与参数'!$A$5:$E$10,3,FALSE),"待映射")</x:f>
        <x:v>网易云音乐</x:v>
      </x:c>
      <x:c r="AA298" s="24" t="str">
        <x:f>IFERROR(VLOOKUP(F298,'07_字典与参数'!$A$5:$E$10,2,FALSE),"待映射")</x:f>
        <x:v>新歌榜</x:v>
      </x:c>
      <x:c r="AB298" s="24" t="str">
        <x:f>IFERROR(VLOOKUP(F298,'07_字典与参数'!$A$5:$E$10,4,FALSE),"待映射")</x:f>
        <x:v>每日</x:v>
      </x:c>
      <x:c r="AC298" s="24" t="str">
        <x:f>D298&amp;"|"&amp;F298&amp;"|"&amp;L298</x:f>
        <x:v>netease_cloud_music|new|3413309055</x:v>
      </x:c>
      <x:c r="AD298" s="24" t="str">
        <x:f>IF(J298&lt;=10,"是","否")</x:f>
        <x:v>否</x:v>
      </x:c>
      <x:c r="AE298" s="24" t="n">
        <x:f>IFERROR(YEAR(R298),"缺失")</x:f>
        <x:v>2026</x:v>
      </x:c>
    </x:row>
    <x:row r="299">
      <x:c r="A299" t="str">
        <x:v>20260812T132133+0800</x:v>
      </x:c>
      <x:c r="B299" t="n">
        <x:v>46246.22329861111</x:v>
      </x:c>
      <x:c r="C299" t="str">
        <x:v>2026-08-12</x:v>
      </x:c>
      <x:c r="D299" t="str">
        <x:v>netease_cloud_music</x:v>
      </x:c>
      <x:c r="E299" t="str">
        <x:v>CN</x:v>
      </x:c>
      <x:c r="F299" t="str">
        <x:v>new</x:v>
      </x:c>
      <x:c r="G299" t="str">
        <x:v>新歌榜</x:v>
      </x:c>
      <x:c r="H299" t="str">
        <x:v>3779629</x:v>
      </x:c>
      <x:c r="I299" t="n">
        <x:v>100</x:v>
      </x:c>
      <x:c r="J299" t="n">
        <x:v>95</x:v>
      </x:c>
      <x:c r="K299" t="n">
        <x:v>6</x:v>
      </x:c>
      <x:c r="L299" t="str">
        <x:v>3405747368</x:v>
      </x:c>
      <x:c r="M299" t="str">
        <x:v>Upward Spiral (扶瑶直上)</x:v>
      </x:c>
      <x:c r="N299" t="str">
        <x:v>50275485</x:v>
      </x:c>
      <x:c r="O299" t="str">
        <x:v>KKECHO</x:v>
      </x:c>
      <x:c r="P299" t="str">
        <x:v>386632533</x:v>
      </x:c>
      <x:c r="Q299" t="str">
        <x:v>Upward Spiral (扶瑶直上)</x:v>
      </x:c>
      <x:c r="R299" t="str">
        <x:v>2026-07-15</x:v>
      </x:c>
      <x:c r="S299" t="str"/>
      <x:c r="T299" t="n">
        <x:v>78</x:v>
      </x:c>
      <x:c r="U299" t="n">
        <x:v>-17</x:v>
      </x:c>
      <x:c r="V299" t="str">
        <x:v>https://music.163.com/song?id=3405747368</x:v>
      </x:c>
      <x:c r="W299" t="str">
        <x:v>http://p2.music.126.net/_7CAiOsyciV4shgb5bp7VA==/109951173545922171.jpg</x:v>
      </x:c>
      <x:c r="X299" t="str">
        <x:v>https://music.163.com/discover/toplist?id=3779629</x:v>
      </x:c>
      <x:c r="Y299" t="str">
        <x:v>https://music.163.com/api/playlist/detail?id=3779629&amp;n=100</x:v>
      </x:c>
      <x:c r="Z299" s="24" t="str">
        <x:f>IFERROR(VLOOKUP(F299,'07_字典与参数'!$A$5:$E$10,3,FALSE),"待映射")</x:f>
        <x:v>网易云音乐</x:v>
      </x:c>
      <x:c r="AA299" s="24" t="str">
        <x:f>IFERROR(VLOOKUP(F299,'07_字典与参数'!$A$5:$E$10,2,FALSE),"待映射")</x:f>
        <x:v>新歌榜</x:v>
      </x:c>
      <x:c r="AB299" s="24" t="str">
        <x:f>IFERROR(VLOOKUP(F299,'07_字典与参数'!$A$5:$E$10,4,FALSE),"待映射")</x:f>
        <x:v>每日</x:v>
      </x:c>
      <x:c r="AC299" s="24" t="str">
        <x:f>D299&amp;"|"&amp;F299&amp;"|"&amp;L299</x:f>
        <x:v>netease_cloud_music|new|3405747368</x:v>
      </x:c>
      <x:c r="AD299" s="24" t="str">
        <x:f>IF(J299&lt;=10,"是","否")</x:f>
        <x:v>否</x:v>
      </x:c>
      <x:c r="AE299" s="24" t="n">
        <x:f>IFERROR(YEAR(R299),"缺失")</x:f>
        <x:v>2026</x:v>
      </x:c>
    </x:row>
    <x:row r="300">
      <x:c r="A300" t="str">
        <x:v>20260812T132133+0800</x:v>
      </x:c>
      <x:c r="B300" t="n">
        <x:v>46246.22329861111</x:v>
      </x:c>
      <x:c r="C300" t="str">
        <x:v>2026-08-12</x:v>
      </x:c>
      <x:c r="D300" t="str">
        <x:v>netease_cloud_music</x:v>
      </x:c>
      <x:c r="E300" t="str">
        <x:v>CN</x:v>
      </x:c>
      <x:c r="F300" t="str">
        <x:v>new</x:v>
      </x:c>
      <x:c r="G300" t="str">
        <x:v>新歌榜</x:v>
      </x:c>
      <x:c r="H300" t="str">
        <x:v>3779629</x:v>
      </x:c>
      <x:c r="I300" t="n">
        <x:v>100</x:v>
      </x:c>
      <x:c r="J300" t="n">
        <x:v>96</x:v>
      </x:c>
      <x:c r="K300" t="n">
        <x:v>5</x:v>
      </x:c>
      <x:c r="L300" t="str">
        <x:v>3417228038</x:v>
      </x:c>
      <x:c r="M300" t="str">
        <x:v>Sparkling Days</x:v>
      </x:c>
      <x:c r="N300" t="str">
        <x:v>32540734 | 96677442 | 34512777</x:v>
      </x:c>
      <x:c r="O300" t="str">
        <x:v>塞壬唱片-MSR | Castalia Audio | Bangler</x:v>
      </x:c>
      <x:c r="P300" t="str">
        <x:v>391110550</x:v>
      </x:c>
      <x:c r="Q300" t="str">
        <x:v>奇象巡展OST</x:v>
      </x:c>
      <x:c r="R300" t="str">
        <x:v>2026-08-10</x:v>
      </x:c>
      <x:c r="S300" t="str"/>
      <x:c r="T300"/>
      <x:c r="U300"/>
      <x:c r="V300" t="str">
        <x:v>https://music.163.com/song?id=3417228038</x:v>
      </x:c>
      <x:c r="W300" t="str">
        <x:v>http://p2.music.126.net/s0YdreYoQL_PLpFL4UvZhA==/109951173704018052.jpg</x:v>
      </x:c>
      <x:c r="X300" t="str">
        <x:v>https://music.163.com/discover/toplist?id=3779629</x:v>
      </x:c>
      <x:c r="Y300" t="str">
        <x:v>https://music.163.com/api/playlist/detail?id=3779629&amp;n=100</x:v>
      </x:c>
      <x:c r="Z300" s="24" t="str">
        <x:f>IFERROR(VLOOKUP(F300,'07_字典与参数'!$A$5:$E$10,3,FALSE),"待映射")</x:f>
        <x:v>网易云音乐</x:v>
      </x:c>
      <x:c r="AA300" s="24" t="str">
        <x:f>IFERROR(VLOOKUP(F300,'07_字典与参数'!$A$5:$E$10,2,FALSE),"待映射")</x:f>
        <x:v>新歌榜</x:v>
      </x:c>
      <x:c r="AB300" s="24" t="str">
        <x:f>IFERROR(VLOOKUP(F300,'07_字典与参数'!$A$5:$E$10,4,FALSE),"待映射")</x:f>
        <x:v>每日</x:v>
      </x:c>
      <x:c r="AC300" s="24" t="str">
        <x:f>D300&amp;"|"&amp;F300&amp;"|"&amp;L300</x:f>
        <x:v>netease_cloud_music|new|3417228038</x:v>
      </x:c>
      <x:c r="AD300" s="24" t="str">
        <x:f>IF(J300&lt;=10,"是","否")</x:f>
        <x:v>否</x:v>
      </x:c>
      <x:c r="AE300" s="24" t="n">
        <x:f>IFERROR(YEAR(R300),"缺失")</x:f>
        <x:v>2026</x:v>
      </x:c>
    </x:row>
    <x:row r="301">
      <x:c r="A301" t="str">
        <x:v>20260812T132133+0800</x:v>
      </x:c>
      <x:c r="B301" t="n">
        <x:v>46246.22329861111</x:v>
      </x:c>
      <x:c r="C301" t="str">
        <x:v>2026-08-12</x:v>
      </x:c>
      <x:c r="D301" t="str">
        <x:v>netease_cloud_music</x:v>
      </x:c>
      <x:c r="E301" t="str">
        <x:v>CN</x:v>
      </x:c>
      <x:c r="F301" t="str">
        <x:v>new</x:v>
      </x:c>
      <x:c r="G301" t="str">
        <x:v>新歌榜</x:v>
      </x:c>
      <x:c r="H301" t="str">
        <x:v>3779629</x:v>
      </x:c>
      <x:c r="I301" t="n">
        <x:v>100</x:v>
      </x:c>
      <x:c r="J301" t="n">
        <x:v>97</x:v>
      </x:c>
      <x:c r="K301" t="n">
        <x:v>4</x:v>
      </x:c>
      <x:c r="L301" t="str">
        <x:v>3412809398</x:v>
      </x:c>
      <x:c r="M301" t="str">
        <x:v>GO GHOST</x:v>
      </x:c>
      <x:c r="N301" t="str">
        <x:v>12551173</x:v>
      </x:c>
      <x:c r="O301" t="str">
        <x:v>King Gnu</x:v>
      </x:c>
      <x:c r="P301" t="str">
        <x:v>389535177</x:v>
      </x:c>
      <x:c r="Q301" t="str">
        <x:v>GO GHOST</x:v>
      </x:c>
      <x:c r="R301" t="str">
        <x:v>2026-07-29</x:v>
      </x:c>
      <x:c r="S301" t="str"/>
      <x:c r="T301"/>
      <x:c r="U301"/>
      <x:c r="V301" t="str">
        <x:v>https://music.163.com/song?id=3412809398</x:v>
      </x:c>
      <x:c r="W301" t="str">
        <x:v>http://p2.music.126.net/yz0wdp_WhXFTLHufAP8TkQ==/109951173654880302.jpg</x:v>
      </x:c>
      <x:c r="X301" t="str">
        <x:v>https://music.163.com/discover/toplist?id=3779629</x:v>
      </x:c>
      <x:c r="Y301" t="str">
        <x:v>https://music.163.com/api/playlist/detail?id=3779629&amp;n=100</x:v>
      </x:c>
      <x:c r="Z301" s="24" t="str">
        <x:f>IFERROR(VLOOKUP(F301,'07_字典与参数'!$A$5:$E$10,3,FALSE),"待映射")</x:f>
        <x:v>网易云音乐</x:v>
      </x:c>
      <x:c r="AA301" s="24" t="str">
        <x:f>IFERROR(VLOOKUP(F301,'07_字典与参数'!$A$5:$E$10,2,FALSE),"待映射")</x:f>
        <x:v>新歌榜</x:v>
      </x:c>
      <x:c r="AB301" s="24" t="str">
        <x:f>IFERROR(VLOOKUP(F301,'07_字典与参数'!$A$5:$E$10,4,FALSE),"待映射")</x:f>
        <x:v>每日</x:v>
      </x:c>
      <x:c r="AC301" s="24" t="str">
        <x:f>D301&amp;"|"&amp;F301&amp;"|"&amp;L301</x:f>
        <x:v>netease_cloud_music|new|3412809398</x:v>
      </x:c>
      <x:c r="AD301" s="24" t="str">
        <x:f>IF(J301&lt;=10,"是","否")</x:f>
        <x:v>否</x:v>
      </x:c>
      <x:c r="AE301" s="24" t="n">
        <x:f>IFERROR(YEAR(R301),"缺失")</x:f>
        <x:v>2026</x:v>
      </x:c>
    </x:row>
    <x:row r="302">
      <x:c r="A302" t="str">
        <x:v>20260812T132133+0800</x:v>
      </x:c>
      <x:c r="B302" t="n">
        <x:v>46246.22329861111</x:v>
      </x:c>
      <x:c r="C302" t="str">
        <x:v>2026-08-12</x:v>
      </x:c>
      <x:c r="D302" t="str">
        <x:v>netease_cloud_music</x:v>
      </x:c>
      <x:c r="E302" t="str">
        <x:v>CN</x:v>
      </x:c>
      <x:c r="F302" t="str">
        <x:v>new</x:v>
      </x:c>
      <x:c r="G302" t="str">
        <x:v>新歌榜</x:v>
      </x:c>
      <x:c r="H302" t="str">
        <x:v>3779629</x:v>
      </x:c>
      <x:c r="I302" t="n">
        <x:v>100</x:v>
      </x:c>
      <x:c r="J302" t="n">
        <x:v>98</x:v>
      </x:c>
      <x:c r="K302" t="n">
        <x:v>3</x:v>
      </x:c>
      <x:c r="L302" t="str">
        <x:v>3417171473</x:v>
      </x:c>
      <x:c r="M302" t="str">
        <x:v>江南旧忆</x:v>
      </x:c>
      <x:c r="N302" t="str">
        <x:v>52681305</x:v>
      </x:c>
      <x:c r="O302" t="str">
        <x:v>蛋仔派对</x:v>
      </x:c>
      <x:c r="P302" t="str">
        <x:v>391092476</x:v>
      </x:c>
      <x:c r="Q302" t="str">
        <x:v>江南旧忆</x:v>
      </x:c>
      <x:c r="R302" t="str"/>
      <x:c r="S302" t="str"/>
      <x:c r="T302" t="n">
        <x:v>92</x:v>
      </x:c>
      <x:c r="U302" t="n">
        <x:v>-6</x:v>
      </x:c>
      <x:c r="V302" t="str">
        <x:v>https://music.163.com/song?id=3417171473</x:v>
      </x:c>
      <x:c r="W302" t="str">
        <x:v>http://p2.music.126.net/96sELsRT5tdsnt8urMYF2Q==/109951173703519632.jpg</x:v>
      </x:c>
      <x:c r="X302" t="str">
        <x:v>https://music.163.com/discover/toplist?id=3779629</x:v>
      </x:c>
      <x:c r="Y302" t="str">
        <x:v>https://music.163.com/api/playlist/detail?id=3779629&amp;n=100</x:v>
      </x:c>
      <x:c r="Z302" s="24" t="str">
        <x:f>IFERROR(VLOOKUP(F302,'07_字典与参数'!$A$5:$E$10,3,FALSE),"待映射")</x:f>
        <x:v>网易云音乐</x:v>
      </x:c>
      <x:c r="AA302" s="24" t="str">
        <x:f>IFERROR(VLOOKUP(F302,'07_字典与参数'!$A$5:$E$10,2,FALSE),"待映射")</x:f>
        <x:v>新歌榜</x:v>
      </x:c>
      <x:c r="AB302" s="24" t="str">
        <x:f>IFERROR(VLOOKUP(F302,'07_字典与参数'!$A$5:$E$10,4,FALSE),"待映射")</x:f>
        <x:v>每日</x:v>
      </x:c>
      <x:c r="AC302" s="24" t="str">
        <x:f>D302&amp;"|"&amp;F302&amp;"|"&amp;L302</x:f>
        <x:v>netease_cloud_music|new|3417171473</x:v>
      </x:c>
      <x:c r="AD302" s="24" t="str">
        <x:f>IF(J302&lt;=10,"是","否")</x:f>
        <x:v>否</x:v>
      </x:c>
      <x:c r="AE302" s="24" t="str">
        <x:f>IFERROR(YEAR(R302),"缺失")</x:f>
        <x:v>缺失</x:v>
      </x:c>
    </x:row>
    <x:row r="303">
      <x:c r="A303" t="str">
        <x:v>20260812T132133+0800</x:v>
      </x:c>
      <x:c r="B303" t="n">
        <x:v>46246.22329861111</x:v>
      </x:c>
      <x:c r="C303" t="str">
        <x:v>2026-08-12</x:v>
      </x:c>
      <x:c r="D303" t="str">
        <x:v>netease_cloud_music</x:v>
      </x:c>
      <x:c r="E303" t="str">
        <x:v>CN</x:v>
      </x:c>
      <x:c r="F303" t="str">
        <x:v>new</x:v>
      </x:c>
      <x:c r="G303" t="str">
        <x:v>新歌榜</x:v>
      </x:c>
      <x:c r="H303" t="str">
        <x:v>3779629</x:v>
      </x:c>
      <x:c r="I303" t="n">
        <x:v>100</x:v>
      </x:c>
      <x:c r="J303" t="n">
        <x:v>99</x:v>
      </x:c>
      <x:c r="K303" t="n">
        <x:v>2</x:v>
      </x:c>
      <x:c r="L303" t="str">
        <x:v>3402161256</x:v>
      </x:c>
      <x:c r="M303" t="str">
        <x:v>停在那边</x:v>
      </x:c>
      <x:c r="N303" t="str">
        <x:v>12871122</x:v>
      </x:c>
      <x:c r="O303" t="str">
        <x:v>王艳薇</x:v>
      </x:c>
      <x:c r="P303" t="str">
        <x:v>385480121</x:v>
      </x:c>
      <x:c r="Q303" t="str">
        <x:v>停在那边</x:v>
      </x:c>
      <x:c r="R303" t="str">
        <x:v>2026-07-20</x:v>
      </x:c>
      <x:c r="S303" t="str"/>
      <x:c r="T303"/>
      <x:c r="U303"/>
      <x:c r="V303" t="str">
        <x:v>https://music.163.com/song?id=3402161256</x:v>
      </x:c>
      <x:c r="W303" t="str">
        <x:v>http://p2.music.126.net/-XG2FWXqXVfKXQPimjp5bQ==/109951173513895519.jpg</x:v>
      </x:c>
      <x:c r="X303" t="str">
        <x:v>https://music.163.com/discover/toplist?id=3779629</x:v>
      </x:c>
      <x:c r="Y303" t="str">
        <x:v>https://music.163.com/api/playlist/detail?id=3779629&amp;n=100</x:v>
      </x:c>
      <x:c r="Z303" s="24" t="str">
        <x:f>IFERROR(VLOOKUP(F303,'07_字典与参数'!$A$5:$E$10,3,FALSE),"待映射")</x:f>
        <x:v>网易云音乐</x:v>
      </x:c>
      <x:c r="AA303" s="24" t="str">
        <x:f>IFERROR(VLOOKUP(F303,'07_字典与参数'!$A$5:$E$10,2,FALSE),"待映射")</x:f>
        <x:v>新歌榜</x:v>
      </x:c>
      <x:c r="AB303" s="24" t="str">
        <x:f>IFERROR(VLOOKUP(F303,'07_字典与参数'!$A$5:$E$10,4,FALSE),"待映射")</x:f>
        <x:v>每日</x:v>
      </x:c>
      <x:c r="AC303" s="24" t="str">
        <x:f>D303&amp;"|"&amp;F303&amp;"|"&amp;L303</x:f>
        <x:v>netease_cloud_music|new|3402161256</x:v>
      </x:c>
      <x:c r="AD303" s="24" t="str">
        <x:f>IF(J303&lt;=10,"是","否")</x:f>
        <x:v>否</x:v>
      </x:c>
      <x:c r="AE303" s="24" t="n">
        <x:f>IFERROR(YEAR(R303),"缺失")</x:f>
        <x:v>2026</x:v>
      </x:c>
    </x:row>
    <x:row r="304">
      <x:c r="A304" t="str">
        <x:v>20260812T132133+0800</x:v>
      </x:c>
      <x:c r="B304" t="n">
        <x:v>46246.22329861111</x:v>
      </x:c>
      <x:c r="C304" t="str">
        <x:v>2026-08-12</x:v>
      </x:c>
      <x:c r="D304" t="str">
        <x:v>netease_cloud_music</x:v>
      </x:c>
      <x:c r="E304" t="str">
        <x:v>CN</x:v>
      </x:c>
      <x:c r="F304" t="str">
        <x:v>new</x:v>
      </x:c>
      <x:c r="G304" t="str">
        <x:v>新歌榜</x:v>
      </x:c>
      <x:c r="H304" t="str">
        <x:v>3779629</x:v>
      </x:c>
      <x:c r="I304" t="n">
        <x:v>100</x:v>
      </x:c>
      <x:c r="J304" t="n">
        <x:v>100</x:v>
      </x:c>
      <x:c r="K304" t="n">
        <x:v>1</x:v>
      </x:c>
      <x:c r="L304" t="str">
        <x:v>3407844731</x:v>
      </x:c>
      <x:c r="M304" t="str">
        <x:v>八仙</x:v>
      </x:c>
      <x:c r="N304" t="str">
        <x:v>7424</x:v>
      </x:c>
      <x:c r="O304" t="str">
        <x:v>程响</x:v>
      </x:c>
      <x:c r="P304" t="str">
        <x:v>387564254</x:v>
      </x:c>
      <x:c r="Q304" t="str">
        <x:v>八仙</x:v>
      </x:c>
      <x:c r="R304" t="str">
        <x:v>2026-07-17</x:v>
      </x:c>
      <x:c r="S304" t="str"/>
      <x:c r="T304"/>
      <x:c r="U304"/>
      <x:c r="V304" t="str">
        <x:v>https://music.163.com/song?id=3407844731</x:v>
      </x:c>
      <x:c r="W304" t="str">
        <x:v>http://p2.music.126.net/Up2H_KddiKdMvJkKLlTRXg==/109951173578401780.jpg</x:v>
      </x:c>
      <x:c r="X304" t="str">
        <x:v>https://music.163.com/discover/toplist?id=3779629</x:v>
      </x:c>
      <x:c r="Y304" t="str">
        <x:v>https://music.163.com/api/playlist/detail?id=3779629&amp;n=100</x:v>
      </x:c>
      <x:c r="Z304" s="24" t="str">
        <x:f>IFERROR(VLOOKUP(F304,'07_字典与参数'!$A$5:$E$10,3,FALSE),"待映射")</x:f>
        <x:v>网易云音乐</x:v>
      </x:c>
      <x:c r="AA304" s="24" t="str">
        <x:f>IFERROR(VLOOKUP(F304,'07_字典与参数'!$A$5:$E$10,2,FALSE),"待映射")</x:f>
        <x:v>新歌榜</x:v>
      </x:c>
      <x:c r="AB304" s="24" t="str">
        <x:f>IFERROR(VLOOKUP(F304,'07_字典与参数'!$A$5:$E$10,4,FALSE),"待映射")</x:f>
        <x:v>每日</x:v>
      </x:c>
      <x:c r="AC304" s="24" t="str">
        <x:f>D304&amp;"|"&amp;F304&amp;"|"&amp;L304</x:f>
        <x:v>netease_cloud_music|new|3407844731</x:v>
      </x:c>
      <x:c r="AD304" s="24" t="str">
        <x:f>IF(J304&lt;=10,"是","否")</x:f>
        <x:v>否</x:v>
      </x:c>
      <x:c r="AE304" s="24" t="n">
        <x:f>IFERROR(YEAR(R304),"缺失")</x:f>
        <x:v>2026</x:v>
      </x:c>
    </x:row>
    <x:row r="305">
      <x:c r="A305" t="str">
        <x:v>20260812T132133+0800</x:v>
      </x:c>
      <x:c r="B305" t="n">
        <x:v>46246.22329861111</x:v>
      </x:c>
      <x:c r="C305" t="str">
        <x:v>2026-08-06</x:v>
      </x:c>
      <x:c r="D305" t="str">
        <x:v>netease_cloud_music</x:v>
      </x:c>
      <x:c r="E305" t="str">
        <x:v>CN</x:v>
      </x:c>
      <x:c r="F305" t="str">
        <x:v>original</x:v>
      </x:c>
      <x:c r="G305" t="str">
        <x:v>原创榜</x:v>
      </x:c>
      <x:c r="H305" t="str">
        <x:v>2884035</x:v>
      </x:c>
      <x:c r="I305" t="n">
        <x:v>100</x:v>
      </x:c>
      <x:c r="J305" t="n">
        <x:v>1</x:v>
      </x:c>
      <x:c r="K305" t="n">
        <x:v>100</x:v>
      </x:c>
      <x:c r="L305" t="str">
        <x:v>3412524548</x:v>
      </x:c>
      <x:c r="M305" t="str">
        <x:v>偶尔</x:v>
      </x:c>
      <x:c r="N305" t="str">
        <x:v>49320722</x:v>
      </x:c>
      <x:c r="O305" t="str">
        <x:v>加木</x:v>
      </x:c>
      <x:c r="P305" t="str">
        <x:v>389428902</x:v>
      </x:c>
      <x:c r="Q305" t="str">
        <x:v>偶尔</x:v>
      </x:c>
      <x:c r="R305" t="str"/>
      <x:c r="S305" t="str"/>
      <x:c r="T305"/>
      <x:c r="U305"/>
      <x:c r="V305" t="str">
        <x:v>https://music.163.com/song?id=3412524548</x:v>
      </x:c>
      <x:c r="W305" t="str">
        <x:v>http://p1.music.126.net/IbOWKcdIWr1JryqXOmKQ0g==/109951173651466474.jpg</x:v>
      </x:c>
      <x:c r="X305" t="str">
        <x:v>https://music.163.com/discover/toplist?id=2884035</x:v>
      </x:c>
      <x:c r="Y305" t="str">
        <x:v>https://music.163.com/api/playlist/detail?id=2884035&amp;n=100</x:v>
      </x:c>
      <x:c r="Z305" s="24" t="str">
        <x:f>IFERROR(VLOOKUP(F305,'07_字典与参数'!$A$5:$E$10,3,FALSE),"待映射")</x:f>
        <x:v>网易云音乐</x:v>
      </x:c>
      <x:c r="AA305" s="24" t="str">
        <x:f>IFERROR(VLOOKUP(F305,'07_字典与参数'!$A$5:$E$10,2,FALSE),"待映射")</x:f>
        <x:v>原创榜</x:v>
      </x:c>
      <x:c r="AB305" s="24" t="str">
        <x:f>IFERROR(VLOOKUP(F305,'07_字典与参数'!$A$5:$E$10,4,FALSE),"待映射")</x:f>
        <x:v>每周四</x:v>
      </x:c>
      <x:c r="AC305" s="24" t="str">
        <x:f>D305&amp;"|"&amp;F305&amp;"|"&amp;L305</x:f>
        <x:v>netease_cloud_music|original|3412524548</x:v>
      </x:c>
      <x:c r="AD305" s="24" t="str">
        <x:f>IF(J305&lt;=10,"是","否")</x:f>
        <x:v>是</x:v>
      </x:c>
      <x:c r="AE305" s="24" t="str">
        <x:f>IFERROR(YEAR(R305),"缺失")</x:f>
        <x:v>缺失</x:v>
      </x:c>
    </x:row>
    <x:row r="306">
      <x:c r="A306" t="str">
        <x:v>20260812T132133+0800</x:v>
      </x:c>
      <x:c r="B306" t="n">
        <x:v>46246.22329861111</x:v>
      </x:c>
      <x:c r="C306" t="str">
        <x:v>2026-08-06</x:v>
      </x:c>
      <x:c r="D306" t="str">
        <x:v>netease_cloud_music</x:v>
      </x:c>
      <x:c r="E306" t="str">
        <x:v>CN</x:v>
      </x:c>
      <x:c r="F306" t="str">
        <x:v>original</x:v>
      </x:c>
      <x:c r="G306" t="str">
        <x:v>原创榜</x:v>
      </x:c>
      <x:c r="H306" t="str">
        <x:v>2884035</x:v>
      </x:c>
      <x:c r="I306" t="n">
        <x:v>100</x:v>
      </x:c>
      <x:c r="J306" t="n">
        <x:v>2</x:v>
      </x:c>
      <x:c r="K306" t="n">
        <x:v>99</x:v>
      </x:c>
      <x:c r="L306" t="str">
        <x:v>3410751725</x:v>
      </x:c>
      <x:c r="M306" t="str">
        <x:v>不具名的访客</x:v>
      </x:c>
      <x:c r="N306" t="str">
        <x:v>12038239</x:v>
      </x:c>
      <x:c r="O306" t="str">
        <x:v>裘德</x:v>
      </x:c>
      <x:c r="P306" t="str">
        <x:v>388768743</x:v>
      </x:c>
      <x:c r="Q306" t="str">
        <x:v>不具名的访客</x:v>
      </x:c>
      <x:c r="R306" t="str"/>
      <x:c r="S306" t="str"/>
      <x:c r="T306"/>
      <x:c r="U306"/>
      <x:c r="V306" t="str">
        <x:v>https://music.163.com/song?id=3410751725</x:v>
      </x:c>
      <x:c r="W306" t="str">
        <x:v>http://p1.music.126.net/ppcVxI1g2KMzfoFQv0es5w==/109951173644488757.jpg</x:v>
      </x:c>
      <x:c r="X306" t="str">
        <x:v>https://music.163.com/discover/toplist?id=2884035</x:v>
      </x:c>
      <x:c r="Y306" t="str">
        <x:v>https://music.163.com/api/playlist/detail?id=2884035&amp;n=100</x:v>
      </x:c>
      <x:c r="Z306" s="24" t="str">
        <x:f>IFERROR(VLOOKUP(F306,'07_字典与参数'!$A$5:$E$10,3,FALSE),"待映射")</x:f>
        <x:v>网易云音乐</x:v>
      </x:c>
      <x:c r="AA306" s="24" t="str">
        <x:f>IFERROR(VLOOKUP(F306,'07_字典与参数'!$A$5:$E$10,2,FALSE),"待映射")</x:f>
        <x:v>原创榜</x:v>
      </x:c>
      <x:c r="AB306" s="24" t="str">
        <x:f>IFERROR(VLOOKUP(F306,'07_字典与参数'!$A$5:$E$10,4,FALSE),"待映射")</x:f>
        <x:v>每周四</x:v>
      </x:c>
      <x:c r="AC306" s="24" t="str">
        <x:f>D306&amp;"|"&amp;F306&amp;"|"&amp;L306</x:f>
        <x:v>netease_cloud_music|original|3410751725</x:v>
      </x:c>
      <x:c r="AD306" s="24" t="str">
        <x:f>IF(J306&lt;=10,"是","否")</x:f>
        <x:v>是</x:v>
      </x:c>
      <x:c r="AE306" s="24" t="str">
        <x:f>IFERROR(YEAR(R306),"缺失")</x:f>
        <x:v>缺失</x:v>
      </x:c>
    </x:row>
    <x:row r="307">
      <x:c r="A307" t="str">
        <x:v>20260812T132133+0800</x:v>
      </x:c>
      <x:c r="B307" t="n">
        <x:v>46246.22329861111</x:v>
      </x:c>
      <x:c r="C307" t="str">
        <x:v>2026-08-06</x:v>
      </x:c>
      <x:c r="D307" t="str">
        <x:v>netease_cloud_music</x:v>
      </x:c>
      <x:c r="E307" t="str">
        <x:v>CN</x:v>
      </x:c>
      <x:c r="F307" t="str">
        <x:v>original</x:v>
      </x:c>
      <x:c r="G307" t="str">
        <x:v>原创榜</x:v>
      </x:c>
      <x:c r="H307" t="str">
        <x:v>2884035</x:v>
      </x:c>
      <x:c r="I307" t="n">
        <x:v>100</x:v>
      </x:c>
      <x:c r="J307" t="n">
        <x:v>3</x:v>
      </x:c>
      <x:c r="K307" t="n">
        <x:v>98</x:v>
      </x:c>
      <x:c r="L307" t="str">
        <x:v>3414488371</x:v>
      </x:c>
      <x:c r="M307" t="str">
        <x:v>The Gentlemen(绅士们) (Live)</x:v>
      </x:c>
      <x:c r="N307" t="str">
        <x:v>35784564 | 12371041</x:v>
      </x:c>
      <x:c r="O307" t="str">
        <x:v>弹壳Danko | Vinz-T</x:v>
      </x:c>
      <x:c r="P307" t="str">
        <x:v>390102810</x:v>
      </x:c>
      <x:c r="Q307" t="str">
        <x:v>说唱巅峰对决2026 第六期</x:v>
      </x:c>
      <x:c r="R307" t="str"/>
      <x:c r="S307" t="str"/>
      <x:c r="T307"/>
      <x:c r="U307"/>
      <x:c r="V307" t="str">
        <x:v>https://music.163.com/song?id=3414488371</x:v>
      </x:c>
      <x:c r="W307" t="str">
        <x:v>http://p1.music.126.net/8vkWFMdRU12EZnhqUkVlMw==/109951173671668840.jpg</x:v>
      </x:c>
      <x:c r="X307" t="str">
        <x:v>https://music.163.com/discover/toplist?id=2884035</x:v>
      </x:c>
      <x:c r="Y307" t="str">
        <x:v>https://music.163.com/api/playlist/detail?id=2884035&amp;n=100</x:v>
      </x:c>
      <x:c r="Z307" s="24" t="str">
        <x:f>IFERROR(VLOOKUP(F307,'07_字典与参数'!$A$5:$E$10,3,FALSE),"待映射")</x:f>
        <x:v>网易云音乐</x:v>
      </x:c>
      <x:c r="AA307" s="24" t="str">
        <x:f>IFERROR(VLOOKUP(F307,'07_字典与参数'!$A$5:$E$10,2,FALSE),"待映射")</x:f>
        <x:v>原创榜</x:v>
      </x:c>
      <x:c r="AB307" s="24" t="str">
        <x:f>IFERROR(VLOOKUP(F307,'07_字典与参数'!$A$5:$E$10,4,FALSE),"待映射")</x:f>
        <x:v>每周四</x:v>
      </x:c>
      <x:c r="AC307" s="24" t="str">
        <x:f>D307&amp;"|"&amp;F307&amp;"|"&amp;L307</x:f>
        <x:v>netease_cloud_music|original|3414488371</x:v>
      </x:c>
      <x:c r="AD307" s="24" t="str">
        <x:f>IF(J307&lt;=10,"是","否")</x:f>
        <x:v>是</x:v>
      </x:c>
      <x:c r="AE307" s="24" t="str">
        <x:f>IFERROR(YEAR(R307),"缺失")</x:f>
        <x:v>缺失</x:v>
      </x:c>
    </x:row>
    <x:row r="308">
      <x:c r="A308" t="str">
        <x:v>20260812T132133+0800</x:v>
      </x:c>
      <x:c r="B308" t="n">
        <x:v>46246.22329861111</x:v>
      </x:c>
      <x:c r="C308" t="str">
        <x:v>2026-08-06</x:v>
      </x:c>
      <x:c r="D308" t="str">
        <x:v>netease_cloud_music</x:v>
      </x:c>
      <x:c r="E308" t="str">
        <x:v>CN</x:v>
      </x:c>
      <x:c r="F308" t="str">
        <x:v>original</x:v>
      </x:c>
      <x:c r="G308" t="str">
        <x:v>原创榜</x:v>
      </x:c>
      <x:c r="H308" t="str">
        <x:v>2884035</x:v>
      </x:c>
      <x:c r="I308" t="n">
        <x:v>100</x:v>
      </x:c>
      <x:c r="J308" t="n">
        <x:v>4</x:v>
      </x:c>
      <x:c r="K308" t="n">
        <x:v>97</x:v>
      </x:c>
      <x:c r="L308" t="str">
        <x:v>3411982875</x:v>
      </x:c>
      <x:c r="M308" t="str">
        <x:v>忘记了也没关系</x:v>
      </x:c>
      <x:c r="N308" t="str">
        <x:v>57076584</x:v>
      </x:c>
      <x:c r="O308" t="str">
        <x:v>DOUDOU</x:v>
      </x:c>
      <x:c r="P308" t="str">
        <x:v>389249419</x:v>
      </x:c>
      <x:c r="Q308" t="str">
        <x:v>忘记了也没关系</x:v>
      </x:c>
      <x:c r="R308" t="str"/>
      <x:c r="S308" t="str"/>
      <x:c r="T308"/>
      <x:c r="U308"/>
      <x:c r="V308" t="str">
        <x:v>https://music.163.com/song?id=3411982875</x:v>
      </x:c>
      <x:c r="W308" t="str">
        <x:v>http://p1.music.126.net/i3n8vshqhOFa4W77W9hM0Q==/109951173645937470.jpg</x:v>
      </x:c>
      <x:c r="X308" t="str">
        <x:v>https://music.163.com/discover/toplist?id=2884035</x:v>
      </x:c>
      <x:c r="Y308" t="str">
        <x:v>https://music.163.com/api/playlist/detail?id=2884035&amp;n=100</x:v>
      </x:c>
      <x:c r="Z308" s="24" t="str">
        <x:f>IFERROR(VLOOKUP(F308,'07_字典与参数'!$A$5:$E$10,3,FALSE),"待映射")</x:f>
        <x:v>网易云音乐</x:v>
      </x:c>
      <x:c r="AA308" s="24" t="str">
        <x:f>IFERROR(VLOOKUP(F308,'07_字典与参数'!$A$5:$E$10,2,FALSE),"待映射")</x:f>
        <x:v>原创榜</x:v>
      </x:c>
      <x:c r="AB308" s="24" t="str">
        <x:f>IFERROR(VLOOKUP(F308,'07_字典与参数'!$A$5:$E$10,4,FALSE),"待映射")</x:f>
        <x:v>每周四</x:v>
      </x:c>
      <x:c r="AC308" s="24" t="str">
        <x:f>D308&amp;"|"&amp;F308&amp;"|"&amp;L308</x:f>
        <x:v>netease_cloud_music|original|3411982875</x:v>
      </x:c>
      <x:c r="AD308" s="24" t="str">
        <x:f>IF(J308&lt;=10,"是","否")</x:f>
        <x:v>是</x:v>
      </x:c>
      <x:c r="AE308" s="24" t="str">
        <x:f>IFERROR(YEAR(R308),"缺失")</x:f>
        <x:v>缺失</x:v>
      </x:c>
    </x:row>
    <x:row r="309">
      <x:c r="A309" t="str">
        <x:v>20260812T132133+0800</x:v>
      </x:c>
      <x:c r="B309" t="n">
        <x:v>46246.22329861111</x:v>
      </x:c>
      <x:c r="C309" t="str">
        <x:v>2026-08-06</x:v>
      </x:c>
      <x:c r="D309" t="str">
        <x:v>netease_cloud_music</x:v>
      </x:c>
      <x:c r="E309" t="str">
        <x:v>CN</x:v>
      </x:c>
      <x:c r="F309" t="str">
        <x:v>original</x:v>
      </x:c>
      <x:c r="G309" t="str">
        <x:v>原创榜</x:v>
      </x:c>
      <x:c r="H309" t="str">
        <x:v>2884035</x:v>
      </x:c>
      <x:c r="I309" t="n">
        <x:v>100</x:v>
      </x:c>
      <x:c r="J309" t="n">
        <x:v>5</x:v>
      </x:c>
      <x:c r="K309" t="n">
        <x:v>96</x:v>
      </x:c>
      <x:c r="L309" t="str">
        <x:v>3414488847</x:v>
      </x:c>
      <x:c r="M309" t="str">
        <x:v>了了 (Live)</x:v>
      </x:c>
      <x:c r="N309" t="str">
        <x:v>35884195 | 49320722</x:v>
      </x:c>
      <x:c r="O309" t="str">
        <x:v>翁杰Winjay | 加木</x:v>
      </x:c>
      <x:c r="P309" t="str">
        <x:v>390102810</x:v>
      </x:c>
      <x:c r="Q309" t="str">
        <x:v>说唱巅峰对决2026 第六期</x:v>
      </x:c>
      <x:c r="R309" t="str"/>
      <x:c r="S309" t="str"/>
      <x:c r="T309"/>
      <x:c r="U309"/>
      <x:c r="V309" t="str">
        <x:v>https://music.163.com/song?id=3414488847</x:v>
      </x:c>
      <x:c r="W309" t="str">
        <x:v>http://p1.music.126.net/8vkWFMdRU12EZnhqUkVlMw==/109951173671668840.jpg</x:v>
      </x:c>
      <x:c r="X309" t="str">
        <x:v>https://music.163.com/discover/toplist?id=2884035</x:v>
      </x:c>
      <x:c r="Y309" t="str">
        <x:v>https://music.163.com/api/playlist/detail?id=2884035&amp;n=100</x:v>
      </x:c>
      <x:c r="Z309" s="24" t="str">
        <x:f>IFERROR(VLOOKUP(F309,'07_字典与参数'!$A$5:$E$10,3,FALSE),"待映射")</x:f>
        <x:v>网易云音乐</x:v>
      </x:c>
      <x:c r="AA309" s="24" t="str">
        <x:f>IFERROR(VLOOKUP(F309,'07_字典与参数'!$A$5:$E$10,2,FALSE),"待映射")</x:f>
        <x:v>原创榜</x:v>
      </x:c>
      <x:c r="AB309" s="24" t="str">
        <x:f>IFERROR(VLOOKUP(F309,'07_字典与参数'!$A$5:$E$10,4,FALSE),"待映射")</x:f>
        <x:v>每周四</x:v>
      </x:c>
      <x:c r="AC309" s="24" t="str">
        <x:f>D309&amp;"|"&amp;F309&amp;"|"&amp;L309</x:f>
        <x:v>netease_cloud_music|original|3414488847</x:v>
      </x:c>
      <x:c r="AD309" s="24" t="str">
        <x:f>IF(J309&lt;=10,"是","否")</x:f>
        <x:v>是</x:v>
      </x:c>
      <x:c r="AE309" s="24" t="str">
        <x:f>IFERROR(YEAR(R309),"缺失")</x:f>
        <x:v>缺失</x:v>
      </x:c>
    </x:row>
    <x:row r="310">
      <x:c r="A310" t="str">
        <x:v>20260812T132133+0800</x:v>
      </x:c>
      <x:c r="B310" t="n">
        <x:v>46246.22329861111</x:v>
      </x:c>
      <x:c r="C310" t="str">
        <x:v>2026-08-06</x:v>
      </x:c>
      <x:c r="D310" t="str">
        <x:v>netease_cloud_music</x:v>
      </x:c>
      <x:c r="E310" t="str">
        <x:v>CN</x:v>
      </x:c>
      <x:c r="F310" t="str">
        <x:v>original</x:v>
      </x:c>
      <x:c r="G310" t="str">
        <x:v>原创榜</x:v>
      </x:c>
      <x:c r="H310" t="str">
        <x:v>2884035</x:v>
      </x:c>
      <x:c r="I310" t="n">
        <x:v>100</x:v>
      </x:c>
      <x:c r="J310" t="n">
        <x:v>6</x:v>
      </x:c>
      <x:c r="K310" t="n">
        <x:v>95</x:v>
      </x:c>
      <x:c r="L310" t="str">
        <x:v>3411948902</x:v>
      </x:c>
      <x:c r="M310" t="str">
        <x:v>河与流</x:v>
      </x:c>
      <x:c r="N310" t="str">
        <x:v>1050282</x:v>
      </x:c>
      <x:c r="O310" t="str">
        <x:v>房东的猫</x:v>
      </x:c>
      <x:c r="P310" t="str">
        <x:v>383188535</x:v>
      </x:c>
      <x:c r="Q310" t="str">
        <x:v>不擅生长的树</x:v>
      </x:c>
      <x:c r="R310" t="str">
        <x:v>2026-07-30</x:v>
      </x:c>
      <x:c r="S310" t="str"/>
      <x:c r="T310"/>
      <x:c r="U310"/>
      <x:c r="V310" t="str">
        <x:v>https://music.163.com/song?id=3411948902</x:v>
      </x:c>
      <x:c r="W310" t="str">
        <x:v>http://p1.music.126.net/4_WWJJSmNBicnKbRzGjMEw==/109951173444248706.jpg</x:v>
      </x:c>
      <x:c r="X310" t="str">
        <x:v>https://music.163.com/discover/toplist?id=2884035</x:v>
      </x:c>
      <x:c r="Y310" t="str">
        <x:v>https://music.163.com/api/playlist/detail?id=2884035&amp;n=100</x:v>
      </x:c>
      <x:c r="Z310" s="24" t="str">
        <x:f>IFERROR(VLOOKUP(F310,'07_字典与参数'!$A$5:$E$10,3,FALSE),"待映射")</x:f>
        <x:v>网易云音乐</x:v>
      </x:c>
      <x:c r="AA310" s="24" t="str">
        <x:f>IFERROR(VLOOKUP(F310,'07_字典与参数'!$A$5:$E$10,2,FALSE),"待映射")</x:f>
        <x:v>原创榜</x:v>
      </x:c>
      <x:c r="AB310" s="24" t="str">
        <x:f>IFERROR(VLOOKUP(F310,'07_字典与参数'!$A$5:$E$10,4,FALSE),"待映射")</x:f>
        <x:v>每周四</x:v>
      </x:c>
      <x:c r="AC310" s="24" t="str">
        <x:f>D310&amp;"|"&amp;F310&amp;"|"&amp;L310</x:f>
        <x:v>netease_cloud_music|original|3411948902</x:v>
      </x:c>
      <x:c r="AD310" s="24" t="str">
        <x:f>IF(J310&lt;=10,"是","否")</x:f>
        <x:v>是</x:v>
      </x:c>
      <x:c r="AE310" s="24" t="n">
        <x:f>IFERROR(YEAR(R310),"缺失")</x:f>
        <x:v>2026</x:v>
      </x:c>
    </x:row>
    <x:row r="311">
      <x:c r="A311" t="str">
        <x:v>20260812T132133+0800</x:v>
      </x:c>
      <x:c r="B311" t="n">
        <x:v>46246.22329861111</x:v>
      </x:c>
      <x:c r="C311" t="str">
        <x:v>2026-08-06</x:v>
      </x:c>
      <x:c r="D311" t="str">
        <x:v>netease_cloud_music</x:v>
      </x:c>
      <x:c r="E311" t="str">
        <x:v>CN</x:v>
      </x:c>
      <x:c r="F311" t="str">
        <x:v>original</x:v>
      </x:c>
      <x:c r="G311" t="str">
        <x:v>原创榜</x:v>
      </x:c>
      <x:c r="H311" t="str">
        <x:v>2884035</x:v>
      </x:c>
      <x:c r="I311" t="n">
        <x:v>100</x:v>
      </x:c>
      <x:c r="J311" t="n">
        <x:v>7</x:v>
      </x:c>
      <x:c r="K311" t="n">
        <x:v>94</x:v>
      </x:c>
      <x:c r="L311" t="str">
        <x:v>3413072224</x:v>
      </x:c>
      <x:c r="M311" t="str">
        <x:v>连烦恼也融入天空</x:v>
      </x:c>
      <x:c r="N311" t="str">
        <x:v>32540734 | 12093253 | 33350632</x:v>
      </x:c>
      <x:c r="O311" t="str">
        <x:v>塞壬唱片-MSR | F.L.O.A.T (白羽） | 张晶</x:v>
      </x:c>
      <x:c r="P311" t="str">
        <x:v>389627625</x:v>
      </x:c>
      <x:c r="Q311" t="str">
        <x:v>直到大地变成一颗酸橙OST</x:v>
      </x:c>
      <x:c r="R311" t="str">
        <x:v>2026-08-03</x:v>
      </x:c>
      <x:c r="S311" t="str"/>
      <x:c r="T311"/>
      <x:c r="U311"/>
      <x:c r="V311" t="str">
        <x:v>https://music.163.com/song?id=3413072224</x:v>
      </x:c>
      <x:c r="W311" t="str">
        <x:v>http://p1.music.126.net/CynRt45ikTcMLhKRPC3WVA==/109951173656741133.jpg</x:v>
      </x:c>
      <x:c r="X311" t="str">
        <x:v>https://music.163.com/discover/toplist?id=2884035</x:v>
      </x:c>
      <x:c r="Y311" t="str">
        <x:v>https://music.163.com/api/playlist/detail?id=2884035&amp;n=100</x:v>
      </x:c>
      <x:c r="Z311" s="24" t="str">
        <x:f>IFERROR(VLOOKUP(F311,'07_字典与参数'!$A$5:$E$10,3,FALSE),"待映射")</x:f>
        <x:v>网易云音乐</x:v>
      </x:c>
      <x:c r="AA311" s="24" t="str">
        <x:f>IFERROR(VLOOKUP(F311,'07_字典与参数'!$A$5:$E$10,2,FALSE),"待映射")</x:f>
        <x:v>原创榜</x:v>
      </x:c>
      <x:c r="AB311" s="24" t="str">
        <x:f>IFERROR(VLOOKUP(F311,'07_字典与参数'!$A$5:$E$10,4,FALSE),"待映射")</x:f>
        <x:v>每周四</x:v>
      </x:c>
      <x:c r="AC311" s="24" t="str">
        <x:f>D311&amp;"|"&amp;F311&amp;"|"&amp;L311</x:f>
        <x:v>netease_cloud_music|original|3413072224</x:v>
      </x:c>
      <x:c r="AD311" s="24" t="str">
        <x:f>IF(J311&lt;=10,"是","否")</x:f>
        <x:v>是</x:v>
      </x:c>
      <x:c r="AE311" s="24" t="n">
        <x:f>IFERROR(YEAR(R311),"缺失")</x:f>
        <x:v>2026</x:v>
      </x:c>
    </x:row>
    <x:row r="312">
      <x:c r="A312" t="str">
        <x:v>20260812T132133+0800</x:v>
      </x:c>
      <x:c r="B312" t="n">
        <x:v>46246.22329861111</x:v>
      </x:c>
      <x:c r="C312" t="str">
        <x:v>2026-08-06</x:v>
      </x:c>
      <x:c r="D312" t="str">
        <x:v>netease_cloud_music</x:v>
      </x:c>
      <x:c r="E312" t="str">
        <x:v>CN</x:v>
      </x:c>
      <x:c r="F312" t="str">
        <x:v>original</x:v>
      </x:c>
      <x:c r="G312" t="str">
        <x:v>原创榜</x:v>
      </x:c>
      <x:c r="H312" t="str">
        <x:v>2884035</x:v>
      </x:c>
      <x:c r="I312" t="n">
        <x:v>100</x:v>
      </x:c>
      <x:c r="J312" t="n">
        <x:v>8</x:v>
      </x:c>
      <x:c r="K312" t="n">
        <x:v>93</x:v>
      </x:c>
      <x:c r="L312" t="str">
        <x:v>3414488846</x:v>
      </x:c>
      <x:c r="M312" t="str">
        <x:v>电子布洛芬 (Live)</x:v>
      </x:c>
      <x:c r="N312" t="str">
        <x:v>1087200 | 12570417</x:v>
      </x:c>
      <x:c r="O312" t="str">
        <x:v>AThree | 那奇沃夫</x:v>
      </x:c>
      <x:c r="P312" t="str">
        <x:v>390102810</x:v>
      </x:c>
      <x:c r="Q312" t="str">
        <x:v>说唱巅峰对决2026 第六期</x:v>
      </x:c>
      <x:c r="R312" t="str"/>
      <x:c r="S312" t="str"/>
      <x:c r="T312"/>
      <x:c r="U312"/>
      <x:c r="V312" t="str">
        <x:v>https://music.163.com/song?id=3414488846</x:v>
      </x:c>
      <x:c r="W312" t="str">
        <x:v>http://p1.music.126.net/8vkWFMdRU12EZnhqUkVlMw==/109951173671668840.jpg</x:v>
      </x:c>
      <x:c r="X312" t="str">
        <x:v>https://music.163.com/discover/toplist?id=2884035</x:v>
      </x:c>
      <x:c r="Y312" t="str">
        <x:v>https://music.163.com/api/playlist/detail?id=2884035&amp;n=100</x:v>
      </x:c>
      <x:c r="Z312" s="24" t="str">
        <x:f>IFERROR(VLOOKUP(F312,'07_字典与参数'!$A$5:$E$10,3,FALSE),"待映射")</x:f>
        <x:v>网易云音乐</x:v>
      </x:c>
      <x:c r="AA312" s="24" t="str">
        <x:f>IFERROR(VLOOKUP(F312,'07_字典与参数'!$A$5:$E$10,2,FALSE),"待映射")</x:f>
        <x:v>原创榜</x:v>
      </x:c>
      <x:c r="AB312" s="24" t="str">
        <x:f>IFERROR(VLOOKUP(F312,'07_字典与参数'!$A$5:$E$10,4,FALSE),"待映射")</x:f>
        <x:v>每周四</x:v>
      </x:c>
      <x:c r="AC312" s="24" t="str">
        <x:f>D312&amp;"|"&amp;F312&amp;"|"&amp;L312</x:f>
        <x:v>netease_cloud_music|original|3414488846</x:v>
      </x:c>
      <x:c r="AD312" s="24" t="str">
        <x:f>IF(J312&lt;=10,"是","否")</x:f>
        <x:v>是</x:v>
      </x:c>
      <x:c r="AE312" s="24" t="str">
        <x:f>IFERROR(YEAR(R312),"缺失")</x:f>
        <x:v>缺失</x:v>
      </x:c>
    </x:row>
    <x:row r="313">
      <x:c r="A313" t="str">
        <x:v>20260812T132133+0800</x:v>
      </x:c>
      <x:c r="B313" t="n">
        <x:v>46246.22329861111</x:v>
      </x:c>
      <x:c r="C313" t="str">
        <x:v>2026-08-06</x:v>
      </x:c>
      <x:c r="D313" t="str">
        <x:v>netease_cloud_music</x:v>
      </x:c>
      <x:c r="E313" t="str">
        <x:v>CN</x:v>
      </x:c>
      <x:c r="F313" t="str">
        <x:v>original</x:v>
      </x:c>
      <x:c r="G313" t="str">
        <x:v>原创榜</x:v>
      </x:c>
      <x:c r="H313" t="str">
        <x:v>2884035</x:v>
      </x:c>
      <x:c r="I313" t="n">
        <x:v>100</x:v>
      </x:c>
      <x:c r="J313" t="n">
        <x:v>9</x:v>
      </x:c>
      <x:c r="K313" t="n">
        <x:v>92</x:v>
      </x:c>
      <x:c r="L313" t="str">
        <x:v>3411940192</x:v>
      </x:c>
      <x:c r="M313" t="str">
        <x:v>你我他</x:v>
      </x:c>
      <x:c r="N313" t="str">
        <x:v>32220939</x:v>
      </x:c>
      <x:c r="O313" t="str">
        <x:v>en（王翊恩）</x:v>
      </x:c>
      <x:c r="P313" t="str">
        <x:v>389228966</x:v>
      </x:c>
      <x:c r="Q313" t="str">
        <x:v>你我他</x:v>
      </x:c>
      <x:c r="R313" t="str">
        <x:v>2026-07-31</x:v>
      </x:c>
      <x:c r="S313" t="str"/>
      <x:c r="T313"/>
      <x:c r="U313"/>
      <x:c r="V313" t="str">
        <x:v>https://music.163.com/song?id=3411940192</x:v>
      </x:c>
      <x:c r="W313" t="str">
        <x:v>http://p1.music.126.net/--7nouU5zLC3z-WDZeTOzA==/109951173645380839.jpg</x:v>
      </x:c>
      <x:c r="X313" t="str">
        <x:v>https://music.163.com/discover/toplist?id=2884035</x:v>
      </x:c>
      <x:c r="Y313" t="str">
        <x:v>https://music.163.com/api/playlist/detail?id=2884035&amp;n=100</x:v>
      </x:c>
      <x:c r="Z313" s="24" t="str">
        <x:f>IFERROR(VLOOKUP(F313,'07_字典与参数'!$A$5:$E$10,3,FALSE),"待映射")</x:f>
        <x:v>网易云音乐</x:v>
      </x:c>
      <x:c r="AA313" s="24" t="str">
        <x:f>IFERROR(VLOOKUP(F313,'07_字典与参数'!$A$5:$E$10,2,FALSE),"待映射")</x:f>
        <x:v>原创榜</x:v>
      </x:c>
      <x:c r="AB313" s="24" t="str">
        <x:f>IFERROR(VLOOKUP(F313,'07_字典与参数'!$A$5:$E$10,4,FALSE),"待映射")</x:f>
        <x:v>每周四</x:v>
      </x:c>
      <x:c r="AC313" s="24" t="str">
        <x:f>D313&amp;"|"&amp;F313&amp;"|"&amp;L313</x:f>
        <x:v>netease_cloud_music|original|3411940192</x:v>
      </x:c>
      <x:c r="AD313" s="24" t="str">
        <x:f>IF(J313&lt;=10,"是","否")</x:f>
        <x:v>是</x:v>
      </x:c>
      <x:c r="AE313" s="24" t="n">
        <x:f>IFERROR(YEAR(R313),"缺失")</x:f>
        <x:v>2026</x:v>
      </x:c>
    </x:row>
    <x:row r="314">
      <x:c r="A314" t="str">
        <x:v>20260812T132133+0800</x:v>
      </x:c>
      <x:c r="B314" t="n">
        <x:v>46246.22329861111</x:v>
      </x:c>
      <x:c r="C314" t="str">
        <x:v>2026-08-06</x:v>
      </x:c>
      <x:c r="D314" t="str">
        <x:v>netease_cloud_music</x:v>
      </x:c>
      <x:c r="E314" t="str">
        <x:v>CN</x:v>
      </x:c>
      <x:c r="F314" t="str">
        <x:v>original</x:v>
      </x:c>
      <x:c r="G314" t="str">
        <x:v>原创榜</x:v>
      </x:c>
      <x:c r="H314" t="str">
        <x:v>2884035</x:v>
      </x:c>
      <x:c r="I314" t="n">
        <x:v>100</x:v>
      </x:c>
      <x:c r="J314" t="n">
        <x:v>10</x:v>
      </x:c>
      <x:c r="K314" t="n">
        <x:v>91</x:v>
      </x:c>
      <x:c r="L314" t="str">
        <x:v>3409557885</x:v>
      </x:c>
      <x:c r="M314" t="str">
        <x:v>You Are</x:v>
      </x:c>
      <x:c r="N314" t="str">
        <x:v>11999036</x:v>
      </x:c>
      <x:c r="O314" t="str">
        <x:v>李昊</x:v>
      </x:c>
      <x:c r="P314" t="str">
        <x:v>388303694</x:v>
      </x:c>
      <x:c r="Q314" t="str">
        <x:v>You Are</x:v>
      </x:c>
      <x:c r="R314" t="str">
        <x:v>2026-07-30</x:v>
      </x:c>
      <x:c r="S314" t="str"/>
      <x:c r="T314"/>
      <x:c r="U314"/>
      <x:c r="V314" t="str">
        <x:v>https://music.163.com/song?id=3409557885</x:v>
      </x:c>
      <x:c r="W314" t="str">
        <x:v>http://p1.music.126.net/Ytk3258MwNQ1AMKPy6dXWw==/109951173609311279.jpg</x:v>
      </x:c>
      <x:c r="X314" t="str">
        <x:v>https://music.163.com/discover/toplist?id=2884035</x:v>
      </x:c>
      <x:c r="Y314" t="str">
        <x:v>https://music.163.com/api/playlist/detail?id=2884035&amp;n=100</x:v>
      </x:c>
      <x:c r="Z314" s="24" t="str">
        <x:f>IFERROR(VLOOKUP(F314,'07_字典与参数'!$A$5:$E$10,3,FALSE),"待映射")</x:f>
        <x:v>网易云音乐</x:v>
      </x:c>
      <x:c r="AA314" s="24" t="str">
        <x:f>IFERROR(VLOOKUP(F314,'07_字典与参数'!$A$5:$E$10,2,FALSE),"待映射")</x:f>
        <x:v>原创榜</x:v>
      </x:c>
      <x:c r="AB314" s="24" t="str">
        <x:f>IFERROR(VLOOKUP(F314,'07_字典与参数'!$A$5:$E$10,4,FALSE),"待映射")</x:f>
        <x:v>每周四</x:v>
      </x:c>
      <x:c r="AC314" s="24" t="str">
        <x:f>D314&amp;"|"&amp;F314&amp;"|"&amp;L314</x:f>
        <x:v>netease_cloud_music|original|3409557885</x:v>
      </x:c>
      <x:c r="AD314" s="24" t="str">
        <x:f>IF(J314&lt;=10,"是","否")</x:f>
        <x:v>是</x:v>
      </x:c>
      <x:c r="AE314" s="24" t="n">
        <x:f>IFERROR(YEAR(R314),"缺失")</x:f>
        <x:v>2026</x:v>
      </x:c>
    </x:row>
    <x:row r="315">
      <x:c r="A315" t="str">
        <x:v>20260812T132133+0800</x:v>
      </x:c>
      <x:c r="B315" t="n">
        <x:v>46246.22329861111</x:v>
      </x:c>
      <x:c r="C315" t="str">
        <x:v>2026-08-06</x:v>
      </x:c>
      <x:c r="D315" t="str">
        <x:v>netease_cloud_music</x:v>
      </x:c>
      <x:c r="E315" t="str">
        <x:v>CN</x:v>
      </x:c>
      <x:c r="F315" t="str">
        <x:v>original</x:v>
      </x:c>
      <x:c r="G315" t="str">
        <x:v>原创榜</x:v>
      </x:c>
      <x:c r="H315" t="str">
        <x:v>2884035</x:v>
      </x:c>
      <x:c r="I315" t="n">
        <x:v>100</x:v>
      </x:c>
      <x:c r="J315" t="n">
        <x:v>11</x:v>
      </x:c>
      <x:c r="K315" t="n">
        <x:v>90</x:v>
      </x:c>
      <x:c r="L315" t="str">
        <x:v>3414488844</x:v>
      </x:c>
      <x:c r="M315" t="str">
        <x:v>敬昨天敬今天敬明天 (Live)</x:v>
      </x:c>
      <x:c r="N315" t="str">
        <x:v>12277473 | 12853605</x:v>
      </x:c>
      <x:c r="O315" t="str">
        <x:v>李大奔BENZO | SHarK</x:v>
      </x:c>
      <x:c r="P315" t="str">
        <x:v>390102810</x:v>
      </x:c>
      <x:c r="Q315" t="str">
        <x:v>说唱巅峰对决2026 第六期</x:v>
      </x:c>
      <x:c r="R315" t="str"/>
      <x:c r="S315" t="str"/>
      <x:c r="T315"/>
      <x:c r="U315"/>
      <x:c r="V315" t="str">
        <x:v>https://music.163.com/song?id=3414488844</x:v>
      </x:c>
      <x:c r="W315" t="str">
        <x:v>http://p1.music.126.net/8vkWFMdRU12EZnhqUkVlMw==/109951173671668840.jpg</x:v>
      </x:c>
      <x:c r="X315" t="str">
        <x:v>https://music.163.com/discover/toplist?id=2884035</x:v>
      </x:c>
      <x:c r="Y315" t="str">
        <x:v>https://music.163.com/api/playlist/detail?id=2884035&amp;n=100</x:v>
      </x:c>
      <x:c r="Z315" s="24" t="str">
        <x:f>IFERROR(VLOOKUP(F315,'07_字典与参数'!$A$5:$E$10,3,FALSE),"待映射")</x:f>
        <x:v>网易云音乐</x:v>
      </x:c>
      <x:c r="AA315" s="24" t="str">
        <x:f>IFERROR(VLOOKUP(F315,'07_字典与参数'!$A$5:$E$10,2,FALSE),"待映射")</x:f>
        <x:v>原创榜</x:v>
      </x:c>
      <x:c r="AB315" s="24" t="str">
        <x:f>IFERROR(VLOOKUP(F315,'07_字典与参数'!$A$5:$E$10,4,FALSE),"待映射")</x:f>
        <x:v>每周四</x:v>
      </x:c>
      <x:c r="AC315" s="24" t="str">
        <x:f>D315&amp;"|"&amp;F315&amp;"|"&amp;L315</x:f>
        <x:v>netease_cloud_music|original|3414488844</x:v>
      </x:c>
      <x:c r="AD315" s="24" t="str">
        <x:f>IF(J315&lt;=10,"是","否")</x:f>
        <x:v>否</x:v>
      </x:c>
      <x:c r="AE315" s="24" t="str">
        <x:f>IFERROR(YEAR(R315),"缺失")</x:f>
        <x:v>缺失</x:v>
      </x:c>
    </x:row>
    <x:row r="316">
      <x:c r="A316" t="str">
        <x:v>20260812T132133+0800</x:v>
      </x:c>
      <x:c r="B316" t="n">
        <x:v>46246.22329861111</x:v>
      </x:c>
      <x:c r="C316" t="str">
        <x:v>2026-08-06</x:v>
      </x:c>
      <x:c r="D316" t="str">
        <x:v>netease_cloud_music</x:v>
      </x:c>
      <x:c r="E316" t="str">
        <x:v>CN</x:v>
      </x:c>
      <x:c r="F316" t="str">
        <x:v>original</x:v>
      </x:c>
      <x:c r="G316" t="str">
        <x:v>原创榜</x:v>
      </x:c>
      <x:c r="H316" t="str">
        <x:v>2884035</x:v>
      </x:c>
      <x:c r="I316" t="n">
        <x:v>100</x:v>
      </x:c>
      <x:c r="J316" t="n">
        <x:v>12</x:v>
      </x:c>
      <x:c r="K316" t="n">
        <x:v>89</x:v>
      </x:c>
      <x:c r="L316" t="str">
        <x:v>3415868059</x:v>
      </x:c>
      <x:c r="M316" t="str">
        <x:v>是我的问题</x:v>
      </x:c>
      <x:c r="N316" t="str">
        <x:v>12494240 | 33736021</x:v>
      </x:c>
      <x:c r="O316" t="str">
        <x:v>王子明 | WYAN王毓千</x:v>
      </x:c>
      <x:c r="P316" t="str">
        <x:v>390515425</x:v>
      </x:c>
      <x:c r="Q316" t="str">
        <x:v>是我的问题</x:v>
      </x:c>
      <x:c r="R316" t="str">
        <x:v>2026-08-04</x:v>
      </x:c>
      <x:c r="S316" t="str"/>
      <x:c r="T316"/>
      <x:c r="U316"/>
      <x:c r="V316" t="str">
        <x:v>https://music.163.com/song?id=3415868059</x:v>
      </x:c>
      <x:c r="W316" t="str">
        <x:v>http://p1.music.126.net/RIjFB81eyaUrW2ut5qQySQ==/109951173687171349.jpg</x:v>
      </x:c>
      <x:c r="X316" t="str">
        <x:v>https://music.163.com/discover/toplist?id=2884035</x:v>
      </x:c>
      <x:c r="Y316" t="str">
        <x:v>https://music.163.com/api/playlist/detail?id=2884035&amp;n=100</x:v>
      </x:c>
      <x:c r="Z316" s="24" t="str">
        <x:f>IFERROR(VLOOKUP(F316,'07_字典与参数'!$A$5:$E$10,3,FALSE),"待映射")</x:f>
        <x:v>网易云音乐</x:v>
      </x:c>
      <x:c r="AA316" s="24" t="str">
        <x:f>IFERROR(VLOOKUP(F316,'07_字典与参数'!$A$5:$E$10,2,FALSE),"待映射")</x:f>
        <x:v>原创榜</x:v>
      </x:c>
      <x:c r="AB316" s="24" t="str">
        <x:f>IFERROR(VLOOKUP(F316,'07_字典与参数'!$A$5:$E$10,4,FALSE),"待映射")</x:f>
        <x:v>每周四</x:v>
      </x:c>
      <x:c r="AC316" s="24" t="str">
        <x:f>D316&amp;"|"&amp;F316&amp;"|"&amp;L316</x:f>
        <x:v>netease_cloud_music|original|3415868059</x:v>
      </x:c>
      <x:c r="AD316" s="24" t="str">
        <x:f>IF(J316&lt;=10,"是","否")</x:f>
        <x:v>否</x:v>
      </x:c>
      <x:c r="AE316" s="24" t="n">
        <x:f>IFERROR(YEAR(R316),"缺失")</x:f>
        <x:v>2026</x:v>
      </x:c>
    </x:row>
    <x:row r="317">
      <x:c r="A317" t="str">
        <x:v>20260812T132133+0800</x:v>
      </x:c>
      <x:c r="B317" t="n">
        <x:v>46246.22329861111</x:v>
      </x:c>
      <x:c r="C317" t="str">
        <x:v>2026-08-06</x:v>
      </x:c>
      <x:c r="D317" t="str">
        <x:v>netease_cloud_music</x:v>
      </x:c>
      <x:c r="E317" t="str">
        <x:v>CN</x:v>
      </x:c>
      <x:c r="F317" t="str">
        <x:v>original</x:v>
      </x:c>
      <x:c r="G317" t="str">
        <x:v>原创榜</x:v>
      </x:c>
      <x:c r="H317" t="str">
        <x:v>2884035</x:v>
      </x:c>
      <x:c r="I317" t="n">
        <x:v>100</x:v>
      </x:c>
      <x:c r="J317" t="n">
        <x:v>13</x:v>
      </x:c>
      <x:c r="K317" t="n">
        <x:v>88</x:v>
      </x:c>
      <x:c r="L317" t="str">
        <x:v>3411634453</x:v>
      </x:c>
      <x:c r="M317" t="str">
        <x:v>置顶 Pinned</x:v>
      </x:c>
      <x:c r="N317" t="str">
        <x:v>48345452</x:v>
      </x:c>
      <x:c r="O317" t="str">
        <x:v>邹沛沛</x:v>
      </x:c>
      <x:c r="P317" t="str">
        <x:v>389095472</x:v>
      </x:c>
      <x:c r="Q317" t="str">
        <x:v>置顶 Pinned</x:v>
      </x:c>
      <x:c r="R317" t="str">
        <x:v>2026-08-04</x:v>
      </x:c>
      <x:c r="S317" t="str"/>
      <x:c r="T317"/>
      <x:c r="U317"/>
      <x:c r="V317" t="str">
        <x:v>https://music.163.com/song?id=3411634453</x:v>
      </x:c>
      <x:c r="W317" t="str">
        <x:v>http://p1.music.126.net/OIAzGK0ciV1qN4urZzdvoA==/109951173657186002.jpg</x:v>
      </x:c>
      <x:c r="X317" t="str">
        <x:v>https://music.163.com/discover/toplist?id=2884035</x:v>
      </x:c>
      <x:c r="Y317" t="str">
        <x:v>https://music.163.com/api/playlist/detail?id=2884035&amp;n=100</x:v>
      </x:c>
      <x:c r="Z317" s="24" t="str">
        <x:f>IFERROR(VLOOKUP(F317,'07_字典与参数'!$A$5:$E$10,3,FALSE),"待映射")</x:f>
        <x:v>网易云音乐</x:v>
      </x:c>
      <x:c r="AA317" s="24" t="str">
        <x:f>IFERROR(VLOOKUP(F317,'07_字典与参数'!$A$5:$E$10,2,FALSE),"待映射")</x:f>
        <x:v>原创榜</x:v>
      </x:c>
      <x:c r="AB317" s="24" t="str">
        <x:f>IFERROR(VLOOKUP(F317,'07_字典与参数'!$A$5:$E$10,4,FALSE),"待映射")</x:f>
        <x:v>每周四</x:v>
      </x:c>
      <x:c r="AC317" s="24" t="str">
        <x:f>D317&amp;"|"&amp;F317&amp;"|"&amp;L317</x:f>
        <x:v>netease_cloud_music|original|3411634453</x:v>
      </x:c>
      <x:c r="AD317" s="24" t="str">
        <x:f>IF(J317&lt;=10,"是","否")</x:f>
        <x:v>否</x:v>
      </x:c>
      <x:c r="AE317" s="24" t="n">
        <x:f>IFERROR(YEAR(R317),"缺失")</x:f>
        <x:v>2026</x:v>
      </x:c>
    </x:row>
    <x:row r="318">
      <x:c r="A318" t="str">
        <x:v>20260812T132133+0800</x:v>
      </x:c>
      <x:c r="B318" t="n">
        <x:v>46246.22329861111</x:v>
      </x:c>
      <x:c r="C318" t="str">
        <x:v>2026-08-06</x:v>
      </x:c>
      <x:c r="D318" t="str">
        <x:v>netease_cloud_music</x:v>
      </x:c>
      <x:c r="E318" t="str">
        <x:v>CN</x:v>
      </x:c>
      <x:c r="F318" t="str">
        <x:v>original</x:v>
      </x:c>
      <x:c r="G318" t="str">
        <x:v>原创榜</x:v>
      </x:c>
      <x:c r="H318" t="str">
        <x:v>2884035</x:v>
      </x:c>
      <x:c r="I318" t="n">
        <x:v>100</x:v>
      </x:c>
      <x:c r="J318" t="n">
        <x:v>14</x:v>
      </x:c>
      <x:c r="K318" t="n">
        <x:v>87</x:v>
      </x:c>
      <x:c r="L318" t="str">
        <x:v>3413279068</x:v>
      </x:c>
      <x:c r="M318" t="str">
        <x:v>是我做了白日梦</x:v>
      </x:c>
      <x:c r="N318" t="str">
        <x:v>95672554 | 60977837</x:v>
      </x:c>
      <x:c r="O318" t="str">
        <x:v>姜添 | 听潮阁</x:v>
      </x:c>
      <x:c r="P318" t="str">
        <x:v>389697320</x:v>
      </x:c>
      <x:c r="Q318" t="str">
        <x:v>是我做了白日梦</x:v>
      </x:c>
      <x:c r="R318" t="str">
        <x:v>2026-08-02</x:v>
      </x:c>
      <x:c r="S318" t="str"/>
      <x:c r="T318"/>
      <x:c r="U318"/>
      <x:c r="V318" t="str">
        <x:v>https://music.163.com/song?id=3413279068</x:v>
      </x:c>
      <x:c r="W318" t="str">
        <x:v>http://p1.music.126.net/SquUT-uAeKsUErY9ehJhKw==/109951173658845855.jpg</x:v>
      </x:c>
      <x:c r="X318" t="str">
        <x:v>https://music.163.com/discover/toplist?id=2884035</x:v>
      </x:c>
      <x:c r="Y318" t="str">
        <x:v>https://music.163.com/api/playlist/detail?id=2884035&amp;n=100</x:v>
      </x:c>
      <x:c r="Z318" s="24" t="str">
        <x:f>IFERROR(VLOOKUP(F318,'07_字典与参数'!$A$5:$E$10,3,FALSE),"待映射")</x:f>
        <x:v>网易云音乐</x:v>
      </x:c>
      <x:c r="AA318" s="24" t="str">
        <x:f>IFERROR(VLOOKUP(F318,'07_字典与参数'!$A$5:$E$10,2,FALSE),"待映射")</x:f>
        <x:v>原创榜</x:v>
      </x:c>
      <x:c r="AB318" s="24" t="str">
        <x:f>IFERROR(VLOOKUP(F318,'07_字典与参数'!$A$5:$E$10,4,FALSE),"待映射")</x:f>
        <x:v>每周四</x:v>
      </x:c>
      <x:c r="AC318" s="24" t="str">
        <x:f>D318&amp;"|"&amp;F318&amp;"|"&amp;L318</x:f>
        <x:v>netease_cloud_music|original|3413279068</x:v>
      </x:c>
      <x:c r="AD318" s="24" t="str">
        <x:f>IF(J318&lt;=10,"是","否")</x:f>
        <x:v>否</x:v>
      </x:c>
      <x:c r="AE318" s="24" t="n">
        <x:f>IFERROR(YEAR(R318),"缺失")</x:f>
        <x:v>2026</x:v>
      </x:c>
    </x:row>
    <x:row r="319">
      <x:c r="A319" t="str">
        <x:v>20260812T132133+0800</x:v>
      </x:c>
      <x:c r="B319" t="n">
        <x:v>46246.22329861111</x:v>
      </x:c>
      <x:c r="C319" t="str">
        <x:v>2026-08-06</x:v>
      </x:c>
      <x:c r="D319" t="str">
        <x:v>netease_cloud_music</x:v>
      </x:c>
      <x:c r="E319" t="str">
        <x:v>CN</x:v>
      </x:c>
      <x:c r="F319" t="str">
        <x:v>original</x:v>
      </x:c>
      <x:c r="G319" t="str">
        <x:v>原创榜</x:v>
      </x:c>
      <x:c r="H319" t="str">
        <x:v>2884035</x:v>
      </x:c>
      <x:c r="I319" t="n">
        <x:v>100</x:v>
      </x:c>
      <x:c r="J319" t="n">
        <x:v>15</x:v>
      </x:c>
      <x:c r="K319" t="n">
        <x:v>86</x:v>
      </x:c>
      <x:c r="L319" t="str">
        <x:v>3406603947</x:v>
      </x:c>
      <x:c r="M319" t="str">
        <x:v>鬼火3战无不胜</x:v>
      </x:c>
      <x:c r="N319" t="str">
        <x:v>32501012 | 32992079 | 34364251</x:v>
      </x:c>
      <x:c r="O319" t="str">
        <x:v>Billionhappy | Yaka | jackzebra</x:v>
      </x:c>
      <x:c r="P319" t="str">
        <x:v>387031771</x:v>
      </x:c>
      <x:c r="Q319" t="str">
        <x:v>鬼火3战无不胜</x:v>
      </x:c>
      <x:c r="R319" t="str">
        <x:v>2026-07-31</x:v>
      </x:c>
      <x:c r="S319" t="str"/>
      <x:c r="T319"/>
      <x:c r="U319"/>
      <x:c r="V319" t="str">
        <x:v>https://music.163.com/song?id=3406603947</x:v>
      </x:c>
      <x:c r="W319" t="str">
        <x:v>http://p1.music.126.net/MbMqH7vIxE21XEKI3T4Rnw==/109951173646181748.jpg</x:v>
      </x:c>
      <x:c r="X319" t="str">
        <x:v>https://music.163.com/discover/toplist?id=2884035</x:v>
      </x:c>
      <x:c r="Y319" t="str">
        <x:v>https://music.163.com/api/playlist/detail?id=2884035&amp;n=100</x:v>
      </x:c>
      <x:c r="Z319" s="24" t="str">
        <x:f>IFERROR(VLOOKUP(F319,'07_字典与参数'!$A$5:$E$10,3,FALSE),"待映射")</x:f>
        <x:v>网易云音乐</x:v>
      </x:c>
      <x:c r="AA319" s="24" t="str">
        <x:f>IFERROR(VLOOKUP(F319,'07_字典与参数'!$A$5:$E$10,2,FALSE),"待映射")</x:f>
        <x:v>原创榜</x:v>
      </x:c>
      <x:c r="AB319" s="24" t="str">
        <x:f>IFERROR(VLOOKUP(F319,'07_字典与参数'!$A$5:$E$10,4,FALSE),"待映射")</x:f>
        <x:v>每周四</x:v>
      </x:c>
      <x:c r="AC319" s="24" t="str">
        <x:f>D319&amp;"|"&amp;F319&amp;"|"&amp;L319</x:f>
        <x:v>netease_cloud_music|original|3406603947</x:v>
      </x:c>
      <x:c r="AD319" s="24" t="str">
        <x:f>IF(J319&lt;=10,"是","否")</x:f>
        <x:v>否</x:v>
      </x:c>
      <x:c r="AE319" s="24" t="n">
        <x:f>IFERROR(YEAR(R319),"缺失")</x:f>
        <x:v>2026</x:v>
      </x:c>
    </x:row>
    <x:row r="320">
      <x:c r="A320" t="str">
        <x:v>20260812T132133+0800</x:v>
      </x:c>
      <x:c r="B320" t="n">
        <x:v>46246.22329861111</x:v>
      </x:c>
      <x:c r="C320" t="str">
        <x:v>2026-08-06</x:v>
      </x:c>
      <x:c r="D320" t="str">
        <x:v>netease_cloud_music</x:v>
      </x:c>
      <x:c r="E320" t="str">
        <x:v>CN</x:v>
      </x:c>
      <x:c r="F320" t="str">
        <x:v>original</x:v>
      </x:c>
      <x:c r="G320" t="str">
        <x:v>原创榜</x:v>
      </x:c>
      <x:c r="H320" t="str">
        <x:v>2884035</x:v>
      </x:c>
      <x:c r="I320" t="n">
        <x:v>100</x:v>
      </x:c>
      <x:c r="J320" t="n">
        <x:v>16</x:v>
      </x:c>
      <x:c r="K320" t="n">
        <x:v>85</x:v>
      </x:c>
      <x:c r="L320" t="str">
        <x:v>3410245671</x:v>
      </x:c>
      <x:c r="M320" t="str">
        <x:v>神选</x:v>
      </x:c>
      <x:c r="N320" t="str">
        <x:v>14117457</x:v>
      </x:c>
      <x:c r="O320" t="str">
        <x:v>SASIOVERLXRD</x:v>
      </x:c>
      <x:c r="P320" t="str">
        <x:v>388196110</x:v>
      </x:c>
      <x:c r="Q320" t="str">
        <x:v>赫鬼</x:v>
      </x:c>
      <x:c r="R320" t="str">
        <x:v>2026-07-27</x:v>
      </x:c>
      <x:c r="S320" t="str"/>
      <x:c r="T320"/>
      <x:c r="U320"/>
      <x:c r="V320" t="str">
        <x:v>https://music.163.com/song?id=3410245671</x:v>
      </x:c>
      <x:c r="W320" t="str">
        <x:v>http://p1.music.126.net/MEx8J6j2mntRha2stE7xlA==/109951173603999384.jpg</x:v>
      </x:c>
      <x:c r="X320" t="str">
        <x:v>https://music.163.com/discover/toplist?id=2884035</x:v>
      </x:c>
      <x:c r="Y320" t="str">
        <x:v>https://music.163.com/api/playlist/detail?id=2884035&amp;n=100</x:v>
      </x:c>
      <x:c r="Z320" s="24" t="str">
        <x:f>IFERROR(VLOOKUP(F320,'07_字典与参数'!$A$5:$E$10,3,FALSE),"待映射")</x:f>
        <x:v>网易云音乐</x:v>
      </x:c>
      <x:c r="AA320" s="24" t="str">
        <x:f>IFERROR(VLOOKUP(F320,'07_字典与参数'!$A$5:$E$10,2,FALSE),"待映射")</x:f>
        <x:v>原创榜</x:v>
      </x:c>
      <x:c r="AB320" s="24" t="str">
        <x:f>IFERROR(VLOOKUP(F320,'07_字典与参数'!$A$5:$E$10,4,FALSE),"待映射")</x:f>
        <x:v>每周四</x:v>
      </x:c>
      <x:c r="AC320" s="24" t="str">
        <x:f>D320&amp;"|"&amp;F320&amp;"|"&amp;L320</x:f>
        <x:v>netease_cloud_music|original|3410245671</x:v>
      </x:c>
      <x:c r="AD320" s="24" t="str">
        <x:f>IF(J320&lt;=10,"是","否")</x:f>
        <x:v>否</x:v>
      </x:c>
      <x:c r="AE320" s="24" t="n">
        <x:f>IFERROR(YEAR(R320),"缺失")</x:f>
        <x:v>2026</x:v>
      </x:c>
    </x:row>
    <x:row r="321">
      <x:c r="A321" t="str">
        <x:v>20260812T132133+0800</x:v>
      </x:c>
      <x:c r="B321" t="n">
        <x:v>46246.22329861111</x:v>
      </x:c>
      <x:c r="C321" t="str">
        <x:v>2026-08-06</x:v>
      </x:c>
      <x:c r="D321" t="str">
        <x:v>netease_cloud_music</x:v>
      </x:c>
      <x:c r="E321" t="str">
        <x:v>CN</x:v>
      </x:c>
      <x:c r="F321" t="str">
        <x:v>original</x:v>
      </x:c>
      <x:c r="G321" t="str">
        <x:v>原创榜</x:v>
      </x:c>
      <x:c r="H321" t="str">
        <x:v>2884035</x:v>
      </x:c>
      <x:c r="I321" t="n">
        <x:v>100</x:v>
      </x:c>
      <x:c r="J321" t="n">
        <x:v>17</x:v>
      </x:c>
      <x:c r="K321" t="n">
        <x:v>84</x:v>
      </x:c>
      <x:c r="L321" t="str">
        <x:v>3412551512</x:v>
      </x:c>
      <x:c r="M321" t="str">
        <x:v>待春归</x:v>
      </x:c>
      <x:c r="N321" t="str">
        <x:v>61908633 | 12293819</x:v>
      </x:c>
      <x:c r="O321" t="str">
        <x:v>鸣潮先约电台 | 钱润玉</x:v>
      </x:c>
      <x:c r="P321" t="str">
        <x:v>389447514</x:v>
      </x:c>
      <x:c r="Q321" t="str">
        <x:v>待春归</x:v>
      </x:c>
      <x:c r="R321" t="str">
        <x:v>2026-07-29</x:v>
      </x:c>
      <x:c r="S321" t="str"/>
      <x:c r="T321"/>
      <x:c r="U321"/>
      <x:c r="V321" t="str">
        <x:v>https://music.163.com/song?id=3412551512</x:v>
      </x:c>
      <x:c r="W321" t="str">
        <x:v>http://p1.music.126.net/tvm15URKxxqoNZ5p5lnLgQ==/109951173651614407.jpg</x:v>
      </x:c>
      <x:c r="X321" t="str">
        <x:v>https://music.163.com/discover/toplist?id=2884035</x:v>
      </x:c>
      <x:c r="Y321" t="str">
        <x:v>https://music.163.com/api/playlist/detail?id=2884035&amp;n=100</x:v>
      </x:c>
      <x:c r="Z321" s="24" t="str">
        <x:f>IFERROR(VLOOKUP(F321,'07_字典与参数'!$A$5:$E$10,3,FALSE),"待映射")</x:f>
        <x:v>网易云音乐</x:v>
      </x:c>
      <x:c r="AA321" s="24" t="str">
        <x:f>IFERROR(VLOOKUP(F321,'07_字典与参数'!$A$5:$E$10,2,FALSE),"待映射")</x:f>
        <x:v>原创榜</x:v>
      </x:c>
      <x:c r="AB321" s="24" t="str">
        <x:f>IFERROR(VLOOKUP(F321,'07_字典与参数'!$A$5:$E$10,4,FALSE),"待映射")</x:f>
        <x:v>每周四</x:v>
      </x:c>
      <x:c r="AC321" s="24" t="str">
        <x:f>D321&amp;"|"&amp;F321&amp;"|"&amp;L321</x:f>
        <x:v>netease_cloud_music|original|3412551512</x:v>
      </x:c>
      <x:c r="AD321" s="24" t="str">
        <x:f>IF(J321&lt;=10,"是","否")</x:f>
        <x:v>否</x:v>
      </x:c>
      <x:c r="AE321" s="24" t="n">
        <x:f>IFERROR(YEAR(R321),"缺失")</x:f>
        <x:v>2026</x:v>
      </x:c>
    </x:row>
    <x:row r="322">
      <x:c r="A322" t="str">
        <x:v>20260812T132133+0800</x:v>
      </x:c>
      <x:c r="B322" t="n">
        <x:v>46246.22329861111</x:v>
      </x:c>
      <x:c r="C322" t="str">
        <x:v>2026-08-06</x:v>
      </x:c>
      <x:c r="D322" t="str">
        <x:v>netease_cloud_music</x:v>
      </x:c>
      <x:c r="E322" t="str">
        <x:v>CN</x:v>
      </x:c>
      <x:c r="F322" t="str">
        <x:v>original</x:v>
      </x:c>
      <x:c r="G322" t="str">
        <x:v>原创榜</x:v>
      </x:c>
      <x:c r="H322" t="str">
        <x:v>2884035</x:v>
      </x:c>
      <x:c r="I322" t="n">
        <x:v>100</x:v>
      </x:c>
      <x:c r="J322" t="n">
        <x:v>18</x:v>
      </x:c>
      <x:c r="K322" t="n">
        <x:v>83</x:v>
      </x:c>
      <x:c r="L322" t="str">
        <x:v>3410220430</x:v>
      </x:c>
      <x:c r="M322" t="str">
        <x:v>天生牙</x:v>
      </x:c>
      <x:c r="N322" t="str">
        <x:v>14117457</x:v>
      </x:c>
      <x:c r="O322" t="str">
        <x:v>SASIOVERLXRD</x:v>
      </x:c>
      <x:c r="P322" t="str">
        <x:v>388196110</x:v>
      </x:c>
      <x:c r="Q322" t="str">
        <x:v>赫鬼</x:v>
      </x:c>
      <x:c r="R322" t="str"/>
      <x:c r="S322" t="str"/>
      <x:c r="T322"/>
      <x:c r="U322"/>
      <x:c r="V322" t="str">
        <x:v>https://music.163.com/song?id=3410220430</x:v>
      </x:c>
      <x:c r="W322" t="str">
        <x:v>http://p1.music.126.net/MEx8J6j2mntRha2stE7xlA==/109951173603999384.jpg</x:v>
      </x:c>
      <x:c r="X322" t="str">
        <x:v>https://music.163.com/discover/toplist?id=2884035</x:v>
      </x:c>
      <x:c r="Y322" t="str">
        <x:v>https://music.163.com/api/playlist/detail?id=2884035&amp;n=100</x:v>
      </x:c>
      <x:c r="Z322" s="24" t="str">
        <x:f>IFERROR(VLOOKUP(F322,'07_字典与参数'!$A$5:$E$10,3,FALSE),"待映射")</x:f>
        <x:v>网易云音乐</x:v>
      </x:c>
      <x:c r="AA322" s="24" t="str">
        <x:f>IFERROR(VLOOKUP(F322,'07_字典与参数'!$A$5:$E$10,2,FALSE),"待映射")</x:f>
        <x:v>原创榜</x:v>
      </x:c>
      <x:c r="AB322" s="24" t="str">
        <x:f>IFERROR(VLOOKUP(F322,'07_字典与参数'!$A$5:$E$10,4,FALSE),"待映射")</x:f>
        <x:v>每周四</x:v>
      </x:c>
      <x:c r="AC322" s="24" t="str">
        <x:f>D322&amp;"|"&amp;F322&amp;"|"&amp;L322</x:f>
        <x:v>netease_cloud_music|original|3410220430</x:v>
      </x:c>
      <x:c r="AD322" s="24" t="str">
        <x:f>IF(J322&lt;=10,"是","否")</x:f>
        <x:v>否</x:v>
      </x:c>
      <x:c r="AE322" s="24" t="str">
        <x:f>IFERROR(YEAR(R322),"缺失")</x:f>
        <x:v>缺失</x:v>
      </x:c>
    </x:row>
    <x:row r="323">
      <x:c r="A323" t="str">
        <x:v>20260812T132133+0800</x:v>
      </x:c>
      <x:c r="B323" t="n">
        <x:v>46246.22329861111</x:v>
      </x:c>
      <x:c r="C323" t="str">
        <x:v>2026-08-06</x:v>
      </x:c>
      <x:c r="D323" t="str">
        <x:v>netease_cloud_music</x:v>
      </x:c>
      <x:c r="E323" t="str">
        <x:v>CN</x:v>
      </x:c>
      <x:c r="F323" t="str">
        <x:v>original</x:v>
      </x:c>
      <x:c r="G323" t="str">
        <x:v>原创榜</x:v>
      </x:c>
      <x:c r="H323" t="str">
        <x:v>2884035</x:v>
      </x:c>
      <x:c r="I323" t="n">
        <x:v>100</x:v>
      </x:c>
      <x:c r="J323" t="n">
        <x:v>19</x:v>
      </x:c>
      <x:c r="K323" t="n">
        <x:v>82</x:v>
      </x:c>
      <x:c r="L323" t="str">
        <x:v>3413765738</x:v>
      </x:c>
      <x:c r="M323" t="str">
        <x:v>没有什么不可以 (Brave)</x:v>
      </x:c>
      <x:c r="N323" t="str">
        <x:v>54678821</x:v>
      </x:c>
      <x:c r="O323" t="str">
        <x:v>银河快递</x:v>
      </x:c>
      <x:c r="P323" t="str">
        <x:v>389859612</x:v>
      </x:c>
      <x:c r="Q323" t="str">
        <x:v>没有什么不可以 (Brave)</x:v>
      </x:c>
      <x:c r="R323" t="str">
        <x:v>2026-08-03</x:v>
      </x:c>
      <x:c r="S323" t="str"/>
      <x:c r="T323"/>
      <x:c r="U323"/>
      <x:c r="V323" t="str">
        <x:v>https://music.163.com/song?id=3413765738</x:v>
      </x:c>
      <x:c r="W323" t="str">
        <x:v>http://p1.music.126.net/zwXmmWLqtmsDO24mGBmcsQ==/109951173663709568.jpg</x:v>
      </x:c>
      <x:c r="X323" t="str">
        <x:v>https://music.163.com/discover/toplist?id=2884035</x:v>
      </x:c>
      <x:c r="Y323" t="str">
        <x:v>https://music.163.com/api/playlist/detail?id=2884035&amp;n=100</x:v>
      </x:c>
      <x:c r="Z323" s="24" t="str">
        <x:f>IFERROR(VLOOKUP(F323,'07_字典与参数'!$A$5:$E$10,3,FALSE),"待映射")</x:f>
        <x:v>网易云音乐</x:v>
      </x:c>
      <x:c r="AA323" s="24" t="str">
        <x:f>IFERROR(VLOOKUP(F323,'07_字典与参数'!$A$5:$E$10,2,FALSE),"待映射")</x:f>
        <x:v>原创榜</x:v>
      </x:c>
      <x:c r="AB323" s="24" t="str">
        <x:f>IFERROR(VLOOKUP(F323,'07_字典与参数'!$A$5:$E$10,4,FALSE),"待映射")</x:f>
        <x:v>每周四</x:v>
      </x:c>
      <x:c r="AC323" s="24" t="str">
        <x:f>D323&amp;"|"&amp;F323&amp;"|"&amp;L323</x:f>
        <x:v>netease_cloud_music|original|3413765738</x:v>
      </x:c>
      <x:c r="AD323" s="24" t="str">
        <x:f>IF(J323&lt;=10,"是","否")</x:f>
        <x:v>否</x:v>
      </x:c>
      <x:c r="AE323" s="24" t="n">
        <x:f>IFERROR(YEAR(R323),"缺失")</x:f>
        <x:v>2026</x:v>
      </x:c>
    </x:row>
    <x:row r="324">
      <x:c r="A324" t="str">
        <x:v>20260812T132133+0800</x:v>
      </x:c>
      <x:c r="B324" t="n">
        <x:v>46246.22329861111</x:v>
      </x:c>
      <x:c r="C324" t="str">
        <x:v>2026-08-06</x:v>
      </x:c>
      <x:c r="D324" t="str">
        <x:v>netease_cloud_music</x:v>
      </x:c>
      <x:c r="E324" t="str">
        <x:v>CN</x:v>
      </x:c>
      <x:c r="F324" t="str">
        <x:v>original</x:v>
      </x:c>
      <x:c r="G324" t="str">
        <x:v>原创榜</x:v>
      </x:c>
      <x:c r="H324" t="str">
        <x:v>2884035</x:v>
      </x:c>
      <x:c r="I324" t="n">
        <x:v>100</x:v>
      </x:c>
      <x:c r="J324" t="n">
        <x:v>20</x:v>
      </x:c>
      <x:c r="K324" t="n">
        <x:v>81</x:v>
      </x:c>
      <x:c r="L324" t="str">
        <x:v>3409654055</x:v>
      </x:c>
      <x:c r="M324" t="str">
        <x:v>宁作我</x:v>
      </x:c>
      <x:c r="N324" t="str">
        <x:v>3249</x:v>
      </x:c>
      <x:c r="O324" t="str">
        <x:v>河图</x:v>
      </x:c>
      <x:c r="P324" t="str">
        <x:v>388347196</x:v>
      </x:c>
      <x:c r="Q324" t="str">
        <x:v>宁作我</x:v>
      </x:c>
      <x:c r="R324" t="str">
        <x:v>2026-07-31</x:v>
      </x:c>
      <x:c r="S324" t="str"/>
      <x:c r="T324"/>
      <x:c r="U324"/>
      <x:c r="V324" t="str">
        <x:v>https://music.163.com/song?id=3409654055</x:v>
      </x:c>
      <x:c r="W324" t="str">
        <x:v>http://p1.music.126.net/4U1tKGTu0mOp7W4kq3_t_g==/109951173611630147.jpg</x:v>
      </x:c>
      <x:c r="X324" t="str">
        <x:v>https://music.163.com/discover/toplist?id=2884035</x:v>
      </x:c>
      <x:c r="Y324" t="str">
        <x:v>https://music.163.com/api/playlist/detail?id=2884035&amp;n=100</x:v>
      </x:c>
      <x:c r="Z324" s="24" t="str">
        <x:f>IFERROR(VLOOKUP(F324,'07_字典与参数'!$A$5:$E$10,3,FALSE),"待映射")</x:f>
        <x:v>网易云音乐</x:v>
      </x:c>
      <x:c r="AA324" s="24" t="str">
        <x:f>IFERROR(VLOOKUP(F324,'07_字典与参数'!$A$5:$E$10,2,FALSE),"待映射")</x:f>
        <x:v>原创榜</x:v>
      </x:c>
      <x:c r="AB324" s="24" t="str">
        <x:f>IFERROR(VLOOKUP(F324,'07_字典与参数'!$A$5:$E$10,4,FALSE),"待映射")</x:f>
        <x:v>每周四</x:v>
      </x:c>
      <x:c r="AC324" s="24" t="str">
        <x:f>D324&amp;"|"&amp;F324&amp;"|"&amp;L324</x:f>
        <x:v>netease_cloud_music|original|3409654055</x:v>
      </x:c>
      <x:c r="AD324" s="24" t="str">
        <x:f>IF(J324&lt;=10,"是","否")</x:f>
        <x:v>否</x:v>
      </x:c>
      <x:c r="AE324" s="24" t="n">
        <x:f>IFERROR(YEAR(R324),"缺失")</x:f>
        <x:v>2026</x:v>
      </x:c>
    </x:row>
    <x:row r="325">
      <x:c r="A325" t="str">
        <x:v>20260812T132133+0800</x:v>
      </x:c>
      <x:c r="B325" t="n">
        <x:v>46246.22329861111</x:v>
      </x:c>
      <x:c r="C325" t="str">
        <x:v>2026-08-06</x:v>
      </x:c>
      <x:c r="D325" t="str">
        <x:v>netease_cloud_music</x:v>
      </x:c>
      <x:c r="E325" t="str">
        <x:v>CN</x:v>
      </x:c>
      <x:c r="F325" t="str">
        <x:v>original</x:v>
      </x:c>
      <x:c r="G325" t="str">
        <x:v>原创榜</x:v>
      </x:c>
      <x:c r="H325" t="str">
        <x:v>2884035</x:v>
      </x:c>
      <x:c r="I325" t="n">
        <x:v>100</x:v>
      </x:c>
      <x:c r="J325" t="n">
        <x:v>21</x:v>
      </x:c>
      <x:c r="K325" t="n">
        <x:v>80</x:v>
      </x:c>
      <x:c r="L325" t="str">
        <x:v>3412604614</x:v>
      </x:c>
      <x:c r="M325" t="str">
        <x:v>九号</x:v>
      </x:c>
      <x:c r="N325" t="str">
        <x:v>37125681</x:v>
      </x:c>
      <x:c r="O325" t="str">
        <x:v>Young Cash Jason</x:v>
      </x:c>
      <x:c r="P325" t="str">
        <x:v>389463819</x:v>
      </x:c>
      <x:c r="Q325" t="str">
        <x:v>Ain’t Enough</x:v>
      </x:c>
      <x:c r="R325" t="str">
        <x:v>2026-07-31</x:v>
      </x:c>
      <x:c r="S325" t="str"/>
      <x:c r="T325"/>
      <x:c r="U325"/>
      <x:c r="V325" t="str">
        <x:v>https://music.163.com/song?id=3412604614</x:v>
      </x:c>
      <x:c r="W325" t="str">
        <x:v>http://p1.music.126.net/hgkEcEydIA6SjM6fiTDM6g==/109951173652197760.jpg</x:v>
      </x:c>
      <x:c r="X325" t="str">
        <x:v>https://music.163.com/discover/toplist?id=2884035</x:v>
      </x:c>
      <x:c r="Y325" t="str">
        <x:v>https://music.163.com/api/playlist/detail?id=2884035&amp;n=100</x:v>
      </x:c>
      <x:c r="Z325" s="24" t="str">
        <x:f>IFERROR(VLOOKUP(F325,'07_字典与参数'!$A$5:$E$10,3,FALSE),"待映射")</x:f>
        <x:v>网易云音乐</x:v>
      </x:c>
      <x:c r="AA325" s="24" t="str">
        <x:f>IFERROR(VLOOKUP(F325,'07_字典与参数'!$A$5:$E$10,2,FALSE),"待映射")</x:f>
        <x:v>原创榜</x:v>
      </x:c>
      <x:c r="AB325" s="24" t="str">
        <x:f>IFERROR(VLOOKUP(F325,'07_字典与参数'!$A$5:$E$10,4,FALSE),"待映射")</x:f>
        <x:v>每周四</x:v>
      </x:c>
      <x:c r="AC325" s="24" t="str">
        <x:f>D325&amp;"|"&amp;F325&amp;"|"&amp;L325</x:f>
        <x:v>netease_cloud_music|original|3412604614</x:v>
      </x:c>
      <x:c r="AD325" s="24" t="str">
        <x:f>IF(J325&lt;=10,"是","否")</x:f>
        <x:v>否</x:v>
      </x:c>
      <x:c r="AE325" s="24" t="n">
        <x:f>IFERROR(YEAR(R325),"缺失")</x:f>
        <x:v>2026</x:v>
      </x:c>
    </x:row>
    <x:row r="326">
      <x:c r="A326" t="str">
        <x:v>20260812T132133+0800</x:v>
      </x:c>
      <x:c r="B326" t="n">
        <x:v>46246.22329861111</x:v>
      </x:c>
      <x:c r="C326" t="str">
        <x:v>2026-08-06</x:v>
      </x:c>
      <x:c r="D326" t="str">
        <x:v>netease_cloud_music</x:v>
      </x:c>
      <x:c r="E326" t="str">
        <x:v>CN</x:v>
      </x:c>
      <x:c r="F326" t="str">
        <x:v>original</x:v>
      </x:c>
      <x:c r="G326" t="str">
        <x:v>原创榜</x:v>
      </x:c>
      <x:c r="H326" t="str">
        <x:v>2884035</x:v>
      </x:c>
      <x:c r="I326" t="n">
        <x:v>100</x:v>
      </x:c>
      <x:c r="J326" t="n">
        <x:v>22</x:v>
      </x:c>
      <x:c r="K326" t="n">
        <x:v>79</x:v>
      </x:c>
      <x:c r="L326" t="str">
        <x:v>3415842235</x:v>
      </x:c>
      <x:c r="M326" t="str">
        <x:v>hu xi</x:v>
      </x:c>
      <x:c r="N326" t="str">
        <x:v>32992079</x:v>
      </x:c>
      <x:c r="O326" t="str">
        <x:v>Yaka</x:v>
      </x:c>
      <x:c r="P326" t="str">
        <x:v>390094926</x:v>
      </x:c>
      <x:c r="Q326" t="str">
        <x:v>DLC</x:v>
      </x:c>
      <x:c r="R326" t="str"/>
      <x:c r="S326" t="str"/>
      <x:c r="T326"/>
      <x:c r="U326"/>
      <x:c r="V326" t="str">
        <x:v>https://music.163.com/song?id=3415842235</x:v>
      </x:c>
      <x:c r="W326" t="str">
        <x:v>http://p1.music.126.net/M1ymYle2IiY2Ad07MlosXw==/109951173671432890.jpg</x:v>
      </x:c>
      <x:c r="X326" t="str">
        <x:v>https://music.163.com/discover/toplist?id=2884035</x:v>
      </x:c>
      <x:c r="Y326" t="str">
        <x:v>https://music.163.com/api/playlist/detail?id=2884035&amp;n=100</x:v>
      </x:c>
      <x:c r="Z326" s="24" t="str">
        <x:f>IFERROR(VLOOKUP(F326,'07_字典与参数'!$A$5:$E$10,3,FALSE),"待映射")</x:f>
        <x:v>网易云音乐</x:v>
      </x:c>
      <x:c r="AA326" s="24" t="str">
        <x:f>IFERROR(VLOOKUP(F326,'07_字典与参数'!$A$5:$E$10,2,FALSE),"待映射")</x:f>
        <x:v>原创榜</x:v>
      </x:c>
      <x:c r="AB326" s="24" t="str">
        <x:f>IFERROR(VLOOKUP(F326,'07_字典与参数'!$A$5:$E$10,4,FALSE),"待映射")</x:f>
        <x:v>每周四</x:v>
      </x:c>
      <x:c r="AC326" s="24" t="str">
        <x:f>D326&amp;"|"&amp;F326&amp;"|"&amp;L326</x:f>
        <x:v>netease_cloud_music|original|3415842235</x:v>
      </x:c>
      <x:c r="AD326" s="24" t="str">
        <x:f>IF(J326&lt;=10,"是","否")</x:f>
        <x:v>否</x:v>
      </x:c>
      <x:c r="AE326" s="24" t="str">
        <x:f>IFERROR(YEAR(R326),"缺失")</x:f>
        <x:v>缺失</x:v>
      </x:c>
    </x:row>
    <x:row r="327">
      <x:c r="A327" t="str">
        <x:v>20260812T132133+0800</x:v>
      </x:c>
      <x:c r="B327" t="n">
        <x:v>46246.22329861111</x:v>
      </x:c>
      <x:c r="C327" t="str">
        <x:v>2026-08-06</x:v>
      </x:c>
      <x:c r="D327" t="str">
        <x:v>netease_cloud_music</x:v>
      </x:c>
      <x:c r="E327" t="str">
        <x:v>CN</x:v>
      </x:c>
      <x:c r="F327" t="str">
        <x:v>original</x:v>
      </x:c>
      <x:c r="G327" t="str">
        <x:v>原创榜</x:v>
      </x:c>
      <x:c r="H327" t="str">
        <x:v>2884035</x:v>
      </x:c>
      <x:c r="I327" t="n">
        <x:v>100</x:v>
      </x:c>
      <x:c r="J327" t="n">
        <x:v>23</x:v>
      </x:c>
      <x:c r="K327" t="n">
        <x:v>78</x:v>
      </x:c>
      <x:c r="L327" t="str">
        <x:v>3412016938</x:v>
      </x:c>
      <x:c r="M327" t="str">
        <x:v>Vermilion</x:v>
      </x:c>
      <x:c r="N327" t="str">
        <x:v>122546004 | 33819367 | 51800083 | 34617541</x:v>
      </x:c>
      <x:c r="O327" t="str">
        <x:v>铁痕电台-MSR | BLACK 0 | 明家歆 | Ceru_</x:v>
      </x:c>
      <x:c r="P327" t="str">
        <x:v>389263178</x:v>
      </x:c>
      <x:c r="Q327" t="str">
        <x:v>向渊行OST</x:v>
      </x:c>
      <x:c r="R327" t="str">
        <x:v>2026-07-30</x:v>
      </x:c>
      <x:c r="S327" t="str"/>
      <x:c r="T327"/>
      <x:c r="U327"/>
      <x:c r="V327" t="str">
        <x:v>https://music.163.com/song?id=3412016938</x:v>
      </x:c>
      <x:c r="W327" t="str">
        <x:v>http://p1.music.126.net/JeTFAPiRJUPsIePP4GIqsw==/109951173645975399.jpg</x:v>
      </x:c>
      <x:c r="X327" t="str">
        <x:v>https://music.163.com/discover/toplist?id=2884035</x:v>
      </x:c>
      <x:c r="Y327" t="str">
        <x:v>https://music.163.com/api/playlist/detail?id=2884035&amp;n=100</x:v>
      </x:c>
      <x:c r="Z327" s="24" t="str">
        <x:f>IFERROR(VLOOKUP(F327,'07_字典与参数'!$A$5:$E$10,3,FALSE),"待映射")</x:f>
        <x:v>网易云音乐</x:v>
      </x:c>
      <x:c r="AA327" s="24" t="str">
        <x:f>IFERROR(VLOOKUP(F327,'07_字典与参数'!$A$5:$E$10,2,FALSE),"待映射")</x:f>
        <x:v>原创榜</x:v>
      </x:c>
      <x:c r="AB327" s="24" t="str">
        <x:f>IFERROR(VLOOKUP(F327,'07_字典与参数'!$A$5:$E$10,4,FALSE),"待映射")</x:f>
        <x:v>每周四</x:v>
      </x:c>
      <x:c r="AC327" s="24" t="str">
        <x:f>D327&amp;"|"&amp;F327&amp;"|"&amp;L327</x:f>
        <x:v>netease_cloud_music|original|3412016938</x:v>
      </x:c>
      <x:c r="AD327" s="24" t="str">
        <x:f>IF(J327&lt;=10,"是","否")</x:f>
        <x:v>否</x:v>
      </x:c>
      <x:c r="AE327" s="24" t="n">
        <x:f>IFERROR(YEAR(R327),"缺失")</x:f>
        <x:v>2026</x:v>
      </x:c>
    </x:row>
    <x:row r="328">
      <x:c r="A328" t="str">
        <x:v>20260812T132133+0800</x:v>
      </x:c>
      <x:c r="B328" t="n">
        <x:v>46246.22329861111</x:v>
      </x:c>
      <x:c r="C328" t="str">
        <x:v>2026-08-06</x:v>
      </x:c>
      <x:c r="D328" t="str">
        <x:v>netease_cloud_music</x:v>
      </x:c>
      <x:c r="E328" t="str">
        <x:v>CN</x:v>
      </x:c>
      <x:c r="F328" t="str">
        <x:v>original</x:v>
      </x:c>
      <x:c r="G328" t="str">
        <x:v>原创榜</x:v>
      </x:c>
      <x:c r="H328" t="str">
        <x:v>2884035</x:v>
      </x:c>
      <x:c r="I328" t="n">
        <x:v>100</x:v>
      </x:c>
      <x:c r="J328" t="n">
        <x:v>24</x:v>
      </x:c>
      <x:c r="K328" t="n">
        <x:v>77</x:v>
      </x:c>
      <x:c r="L328" t="str">
        <x:v>3414487964</x:v>
      </x:c>
      <x:c r="M328" t="str">
        <x:v>马桑树下 (Live)</x:v>
      </x:c>
      <x:c r="N328" t="str">
        <x:v>12319437 | 47192128</x:v>
      </x:c>
      <x:c r="O328" t="str">
        <x:v>RANZER叶润泽 | 早安</x:v>
      </x:c>
      <x:c r="P328" t="str">
        <x:v>390102810</x:v>
      </x:c>
      <x:c r="Q328" t="str">
        <x:v>说唱巅峰对决2026 第六期</x:v>
      </x:c>
      <x:c r="R328" t="str"/>
      <x:c r="S328" t="str"/>
      <x:c r="T328"/>
      <x:c r="U328"/>
      <x:c r="V328" t="str">
        <x:v>https://music.163.com/song?id=3414487964</x:v>
      </x:c>
      <x:c r="W328" t="str">
        <x:v>http://p1.music.126.net/8vkWFMdRU12EZnhqUkVlMw==/109951173671668840.jpg</x:v>
      </x:c>
      <x:c r="X328" t="str">
        <x:v>https://music.163.com/discover/toplist?id=2884035</x:v>
      </x:c>
      <x:c r="Y328" t="str">
        <x:v>https://music.163.com/api/playlist/detail?id=2884035&amp;n=100</x:v>
      </x:c>
      <x:c r="Z328" s="24" t="str">
        <x:f>IFERROR(VLOOKUP(F328,'07_字典与参数'!$A$5:$E$10,3,FALSE),"待映射")</x:f>
        <x:v>网易云音乐</x:v>
      </x:c>
      <x:c r="AA328" s="24" t="str">
        <x:f>IFERROR(VLOOKUP(F328,'07_字典与参数'!$A$5:$E$10,2,FALSE),"待映射")</x:f>
        <x:v>原创榜</x:v>
      </x:c>
      <x:c r="AB328" s="24" t="str">
        <x:f>IFERROR(VLOOKUP(F328,'07_字典与参数'!$A$5:$E$10,4,FALSE),"待映射")</x:f>
        <x:v>每周四</x:v>
      </x:c>
      <x:c r="AC328" s="24" t="str">
        <x:f>D328&amp;"|"&amp;F328&amp;"|"&amp;L328</x:f>
        <x:v>netease_cloud_music|original|3414487964</x:v>
      </x:c>
      <x:c r="AD328" s="24" t="str">
        <x:f>IF(J328&lt;=10,"是","否")</x:f>
        <x:v>否</x:v>
      </x:c>
      <x:c r="AE328" s="24" t="str">
        <x:f>IFERROR(YEAR(R328),"缺失")</x:f>
        <x:v>缺失</x:v>
      </x:c>
    </x:row>
    <x:row r="329">
      <x:c r="A329" t="str">
        <x:v>20260812T132133+0800</x:v>
      </x:c>
      <x:c r="B329" t="n">
        <x:v>46246.22329861111</x:v>
      </x:c>
      <x:c r="C329" t="str">
        <x:v>2026-08-06</x:v>
      </x:c>
      <x:c r="D329" t="str">
        <x:v>netease_cloud_music</x:v>
      </x:c>
      <x:c r="E329" t="str">
        <x:v>CN</x:v>
      </x:c>
      <x:c r="F329" t="str">
        <x:v>original</x:v>
      </x:c>
      <x:c r="G329" t="str">
        <x:v>原创榜</x:v>
      </x:c>
      <x:c r="H329" t="str">
        <x:v>2884035</x:v>
      </x:c>
      <x:c r="I329" t="n">
        <x:v>100</x:v>
      </x:c>
      <x:c r="J329" t="n">
        <x:v>25</x:v>
      </x:c>
      <x:c r="K329" t="n">
        <x:v>76</x:v>
      </x:c>
      <x:c r="L329" t="str">
        <x:v>3413140584</x:v>
      </x:c>
      <x:c r="M329" t="str">
        <x:v>像狐狸一样的爱</x:v>
      </x:c>
      <x:c r="N329" t="str">
        <x:v>59217680</x:v>
      </x:c>
      <x:c r="O329" t="str">
        <x:v>Viima</x:v>
      </x:c>
      <x:c r="P329" t="str">
        <x:v>389650132</x:v>
      </x:c>
      <x:c r="Q329" t="str">
        <x:v>像狐狸一样的爱</x:v>
      </x:c>
      <x:c r="R329" t="str">
        <x:v>2026-07-31</x:v>
      </x:c>
      <x:c r="S329" t="str"/>
      <x:c r="T329"/>
      <x:c r="U329"/>
      <x:c r="V329" t="str">
        <x:v>https://music.163.com/song?id=3413140584</x:v>
      </x:c>
      <x:c r="W329" t="str">
        <x:v>http://p1.music.126.net/cp4Jpsmyk5Ze4_ua3U9Y6g==/109951173657554635.jpg</x:v>
      </x:c>
      <x:c r="X329" t="str">
        <x:v>https://music.163.com/discover/toplist?id=2884035</x:v>
      </x:c>
      <x:c r="Y329" t="str">
        <x:v>https://music.163.com/api/playlist/detail?id=2884035&amp;n=100</x:v>
      </x:c>
      <x:c r="Z329" s="24" t="str">
        <x:f>IFERROR(VLOOKUP(F329,'07_字典与参数'!$A$5:$E$10,3,FALSE),"待映射")</x:f>
        <x:v>网易云音乐</x:v>
      </x:c>
      <x:c r="AA329" s="24" t="str">
        <x:f>IFERROR(VLOOKUP(F329,'07_字典与参数'!$A$5:$E$10,2,FALSE),"待映射")</x:f>
        <x:v>原创榜</x:v>
      </x:c>
      <x:c r="AB329" s="24" t="str">
        <x:f>IFERROR(VLOOKUP(F329,'07_字典与参数'!$A$5:$E$10,4,FALSE),"待映射")</x:f>
        <x:v>每周四</x:v>
      </x:c>
      <x:c r="AC329" s="24" t="str">
        <x:f>D329&amp;"|"&amp;F329&amp;"|"&amp;L329</x:f>
        <x:v>netease_cloud_music|original|3413140584</x:v>
      </x:c>
      <x:c r="AD329" s="24" t="str">
        <x:f>IF(J329&lt;=10,"是","否")</x:f>
        <x:v>否</x:v>
      </x:c>
      <x:c r="AE329" s="24" t="n">
        <x:f>IFERROR(YEAR(R329),"缺失")</x:f>
        <x:v>2026</x:v>
      </x:c>
    </x:row>
    <x:row r="330">
      <x:c r="A330" t="str">
        <x:v>20260812T132133+0800</x:v>
      </x:c>
      <x:c r="B330" t="n">
        <x:v>46246.22329861111</x:v>
      </x:c>
      <x:c r="C330" t="str">
        <x:v>2026-08-06</x:v>
      </x:c>
      <x:c r="D330" t="str">
        <x:v>netease_cloud_music</x:v>
      </x:c>
      <x:c r="E330" t="str">
        <x:v>CN</x:v>
      </x:c>
      <x:c r="F330" t="str">
        <x:v>original</x:v>
      </x:c>
      <x:c r="G330" t="str">
        <x:v>原创榜</x:v>
      </x:c>
      <x:c r="H330" t="str">
        <x:v>2884035</x:v>
      </x:c>
      <x:c r="I330" t="n">
        <x:v>100</x:v>
      </x:c>
      <x:c r="J330" t="n">
        <x:v>26</x:v>
      </x:c>
      <x:c r="K330" t="n">
        <x:v>75</x:v>
      </x:c>
      <x:c r="L330" t="str">
        <x:v>3412410346</x:v>
      </x:c>
      <x:c r="M330" t="str">
        <x:v>I can fly</x:v>
      </x:c>
      <x:c r="N330" t="str">
        <x:v>13145283 | 12064019</x:v>
      </x:c>
      <x:c r="O330" t="str">
        <x:v>ICE杨长青 | 连麻Swimming</x:v>
      </x:c>
      <x:c r="P330" t="str">
        <x:v>383211818</x:v>
      </x:c>
      <x:c r="Q330" t="str">
        <x:v>长青 (Deluxe)</x:v>
      </x:c>
      <x:c r="R330" t="str"/>
      <x:c r="S330" t="str"/>
      <x:c r="T330"/>
      <x:c r="U330"/>
      <x:c r="V330" t="str">
        <x:v>https://music.163.com/song?id=3412410346</x:v>
      </x:c>
      <x:c r="W330" t="str">
        <x:v>http://p1.music.126.net/2PdA8Q8YKtgDK1u5HPL8Sw==/109951173650298667.jpg</x:v>
      </x:c>
      <x:c r="X330" t="str">
        <x:v>https://music.163.com/discover/toplist?id=2884035</x:v>
      </x:c>
      <x:c r="Y330" t="str">
        <x:v>https://music.163.com/api/playlist/detail?id=2884035&amp;n=100</x:v>
      </x:c>
      <x:c r="Z330" s="24" t="str">
        <x:f>IFERROR(VLOOKUP(F330,'07_字典与参数'!$A$5:$E$10,3,FALSE),"待映射")</x:f>
        <x:v>网易云音乐</x:v>
      </x:c>
      <x:c r="AA330" s="24" t="str">
        <x:f>IFERROR(VLOOKUP(F330,'07_字典与参数'!$A$5:$E$10,2,FALSE),"待映射")</x:f>
        <x:v>原创榜</x:v>
      </x:c>
      <x:c r="AB330" s="24" t="str">
        <x:f>IFERROR(VLOOKUP(F330,'07_字典与参数'!$A$5:$E$10,4,FALSE),"待映射")</x:f>
        <x:v>每周四</x:v>
      </x:c>
      <x:c r="AC330" s="24" t="str">
        <x:f>D330&amp;"|"&amp;F330&amp;"|"&amp;L330</x:f>
        <x:v>netease_cloud_music|original|3412410346</x:v>
      </x:c>
      <x:c r="AD330" s="24" t="str">
        <x:f>IF(J330&lt;=10,"是","否")</x:f>
        <x:v>否</x:v>
      </x:c>
      <x:c r="AE330" s="24" t="str">
        <x:f>IFERROR(YEAR(R330),"缺失")</x:f>
        <x:v>缺失</x:v>
      </x:c>
    </x:row>
    <x:row r="331">
      <x:c r="A331" t="str">
        <x:v>20260812T132133+0800</x:v>
      </x:c>
      <x:c r="B331" t="n">
        <x:v>46246.22329861111</x:v>
      </x:c>
      <x:c r="C331" t="str">
        <x:v>2026-08-06</x:v>
      </x:c>
      <x:c r="D331" t="str">
        <x:v>netease_cloud_music</x:v>
      </x:c>
      <x:c r="E331" t="str">
        <x:v>CN</x:v>
      </x:c>
      <x:c r="F331" t="str">
        <x:v>original</x:v>
      </x:c>
      <x:c r="G331" t="str">
        <x:v>原创榜</x:v>
      </x:c>
      <x:c r="H331" t="str">
        <x:v>2884035</x:v>
      </x:c>
      <x:c r="I331" t="n">
        <x:v>100</x:v>
      </x:c>
      <x:c r="J331" t="n">
        <x:v>27</x:v>
      </x:c>
      <x:c r="K331" t="n">
        <x:v>74</x:v>
      </x:c>
      <x:c r="L331" t="str">
        <x:v>3412594763</x:v>
      </x:c>
      <x:c r="M331" t="str">
        <x:v>鸟儿</x:v>
      </x:c>
      <x:c r="N331" t="str">
        <x:v>34783914 | 51497522</x:v>
      </x:c>
      <x:c r="O331" t="str">
        <x:v>栾超 | 亞細亞曠世奇才</x:v>
      </x:c>
      <x:c r="P331" t="str">
        <x:v>384042179</x:v>
      </x:c>
      <x:c r="Q331" t="str">
        <x:v>大压抑時代</x:v>
      </x:c>
      <x:c r="R331" t="str"/>
      <x:c r="S331" t="str"/>
      <x:c r="T331"/>
      <x:c r="U331"/>
      <x:c r="V331" t="str">
        <x:v>https://music.163.com/song?id=3412594763</x:v>
      </x:c>
      <x:c r="W331" t="str">
        <x:v>http://p1.music.126.net/MPn2veCXAI8V2N8zoFr6OQ==/109951173469236827.jpg</x:v>
      </x:c>
      <x:c r="X331" t="str">
        <x:v>https://music.163.com/discover/toplist?id=2884035</x:v>
      </x:c>
      <x:c r="Y331" t="str">
        <x:v>https://music.163.com/api/playlist/detail?id=2884035&amp;n=100</x:v>
      </x:c>
      <x:c r="Z331" s="24" t="str">
        <x:f>IFERROR(VLOOKUP(F331,'07_字典与参数'!$A$5:$E$10,3,FALSE),"待映射")</x:f>
        <x:v>网易云音乐</x:v>
      </x:c>
      <x:c r="AA331" s="24" t="str">
        <x:f>IFERROR(VLOOKUP(F331,'07_字典与参数'!$A$5:$E$10,2,FALSE),"待映射")</x:f>
        <x:v>原创榜</x:v>
      </x:c>
      <x:c r="AB331" s="24" t="str">
        <x:f>IFERROR(VLOOKUP(F331,'07_字典与参数'!$A$5:$E$10,4,FALSE),"待映射")</x:f>
        <x:v>每周四</x:v>
      </x:c>
      <x:c r="AC331" s="24" t="str">
        <x:f>D331&amp;"|"&amp;F331&amp;"|"&amp;L331</x:f>
        <x:v>netease_cloud_music|original|3412594763</x:v>
      </x:c>
      <x:c r="AD331" s="24" t="str">
        <x:f>IF(J331&lt;=10,"是","否")</x:f>
        <x:v>否</x:v>
      </x:c>
      <x:c r="AE331" s="24" t="str">
        <x:f>IFERROR(YEAR(R331),"缺失")</x:f>
        <x:v>缺失</x:v>
      </x:c>
    </x:row>
    <x:row r="332">
      <x:c r="A332" t="str">
        <x:v>20260812T132133+0800</x:v>
      </x:c>
      <x:c r="B332" t="n">
        <x:v>46246.22329861111</x:v>
      </x:c>
      <x:c r="C332" t="str">
        <x:v>2026-08-06</x:v>
      </x:c>
      <x:c r="D332" t="str">
        <x:v>netease_cloud_music</x:v>
      </x:c>
      <x:c r="E332" t="str">
        <x:v>CN</x:v>
      </x:c>
      <x:c r="F332" t="str">
        <x:v>original</x:v>
      </x:c>
      <x:c r="G332" t="str">
        <x:v>原创榜</x:v>
      </x:c>
      <x:c r="H332" t="str">
        <x:v>2884035</x:v>
      </x:c>
      <x:c r="I332" t="n">
        <x:v>100</x:v>
      </x:c>
      <x:c r="J332" t="n">
        <x:v>28</x:v>
      </x:c>
      <x:c r="K332" t="n">
        <x:v>73</x:v>
      </x:c>
      <x:c r="L332" t="str">
        <x:v>3414523158</x:v>
      </x:c>
      <x:c r="M332" t="str">
        <x:v>别来见我</x:v>
      </x:c>
      <x:c r="N332" t="str">
        <x:v>31048903</x:v>
      </x:c>
      <x:c r="O332" t="str">
        <x:v>王怡</x:v>
      </x:c>
      <x:c r="P332" t="str">
        <x:v>390086547</x:v>
      </x:c>
      <x:c r="Q332" t="str">
        <x:v>别来见我</x:v>
      </x:c>
      <x:c r="R332" t="str"/>
      <x:c r="S332" t="str"/>
      <x:c r="T332"/>
      <x:c r="U332"/>
      <x:c r="V332" t="str">
        <x:v>https://music.163.com/song?id=3414523158</x:v>
      </x:c>
      <x:c r="W332" t="str">
        <x:v>http://p1.music.126.net/9GX60bmHa5w8Sva4p9Zc3A==/109951173672068626.jpg</x:v>
      </x:c>
      <x:c r="X332" t="str">
        <x:v>https://music.163.com/discover/toplist?id=2884035</x:v>
      </x:c>
      <x:c r="Y332" t="str">
        <x:v>https://music.163.com/api/playlist/detail?id=2884035&amp;n=100</x:v>
      </x:c>
      <x:c r="Z332" s="24" t="str">
        <x:f>IFERROR(VLOOKUP(F332,'07_字典与参数'!$A$5:$E$10,3,FALSE),"待映射")</x:f>
        <x:v>网易云音乐</x:v>
      </x:c>
      <x:c r="AA332" s="24" t="str">
        <x:f>IFERROR(VLOOKUP(F332,'07_字典与参数'!$A$5:$E$10,2,FALSE),"待映射")</x:f>
        <x:v>原创榜</x:v>
      </x:c>
      <x:c r="AB332" s="24" t="str">
        <x:f>IFERROR(VLOOKUP(F332,'07_字典与参数'!$A$5:$E$10,4,FALSE),"待映射")</x:f>
        <x:v>每周四</x:v>
      </x:c>
      <x:c r="AC332" s="24" t="str">
        <x:f>D332&amp;"|"&amp;F332&amp;"|"&amp;L332</x:f>
        <x:v>netease_cloud_music|original|3414523158</x:v>
      </x:c>
      <x:c r="AD332" s="24" t="str">
        <x:f>IF(J332&lt;=10,"是","否")</x:f>
        <x:v>否</x:v>
      </x:c>
      <x:c r="AE332" s="24" t="str">
        <x:f>IFERROR(YEAR(R332),"缺失")</x:f>
        <x:v>缺失</x:v>
      </x:c>
    </x:row>
    <x:row r="333">
      <x:c r="A333" t="str">
        <x:v>20260812T132133+0800</x:v>
      </x:c>
      <x:c r="B333" t="n">
        <x:v>46246.22329861111</x:v>
      </x:c>
      <x:c r="C333" t="str">
        <x:v>2026-08-06</x:v>
      </x:c>
      <x:c r="D333" t="str">
        <x:v>netease_cloud_music</x:v>
      </x:c>
      <x:c r="E333" t="str">
        <x:v>CN</x:v>
      </x:c>
      <x:c r="F333" t="str">
        <x:v>original</x:v>
      </x:c>
      <x:c r="G333" t="str">
        <x:v>原创榜</x:v>
      </x:c>
      <x:c r="H333" t="str">
        <x:v>2884035</x:v>
      </x:c>
      <x:c r="I333" t="n">
        <x:v>100</x:v>
      </x:c>
      <x:c r="J333" t="n">
        <x:v>29</x:v>
      </x:c>
      <x:c r="K333" t="n">
        <x:v>72</x:v>
      </x:c>
      <x:c r="L333" t="str">
        <x:v>3413850102</x:v>
      </x:c>
      <x:c r="M333" t="str">
        <x:v>Every Road is a Yes</x:v>
      </x:c>
      <x:c r="N333" t="str">
        <x:v>32540734 | 47534712</x:v>
      </x:c>
      <x:c r="O333" t="str">
        <x:v>塞壬唱片-MSR | 橘猫烧鲷鱼</x:v>
      </x:c>
      <x:c r="P333" t="str">
        <x:v>389884300</x:v>
      </x:c>
      <x:c r="Q333" t="str">
        <x:v>Every Road is a Yes</x:v>
      </x:c>
      <x:c r="R333" t="str">
        <x:v>2026-08-01</x:v>
      </x:c>
      <x:c r="S333" t="str"/>
      <x:c r="T333"/>
      <x:c r="U333"/>
      <x:c r="V333" t="str">
        <x:v>https://music.163.com/song?id=3413850102</x:v>
      </x:c>
      <x:c r="W333" t="str">
        <x:v>http://p1.music.126.net/_8I6tkTNcpmCxerXTm08LA==/109951173664314537.jpg</x:v>
      </x:c>
      <x:c r="X333" t="str">
        <x:v>https://music.163.com/discover/toplist?id=2884035</x:v>
      </x:c>
      <x:c r="Y333" t="str">
        <x:v>https://music.163.com/api/playlist/detail?id=2884035&amp;n=100</x:v>
      </x:c>
      <x:c r="Z333" s="24" t="str">
        <x:f>IFERROR(VLOOKUP(F333,'07_字典与参数'!$A$5:$E$10,3,FALSE),"待映射")</x:f>
        <x:v>网易云音乐</x:v>
      </x:c>
      <x:c r="AA333" s="24" t="str">
        <x:f>IFERROR(VLOOKUP(F333,'07_字典与参数'!$A$5:$E$10,2,FALSE),"待映射")</x:f>
        <x:v>原创榜</x:v>
      </x:c>
      <x:c r="AB333" s="24" t="str">
        <x:f>IFERROR(VLOOKUP(F333,'07_字典与参数'!$A$5:$E$10,4,FALSE),"待映射")</x:f>
        <x:v>每周四</x:v>
      </x:c>
      <x:c r="AC333" s="24" t="str">
        <x:f>D333&amp;"|"&amp;F333&amp;"|"&amp;L333</x:f>
        <x:v>netease_cloud_music|original|3413850102</x:v>
      </x:c>
      <x:c r="AD333" s="24" t="str">
        <x:f>IF(J333&lt;=10,"是","否")</x:f>
        <x:v>否</x:v>
      </x:c>
      <x:c r="AE333" s="24" t="n">
        <x:f>IFERROR(YEAR(R333),"缺失")</x:f>
        <x:v>2026</x:v>
      </x:c>
    </x:row>
    <x:row r="334">
      <x:c r="A334" t="str">
        <x:v>20260812T132133+0800</x:v>
      </x:c>
      <x:c r="B334" t="n">
        <x:v>46246.22329861111</x:v>
      </x:c>
      <x:c r="C334" t="str">
        <x:v>2026-08-06</x:v>
      </x:c>
      <x:c r="D334" t="str">
        <x:v>netease_cloud_music</x:v>
      </x:c>
      <x:c r="E334" t="str">
        <x:v>CN</x:v>
      </x:c>
      <x:c r="F334" t="str">
        <x:v>original</x:v>
      </x:c>
      <x:c r="G334" t="str">
        <x:v>原创榜</x:v>
      </x:c>
      <x:c r="H334" t="str">
        <x:v>2884035</x:v>
      </x:c>
      <x:c r="I334" t="n">
        <x:v>100</x:v>
      </x:c>
      <x:c r="J334" t="n">
        <x:v>30</x:v>
      </x:c>
      <x:c r="K334" t="n">
        <x:v>71</x:v>
      </x:c>
      <x:c r="L334" t="str">
        <x:v>3407049273</x:v>
      </x:c>
      <x:c r="M334" t="str">
        <x:v>沉溺</x:v>
      </x:c>
      <x:c r="N334" t="str">
        <x:v>93998174 | 60977837</x:v>
      </x:c>
      <x:c r="O334" t="str">
        <x:v>萨满（Saman） | 听潮阁</x:v>
      </x:c>
      <x:c r="P334" t="str">
        <x:v>382035329</x:v>
      </x:c>
      <x:c r="Q334" t="str">
        <x:v>午夜协议</x:v>
      </x:c>
      <x:c r="R334" t="str">
        <x:v>2026-06-18</x:v>
      </x:c>
      <x:c r="S334" t="str"/>
      <x:c r="T334"/>
      <x:c r="U334"/>
      <x:c r="V334" t="str">
        <x:v>https://music.163.com/song?id=3407049273</x:v>
      </x:c>
      <x:c r="W334" t="str">
        <x:v>http://p1.music.126.net/gn--BB7-RWhNiIATn1QpUw==/109951173565563062.jpg</x:v>
      </x:c>
      <x:c r="X334" t="str">
        <x:v>https://music.163.com/discover/toplist?id=2884035</x:v>
      </x:c>
      <x:c r="Y334" t="str">
        <x:v>https://music.163.com/api/playlist/detail?id=2884035&amp;n=100</x:v>
      </x:c>
      <x:c r="Z334" s="24" t="str">
        <x:f>IFERROR(VLOOKUP(F334,'07_字典与参数'!$A$5:$E$10,3,FALSE),"待映射")</x:f>
        <x:v>网易云音乐</x:v>
      </x:c>
      <x:c r="AA334" s="24" t="str">
        <x:f>IFERROR(VLOOKUP(F334,'07_字典与参数'!$A$5:$E$10,2,FALSE),"待映射")</x:f>
        <x:v>原创榜</x:v>
      </x:c>
      <x:c r="AB334" s="24" t="str">
        <x:f>IFERROR(VLOOKUP(F334,'07_字典与参数'!$A$5:$E$10,4,FALSE),"待映射")</x:f>
        <x:v>每周四</x:v>
      </x:c>
      <x:c r="AC334" s="24" t="str">
        <x:f>D334&amp;"|"&amp;F334&amp;"|"&amp;L334</x:f>
        <x:v>netease_cloud_music|original|3407049273</x:v>
      </x:c>
      <x:c r="AD334" s="24" t="str">
        <x:f>IF(J334&lt;=10,"是","否")</x:f>
        <x:v>否</x:v>
      </x:c>
      <x:c r="AE334" s="24" t="n">
        <x:f>IFERROR(YEAR(R334),"缺失")</x:f>
        <x:v>2026</x:v>
      </x:c>
    </x:row>
    <x:row r="335">
      <x:c r="A335" t="str">
        <x:v>20260812T132133+0800</x:v>
      </x:c>
      <x:c r="B335" t="n">
        <x:v>46246.22329861111</x:v>
      </x:c>
      <x:c r="C335" t="str">
        <x:v>2026-08-06</x:v>
      </x:c>
      <x:c r="D335" t="str">
        <x:v>netease_cloud_music</x:v>
      </x:c>
      <x:c r="E335" t="str">
        <x:v>CN</x:v>
      </x:c>
      <x:c r="F335" t="str">
        <x:v>original</x:v>
      </x:c>
      <x:c r="G335" t="str">
        <x:v>原创榜</x:v>
      </x:c>
      <x:c r="H335" t="str">
        <x:v>2884035</x:v>
      </x:c>
      <x:c r="I335" t="n">
        <x:v>100</x:v>
      </x:c>
      <x:c r="J335" t="n">
        <x:v>31</x:v>
      </x:c>
      <x:c r="K335" t="n">
        <x:v>70</x:v>
      </x:c>
      <x:c r="L335" t="str">
        <x:v>3414489000</x:v>
      </x:c>
      <x:c r="M335" t="str">
        <x:v>风华绝代 (Live)</x:v>
      </x:c>
      <x:c r="N335" t="str">
        <x:v>12523451 | 12371082</x:v>
      </x:c>
      <x:c r="O335" t="str">
        <x:v>BrAnTB白景屹 | 辉子</x:v>
      </x:c>
      <x:c r="P335" t="str">
        <x:v>390102810</x:v>
      </x:c>
      <x:c r="Q335" t="str">
        <x:v>说唱巅峰对决2026 第六期</x:v>
      </x:c>
      <x:c r="R335" t="str"/>
      <x:c r="S335" t="str"/>
      <x:c r="T335"/>
      <x:c r="U335"/>
      <x:c r="V335" t="str">
        <x:v>https://music.163.com/song?id=3414489000</x:v>
      </x:c>
      <x:c r="W335" t="str">
        <x:v>http://p1.music.126.net/8vkWFMdRU12EZnhqUkVlMw==/109951173671668840.jpg</x:v>
      </x:c>
      <x:c r="X335" t="str">
        <x:v>https://music.163.com/discover/toplist?id=2884035</x:v>
      </x:c>
      <x:c r="Y335" t="str">
        <x:v>https://music.163.com/api/playlist/detail?id=2884035&amp;n=100</x:v>
      </x:c>
      <x:c r="Z335" s="24" t="str">
        <x:f>IFERROR(VLOOKUP(F335,'07_字典与参数'!$A$5:$E$10,3,FALSE),"待映射")</x:f>
        <x:v>网易云音乐</x:v>
      </x:c>
      <x:c r="AA335" s="24" t="str">
        <x:f>IFERROR(VLOOKUP(F335,'07_字典与参数'!$A$5:$E$10,2,FALSE),"待映射")</x:f>
        <x:v>原创榜</x:v>
      </x:c>
      <x:c r="AB335" s="24" t="str">
        <x:f>IFERROR(VLOOKUP(F335,'07_字典与参数'!$A$5:$E$10,4,FALSE),"待映射")</x:f>
        <x:v>每周四</x:v>
      </x:c>
      <x:c r="AC335" s="24" t="str">
        <x:f>D335&amp;"|"&amp;F335&amp;"|"&amp;L335</x:f>
        <x:v>netease_cloud_music|original|3414489000</x:v>
      </x:c>
      <x:c r="AD335" s="24" t="str">
        <x:f>IF(J335&lt;=10,"是","否")</x:f>
        <x:v>否</x:v>
      </x:c>
      <x:c r="AE335" s="24" t="str">
        <x:f>IFERROR(YEAR(R335),"缺失")</x:f>
        <x:v>缺失</x:v>
      </x:c>
    </x:row>
    <x:row r="336">
      <x:c r="A336" t="str">
        <x:v>20260812T132133+0800</x:v>
      </x:c>
      <x:c r="B336" t="n">
        <x:v>46246.22329861111</x:v>
      </x:c>
      <x:c r="C336" t="str">
        <x:v>2026-08-06</x:v>
      </x:c>
      <x:c r="D336" t="str">
        <x:v>netease_cloud_music</x:v>
      </x:c>
      <x:c r="E336" t="str">
        <x:v>CN</x:v>
      </x:c>
      <x:c r="F336" t="str">
        <x:v>original</x:v>
      </x:c>
      <x:c r="G336" t="str">
        <x:v>原创榜</x:v>
      </x:c>
      <x:c r="H336" t="str">
        <x:v>2884035</x:v>
      </x:c>
      <x:c r="I336" t="n">
        <x:v>100</x:v>
      </x:c>
      <x:c r="J336" t="n">
        <x:v>32</x:v>
      </x:c>
      <x:c r="K336" t="n">
        <x:v>69</x:v>
      </x:c>
      <x:c r="L336" t="str">
        <x:v>3412604615</x:v>
      </x:c>
      <x:c r="M336" t="str">
        <x:v>Hard Time</x:v>
      </x:c>
      <x:c r="N336" t="str">
        <x:v>37125681 | 94753015</x:v>
      </x:c>
      <x:c r="O336" t="str">
        <x:v>Young Cash Jason | DD Ma Shawty</x:v>
      </x:c>
      <x:c r="P336" t="str">
        <x:v>389463819</x:v>
      </x:c>
      <x:c r="Q336" t="str">
        <x:v>Ain’t Enough</x:v>
      </x:c>
      <x:c r="R336" t="str">
        <x:v>2026-07-31</x:v>
      </x:c>
      <x:c r="S336" t="str"/>
      <x:c r="T336"/>
      <x:c r="U336"/>
      <x:c r="V336" t="str">
        <x:v>https://music.163.com/song?id=3412604615</x:v>
      </x:c>
      <x:c r="W336" t="str">
        <x:v>http://p1.music.126.net/hgkEcEydIA6SjM6fiTDM6g==/109951173652197760.jpg</x:v>
      </x:c>
      <x:c r="X336" t="str">
        <x:v>https://music.163.com/discover/toplist?id=2884035</x:v>
      </x:c>
      <x:c r="Y336" t="str">
        <x:v>https://music.163.com/api/playlist/detail?id=2884035&amp;n=100</x:v>
      </x:c>
      <x:c r="Z336" s="24" t="str">
        <x:f>IFERROR(VLOOKUP(F336,'07_字典与参数'!$A$5:$E$10,3,FALSE),"待映射")</x:f>
        <x:v>网易云音乐</x:v>
      </x:c>
      <x:c r="AA336" s="24" t="str">
        <x:f>IFERROR(VLOOKUP(F336,'07_字典与参数'!$A$5:$E$10,2,FALSE),"待映射")</x:f>
        <x:v>原创榜</x:v>
      </x:c>
      <x:c r="AB336" s="24" t="str">
        <x:f>IFERROR(VLOOKUP(F336,'07_字典与参数'!$A$5:$E$10,4,FALSE),"待映射")</x:f>
        <x:v>每周四</x:v>
      </x:c>
      <x:c r="AC336" s="24" t="str">
        <x:f>D336&amp;"|"&amp;F336&amp;"|"&amp;L336</x:f>
        <x:v>netease_cloud_music|original|3412604615</x:v>
      </x:c>
      <x:c r="AD336" s="24" t="str">
        <x:f>IF(J336&lt;=10,"是","否")</x:f>
        <x:v>否</x:v>
      </x:c>
      <x:c r="AE336" s="24" t="n">
        <x:f>IFERROR(YEAR(R336),"缺失")</x:f>
        <x:v>2026</x:v>
      </x:c>
    </x:row>
    <x:row r="337">
      <x:c r="A337" t="str">
        <x:v>20260812T132133+0800</x:v>
      </x:c>
      <x:c r="B337" t="n">
        <x:v>46246.22329861111</x:v>
      </x:c>
      <x:c r="C337" t="str">
        <x:v>2026-08-06</x:v>
      </x:c>
      <x:c r="D337" t="str">
        <x:v>netease_cloud_music</x:v>
      </x:c>
      <x:c r="E337" t="str">
        <x:v>CN</x:v>
      </x:c>
      <x:c r="F337" t="str">
        <x:v>original</x:v>
      </x:c>
      <x:c r="G337" t="str">
        <x:v>原创榜</x:v>
      </x:c>
      <x:c r="H337" t="str">
        <x:v>2884035</x:v>
      </x:c>
      <x:c r="I337" t="n">
        <x:v>100</x:v>
      </x:c>
      <x:c r="J337" t="n">
        <x:v>33</x:v>
      </x:c>
      <x:c r="K337" t="n">
        <x:v>68</x:v>
      </x:c>
      <x:c r="L337" t="str">
        <x:v>3412398766</x:v>
      </x:c>
      <x:c r="M337" t="str">
        <x:v>七月流火</x:v>
      </x:c>
      <x:c r="N337" t="str">
        <x:v>94610031</x:v>
      </x:c>
      <x:c r="O337" t="str">
        <x:v>Youzee Music</x:v>
      </x:c>
      <x:c r="P337" t="str">
        <x:v>389398966</x:v>
      </x:c>
      <x:c r="Q337" t="str">
        <x:v>七月流火</x:v>
      </x:c>
      <x:c r="R337" t="str">
        <x:v>2026-07-31</x:v>
      </x:c>
      <x:c r="S337" t="str"/>
      <x:c r="T337"/>
      <x:c r="U337"/>
      <x:c r="V337" t="str">
        <x:v>https://music.163.com/song?id=3412398766</x:v>
      </x:c>
      <x:c r="W337" t="str">
        <x:v>http://p1.music.126.net/vE2OpnuMVkKFF3jH0sbzBQ==/109951173650145566.jpg</x:v>
      </x:c>
      <x:c r="X337" t="str">
        <x:v>https://music.163.com/discover/toplist?id=2884035</x:v>
      </x:c>
      <x:c r="Y337" t="str">
        <x:v>https://music.163.com/api/playlist/detail?id=2884035&amp;n=100</x:v>
      </x:c>
      <x:c r="Z337" s="24" t="str">
        <x:f>IFERROR(VLOOKUP(F337,'07_字典与参数'!$A$5:$E$10,3,FALSE),"待映射")</x:f>
        <x:v>网易云音乐</x:v>
      </x:c>
      <x:c r="AA337" s="24" t="str">
        <x:f>IFERROR(VLOOKUP(F337,'07_字典与参数'!$A$5:$E$10,2,FALSE),"待映射")</x:f>
        <x:v>原创榜</x:v>
      </x:c>
      <x:c r="AB337" s="24" t="str">
        <x:f>IFERROR(VLOOKUP(F337,'07_字典与参数'!$A$5:$E$10,4,FALSE),"待映射")</x:f>
        <x:v>每周四</x:v>
      </x:c>
      <x:c r="AC337" s="24" t="str">
        <x:f>D337&amp;"|"&amp;F337&amp;"|"&amp;L337</x:f>
        <x:v>netease_cloud_music|original|3412398766</x:v>
      </x:c>
      <x:c r="AD337" s="24" t="str">
        <x:f>IF(J337&lt;=10,"是","否")</x:f>
        <x:v>否</x:v>
      </x:c>
      <x:c r="AE337" s="24" t="n">
        <x:f>IFERROR(YEAR(R337),"缺失")</x:f>
        <x:v>2026</x:v>
      </x:c>
    </x:row>
    <x:row r="338">
      <x:c r="A338" t="str">
        <x:v>20260812T132133+0800</x:v>
      </x:c>
      <x:c r="B338" t="n">
        <x:v>46246.22329861111</x:v>
      </x:c>
      <x:c r="C338" t="str">
        <x:v>2026-08-06</x:v>
      </x:c>
      <x:c r="D338" t="str">
        <x:v>netease_cloud_music</x:v>
      </x:c>
      <x:c r="E338" t="str">
        <x:v>CN</x:v>
      </x:c>
      <x:c r="F338" t="str">
        <x:v>original</x:v>
      </x:c>
      <x:c r="G338" t="str">
        <x:v>原创榜</x:v>
      </x:c>
      <x:c r="H338" t="str">
        <x:v>2884035</x:v>
      </x:c>
      <x:c r="I338" t="n">
        <x:v>100</x:v>
      </x:c>
      <x:c r="J338" t="n">
        <x:v>34</x:v>
      </x:c>
      <x:c r="K338" t="n">
        <x:v>67</x:v>
      </x:c>
      <x:c r="L338" t="str">
        <x:v>3412604613</x:v>
      </x:c>
      <x:c r="M338" t="str">
        <x:v>必吃榜</x:v>
      </x:c>
      <x:c r="N338" t="str">
        <x:v>37125681 | 53597603</x:v>
      </x:c>
      <x:c r="O338" t="str">
        <x:v>Young Cash Jason | 迪诺哥</x:v>
      </x:c>
      <x:c r="P338" t="str">
        <x:v>389463819</x:v>
      </x:c>
      <x:c r="Q338" t="str">
        <x:v>Ain’t Enough</x:v>
      </x:c>
      <x:c r="R338" t="str">
        <x:v>2026-07-31</x:v>
      </x:c>
      <x:c r="S338" t="str"/>
      <x:c r="T338"/>
      <x:c r="U338"/>
      <x:c r="V338" t="str">
        <x:v>https://music.163.com/song?id=3412604613</x:v>
      </x:c>
      <x:c r="W338" t="str">
        <x:v>http://p1.music.126.net/hgkEcEydIA6SjM6fiTDM6g==/109951173652197760.jpg</x:v>
      </x:c>
      <x:c r="X338" t="str">
        <x:v>https://music.163.com/discover/toplist?id=2884035</x:v>
      </x:c>
      <x:c r="Y338" t="str">
        <x:v>https://music.163.com/api/playlist/detail?id=2884035&amp;n=100</x:v>
      </x:c>
      <x:c r="Z338" s="24" t="str">
        <x:f>IFERROR(VLOOKUP(F338,'07_字典与参数'!$A$5:$E$10,3,FALSE),"待映射")</x:f>
        <x:v>网易云音乐</x:v>
      </x:c>
      <x:c r="AA338" s="24" t="str">
        <x:f>IFERROR(VLOOKUP(F338,'07_字典与参数'!$A$5:$E$10,2,FALSE),"待映射")</x:f>
        <x:v>原创榜</x:v>
      </x:c>
      <x:c r="AB338" s="24" t="str">
        <x:f>IFERROR(VLOOKUP(F338,'07_字典与参数'!$A$5:$E$10,4,FALSE),"待映射")</x:f>
        <x:v>每周四</x:v>
      </x:c>
      <x:c r="AC338" s="24" t="str">
        <x:f>D338&amp;"|"&amp;F338&amp;"|"&amp;L338</x:f>
        <x:v>netease_cloud_music|original|3412604613</x:v>
      </x:c>
      <x:c r="AD338" s="24" t="str">
        <x:f>IF(J338&lt;=10,"是","否")</x:f>
        <x:v>否</x:v>
      </x:c>
      <x:c r="AE338" s="24" t="n">
        <x:f>IFERROR(YEAR(R338),"缺失")</x:f>
        <x:v>2026</x:v>
      </x:c>
    </x:row>
    <x:row r="339">
      <x:c r="A339" t="str">
        <x:v>20260812T132133+0800</x:v>
      </x:c>
      <x:c r="B339" t="n">
        <x:v>46246.22329861111</x:v>
      </x:c>
      <x:c r="C339" t="str">
        <x:v>2026-08-06</x:v>
      </x:c>
      <x:c r="D339" t="str">
        <x:v>netease_cloud_music</x:v>
      </x:c>
      <x:c r="E339" t="str">
        <x:v>CN</x:v>
      </x:c>
      <x:c r="F339" t="str">
        <x:v>original</x:v>
      </x:c>
      <x:c r="G339" t="str">
        <x:v>原创榜</x:v>
      </x:c>
      <x:c r="H339" t="str">
        <x:v>2884035</x:v>
      </x:c>
      <x:c r="I339" t="n">
        <x:v>100</x:v>
      </x:c>
      <x:c r="J339" t="n">
        <x:v>35</x:v>
      </x:c>
      <x:c r="K339" t="n">
        <x:v>66</x:v>
      </x:c>
      <x:c r="L339" t="str">
        <x:v>3411195185</x:v>
      </x:c>
      <x:c r="M339" t="str">
        <x:v>小人物 (Live)</x:v>
      </x:c>
      <x:c r="N339" t="str">
        <x:v>12371082</x:v>
      </x:c>
      <x:c r="O339" t="str">
        <x:v>辉子</x:v>
      </x:c>
      <x:c r="P339" t="str">
        <x:v>388942253</x:v>
      </x:c>
      <x:c r="Q339" t="str">
        <x:v>说唱巅峰对决2026 第五期</x:v>
      </x:c>
      <x:c r="R339" t="str"/>
      <x:c r="S339" t="str"/>
      <x:c r="T339" t="n">
        <x:v>3</x:v>
      </x:c>
      <x:c r="U339" t="n">
        <x:v>-32</x:v>
      </x:c>
      <x:c r="V339" t="str">
        <x:v>https://music.163.com/song?id=3411195185</x:v>
      </x:c>
      <x:c r="W339" t="str">
        <x:v>http://p2.music.126.net/KnyQp7HJbamMIrBo12yPOA==/109951173634722873.jpg</x:v>
      </x:c>
      <x:c r="X339" t="str">
        <x:v>https://music.163.com/discover/toplist?id=2884035</x:v>
      </x:c>
      <x:c r="Y339" t="str">
        <x:v>https://music.163.com/api/playlist/detail?id=2884035&amp;n=100</x:v>
      </x:c>
      <x:c r="Z339" s="24" t="str">
        <x:f>IFERROR(VLOOKUP(F339,'07_字典与参数'!$A$5:$E$10,3,FALSE),"待映射")</x:f>
        <x:v>网易云音乐</x:v>
      </x:c>
      <x:c r="AA339" s="24" t="str">
        <x:f>IFERROR(VLOOKUP(F339,'07_字典与参数'!$A$5:$E$10,2,FALSE),"待映射")</x:f>
        <x:v>原创榜</x:v>
      </x:c>
      <x:c r="AB339" s="24" t="str">
        <x:f>IFERROR(VLOOKUP(F339,'07_字典与参数'!$A$5:$E$10,4,FALSE),"待映射")</x:f>
        <x:v>每周四</x:v>
      </x:c>
      <x:c r="AC339" s="24" t="str">
        <x:f>D339&amp;"|"&amp;F339&amp;"|"&amp;L339</x:f>
        <x:v>netease_cloud_music|original|3411195185</x:v>
      </x:c>
      <x:c r="AD339" s="24" t="str">
        <x:f>IF(J339&lt;=10,"是","否")</x:f>
        <x:v>否</x:v>
      </x:c>
      <x:c r="AE339" s="24" t="str">
        <x:f>IFERROR(YEAR(R339),"缺失")</x:f>
        <x:v>缺失</x:v>
      </x:c>
    </x:row>
    <x:row r="340">
      <x:c r="A340" t="str">
        <x:v>20260812T132133+0800</x:v>
      </x:c>
      <x:c r="B340" t="n">
        <x:v>46246.22329861111</x:v>
      </x:c>
      <x:c r="C340" t="str">
        <x:v>2026-08-06</x:v>
      </x:c>
      <x:c r="D340" t="str">
        <x:v>netease_cloud_music</x:v>
      </x:c>
      <x:c r="E340" t="str">
        <x:v>CN</x:v>
      </x:c>
      <x:c r="F340" t="str">
        <x:v>original</x:v>
      </x:c>
      <x:c r="G340" t="str">
        <x:v>原创榜</x:v>
      </x:c>
      <x:c r="H340" t="str">
        <x:v>2884035</x:v>
      </x:c>
      <x:c r="I340" t="n">
        <x:v>100</x:v>
      </x:c>
      <x:c r="J340" t="n">
        <x:v>36</x:v>
      </x:c>
      <x:c r="K340" t="n">
        <x:v>65</x:v>
      </x:c>
      <x:c r="L340" t="str">
        <x:v>3413367559</x:v>
      </x:c>
      <x:c r="M340" t="str">
        <x:v>FADE</x:v>
      </x:c>
      <x:c r="N340" t="str">
        <x:v>49088057</x:v>
      </x:c>
      <x:c r="O340" t="str">
        <x:v>猫头英OWL</x:v>
      </x:c>
      <x:c r="P340" t="str">
        <x:v>389729834</x:v>
      </x:c>
      <x:c r="Q340" t="str">
        <x:v>FADE</x:v>
      </x:c>
      <x:c r="R340" t="str">
        <x:v>2026-08-01</x:v>
      </x:c>
      <x:c r="S340" t="str"/>
      <x:c r="T340"/>
      <x:c r="U340"/>
      <x:c r="V340" t="str">
        <x:v>https://music.163.com/song?id=3413367559</x:v>
      </x:c>
      <x:c r="W340" t="str">
        <x:v>http://p2.music.126.net/8SojfrOQ0vKtFrBid9DXbg==/109951173659908545.jpg</x:v>
      </x:c>
      <x:c r="X340" t="str">
        <x:v>https://music.163.com/discover/toplist?id=2884035</x:v>
      </x:c>
      <x:c r="Y340" t="str">
        <x:v>https://music.163.com/api/playlist/detail?id=2884035&amp;n=100</x:v>
      </x:c>
      <x:c r="Z340" s="24" t="str">
        <x:f>IFERROR(VLOOKUP(F340,'07_字典与参数'!$A$5:$E$10,3,FALSE),"待映射")</x:f>
        <x:v>网易云音乐</x:v>
      </x:c>
      <x:c r="AA340" s="24" t="str">
        <x:f>IFERROR(VLOOKUP(F340,'07_字典与参数'!$A$5:$E$10,2,FALSE),"待映射")</x:f>
        <x:v>原创榜</x:v>
      </x:c>
      <x:c r="AB340" s="24" t="str">
        <x:f>IFERROR(VLOOKUP(F340,'07_字典与参数'!$A$5:$E$10,4,FALSE),"待映射")</x:f>
        <x:v>每周四</x:v>
      </x:c>
      <x:c r="AC340" s="24" t="str">
        <x:f>D340&amp;"|"&amp;F340&amp;"|"&amp;L340</x:f>
        <x:v>netease_cloud_music|original|3413367559</x:v>
      </x:c>
      <x:c r="AD340" s="24" t="str">
        <x:f>IF(J340&lt;=10,"是","否")</x:f>
        <x:v>否</x:v>
      </x:c>
      <x:c r="AE340" s="24" t="n">
        <x:f>IFERROR(YEAR(R340),"缺失")</x:f>
        <x:v>2026</x:v>
      </x:c>
    </x:row>
    <x:row r="341">
      <x:c r="A341" t="str">
        <x:v>20260812T132133+0800</x:v>
      </x:c>
      <x:c r="B341" t="n">
        <x:v>46246.22329861111</x:v>
      </x:c>
      <x:c r="C341" t="str">
        <x:v>2026-08-06</x:v>
      </x:c>
      <x:c r="D341" t="str">
        <x:v>netease_cloud_music</x:v>
      </x:c>
      <x:c r="E341" t="str">
        <x:v>CN</x:v>
      </x:c>
      <x:c r="F341" t="str">
        <x:v>original</x:v>
      </x:c>
      <x:c r="G341" t="str">
        <x:v>原创榜</x:v>
      </x:c>
      <x:c r="H341" t="str">
        <x:v>2884035</x:v>
      </x:c>
      <x:c r="I341" t="n">
        <x:v>100</x:v>
      </x:c>
      <x:c r="J341" t="n">
        <x:v>37</x:v>
      </x:c>
      <x:c r="K341" t="n">
        <x:v>64</x:v>
      </x:c>
      <x:c r="L341" t="str">
        <x:v>3412017935</x:v>
      </x:c>
      <x:c r="M341" t="str">
        <x:v>编织光流 (For Your Name)</x:v>
      </x:c>
      <x:c r="N341" t="str">
        <x:v>122546004 | 30790814</x:v>
      </x:c>
      <x:c r="O341" t="str">
        <x:v>铁痕电台-MSR | Edine</x:v>
      </x:c>
      <x:c r="P341" t="str">
        <x:v>389263178</x:v>
      </x:c>
      <x:c r="Q341" t="str">
        <x:v>向渊行OST</x:v>
      </x:c>
      <x:c r="R341" t="str">
        <x:v>2026-07-30</x:v>
      </x:c>
      <x:c r="S341" t="str"/>
      <x:c r="T341"/>
      <x:c r="U341"/>
      <x:c r="V341" t="str">
        <x:v>https://music.163.com/song?id=3412017935</x:v>
      </x:c>
      <x:c r="W341" t="str">
        <x:v>http://p2.music.126.net/JeTFAPiRJUPsIePP4GIqsw==/109951173645975399.jpg</x:v>
      </x:c>
      <x:c r="X341" t="str">
        <x:v>https://music.163.com/discover/toplist?id=2884035</x:v>
      </x:c>
      <x:c r="Y341" t="str">
        <x:v>https://music.163.com/api/playlist/detail?id=2884035&amp;n=100</x:v>
      </x:c>
      <x:c r="Z341" s="24" t="str">
        <x:f>IFERROR(VLOOKUP(F341,'07_字典与参数'!$A$5:$E$10,3,FALSE),"待映射")</x:f>
        <x:v>网易云音乐</x:v>
      </x:c>
      <x:c r="AA341" s="24" t="str">
        <x:f>IFERROR(VLOOKUP(F341,'07_字典与参数'!$A$5:$E$10,2,FALSE),"待映射")</x:f>
        <x:v>原创榜</x:v>
      </x:c>
      <x:c r="AB341" s="24" t="str">
        <x:f>IFERROR(VLOOKUP(F341,'07_字典与参数'!$A$5:$E$10,4,FALSE),"待映射")</x:f>
        <x:v>每周四</x:v>
      </x:c>
      <x:c r="AC341" s="24" t="str">
        <x:f>D341&amp;"|"&amp;F341&amp;"|"&amp;L341</x:f>
        <x:v>netease_cloud_music|original|3412017935</x:v>
      </x:c>
      <x:c r="AD341" s="24" t="str">
        <x:f>IF(J341&lt;=10,"是","否")</x:f>
        <x:v>否</x:v>
      </x:c>
      <x:c r="AE341" s="24" t="n">
        <x:f>IFERROR(YEAR(R341),"缺失")</x:f>
        <x:v>2026</x:v>
      </x:c>
    </x:row>
    <x:row r="342">
      <x:c r="A342" t="str">
        <x:v>20260812T132133+0800</x:v>
      </x:c>
      <x:c r="B342" t="n">
        <x:v>46246.22329861111</x:v>
      </x:c>
      <x:c r="C342" t="str">
        <x:v>2026-08-06</x:v>
      </x:c>
      <x:c r="D342" t="str">
        <x:v>netease_cloud_music</x:v>
      </x:c>
      <x:c r="E342" t="str">
        <x:v>CN</x:v>
      </x:c>
      <x:c r="F342" t="str">
        <x:v>original</x:v>
      </x:c>
      <x:c r="G342" t="str">
        <x:v>原创榜</x:v>
      </x:c>
      <x:c r="H342" t="str">
        <x:v>2884035</x:v>
      </x:c>
      <x:c r="I342" t="n">
        <x:v>100</x:v>
      </x:c>
      <x:c r="J342" t="n">
        <x:v>38</x:v>
      </x:c>
      <x:c r="K342" t="n">
        <x:v>63</x:v>
      </x:c>
      <x:c r="L342" t="str">
        <x:v>3387477661</x:v>
      </x:c>
      <x:c r="M342" t="str">
        <x:v>梦哑</x:v>
      </x:c>
      <x:c r="N342" t="str">
        <x:v>9255</x:v>
      </x:c>
      <x:c r="O342" t="str">
        <x:v>任然</x:v>
      </x:c>
      <x:c r="P342" t="str">
        <x:v>378900959</x:v>
      </x:c>
      <x:c r="Q342" t="str">
        <x:v>梦哑</x:v>
      </x:c>
      <x:c r="R342" t="str">
        <x:v>2026-06-01</x:v>
      </x:c>
      <x:c r="S342" t="str"/>
      <x:c r="T342" t="n">
        <x:v>40</x:v>
      </x:c>
      <x:c r="U342" t="n">
        <x:v>2</x:v>
      </x:c>
      <x:c r="V342" t="str">
        <x:v>https://music.163.com/song?id=3387477661</x:v>
      </x:c>
      <x:c r="W342" t="str">
        <x:v>http://p2.music.126.net/7tJ8BtV2GSKTyWXyCvdEUg==/109951173646389004.jpg</x:v>
      </x:c>
      <x:c r="X342" t="str">
        <x:v>https://music.163.com/discover/toplist?id=2884035</x:v>
      </x:c>
      <x:c r="Y342" t="str">
        <x:v>https://music.163.com/api/playlist/detail?id=2884035&amp;n=100</x:v>
      </x:c>
      <x:c r="Z342" s="24" t="str">
        <x:f>IFERROR(VLOOKUP(F342,'07_字典与参数'!$A$5:$E$10,3,FALSE),"待映射")</x:f>
        <x:v>网易云音乐</x:v>
      </x:c>
      <x:c r="AA342" s="24" t="str">
        <x:f>IFERROR(VLOOKUP(F342,'07_字典与参数'!$A$5:$E$10,2,FALSE),"待映射")</x:f>
        <x:v>原创榜</x:v>
      </x:c>
      <x:c r="AB342" s="24" t="str">
        <x:f>IFERROR(VLOOKUP(F342,'07_字典与参数'!$A$5:$E$10,4,FALSE),"待映射")</x:f>
        <x:v>每周四</x:v>
      </x:c>
      <x:c r="AC342" s="24" t="str">
        <x:f>D342&amp;"|"&amp;F342&amp;"|"&amp;L342</x:f>
        <x:v>netease_cloud_music|original|3387477661</x:v>
      </x:c>
      <x:c r="AD342" s="24" t="str">
        <x:f>IF(J342&lt;=10,"是","否")</x:f>
        <x:v>否</x:v>
      </x:c>
      <x:c r="AE342" s="24" t="n">
        <x:f>IFERROR(YEAR(R342),"缺失")</x:f>
        <x:v>2026</x:v>
      </x:c>
    </x:row>
    <x:row r="343">
      <x:c r="A343" t="str">
        <x:v>20260812T132133+0800</x:v>
      </x:c>
      <x:c r="B343" t="n">
        <x:v>46246.22329861111</x:v>
      </x:c>
      <x:c r="C343" t="str">
        <x:v>2026-08-06</x:v>
      </x:c>
      <x:c r="D343" t="str">
        <x:v>netease_cloud_music</x:v>
      </x:c>
      <x:c r="E343" t="str">
        <x:v>CN</x:v>
      </x:c>
      <x:c r="F343" t="str">
        <x:v>original</x:v>
      </x:c>
      <x:c r="G343" t="str">
        <x:v>原创榜</x:v>
      </x:c>
      <x:c r="H343" t="str">
        <x:v>2884035</x:v>
      </x:c>
      <x:c r="I343" t="n">
        <x:v>100</x:v>
      </x:c>
      <x:c r="J343" t="n">
        <x:v>39</x:v>
      </x:c>
      <x:c r="K343" t="n">
        <x:v>62</x:v>
      </x:c>
      <x:c r="L343" t="str">
        <x:v>3415455949</x:v>
      </x:c>
      <x:c r="M343" t="str">
        <x:v>夜唱夜唱雾茫茫</x:v>
      </x:c>
      <x:c r="N343" t="str">
        <x:v>12093674 | 100103828 | 59655434</x:v>
      </x:c>
      <x:c r="O343" t="str">
        <x:v>海鲜面 | 青萝钰珂 | 洛天依</x:v>
      </x:c>
      <x:c r="P343" t="str">
        <x:v>390307056</x:v>
      </x:c>
      <x:c r="Q343" t="str">
        <x:v>不具名的习作</x:v>
      </x:c>
      <x:c r="R343" t="str"/>
      <x:c r="S343" t="str"/>
      <x:c r="T343"/>
      <x:c r="U343"/>
      <x:c r="V343" t="str">
        <x:v>https://music.163.com/song?id=3415455949</x:v>
      </x:c>
      <x:c r="W343" t="str">
        <x:v>http://p2.music.126.net/zoSTNIiu036taww0T1R3OQ==/109951173681892717.jpg</x:v>
      </x:c>
      <x:c r="X343" t="str">
        <x:v>https://music.163.com/discover/toplist?id=2884035</x:v>
      </x:c>
      <x:c r="Y343" t="str">
        <x:v>https://music.163.com/api/playlist/detail?id=2884035&amp;n=100</x:v>
      </x:c>
      <x:c r="Z343" s="24" t="str">
        <x:f>IFERROR(VLOOKUP(F343,'07_字典与参数'!$A$5:$E$10,3,FALSE),"待映射")</x:f>
        <x:v>网易云音乐</x:v>
      </x:c>
      <x:c r="AA343" s="24" t="str">
        <x:f>IFERROR(VLOOKUP(F343,'07_字典与参数'!$A$5:$E$10,2,FALSE),"待映射")</x:f>
        <x:v>原创榜</x:v>
      </x:c>
      <x:c r="AB343" s="24" t="str">
        <x:f>IFERROR(VLOOKUP(F343,'07_字典与参数'!$A$5:$E$10,4,FALSE),"待映射")</x:f>
        <x:v>每周四</x:v>
      </x:c>
      <x:c r="AC343" s="24" t="str">
        <x:f>D343&amp;"|"&amp;F343&amp;"|"&amp;L343</x:f>
        <x:v>netease_cloud_music|original|3415455949</x:v>
      </x:c>
      <x:c r="AD343" s="24" t="str">
        <x:f>IF(J343&lt;=10,"是","否")</x:f>
        <x:v>否</x:v>
      </x:c>
      <x:c r="AE343" s="24" t="str">
        <x:f>IFERROR(YEAR(R343),"缺失")</x:f>
        <x:v>缺失</x:v>
      </x:c>
    </x:row>
    <x:row r="344">
      <x:c r="A344" t="str">
        <x:v>20260812T132133+0800</x:v>
      </x:c>
      <x:c r="B344" t="n">
        <x:v>46246.22329861111</x:v>
      </x:c>
      <x:c r="C344" t="str">
        <x:v>2026-08-06</x:v>
      </x:c>
      <x:c r="D344" t="str">
        <x:v>netease_cloud_music</x:v>
      </x:c>
      <x:c r="E344" t="str">
        <x:v>CN</x:v>
      </x:c>
      <x:c r="F344" t="str">
        <x:v>original</x:v>
      </x:c>
      <x:c r="G344" t="str">
        <x:v>原创榜</x:v>
      </x:c>
      <x:c r="H344" t="str">
        <x:v>2884035</x:v>
      </x:c>
      <x:c r="I344" t="n">
        <x:v>100</x:v>
      </x:c>
      <x:c r="J344" t="n">
        <x:v>40</x:v>
      </x:c>
      <x:c r="K344" t="n">
        <x:v>61</x:v>
      </x:c>
      <x:c r="L344" t="str">
        <x:v>3411196334</x:v>
      </x:c>
      <x:c r="M344" t="str">
        <x:v>Dats Me (通通是我)  (Live)</x:v>
      </x:c>
      <x:c r="N344" t="str">
        <x:v>49141872</x:v>
      </x:c>
      <x:c r="O344" t="str">
        <x:v>Top Barry</x:v>
      </x:c>
      <x:c r="P344" t="str">
        <x:v>388942253</x:v>
      </x:c>
      <x:c r="Q344" t="str">
        <x:v>说唱巅峰对决2026 第五期</x:v>
      </x:c>
      <x:c r="R344" t="str"/>
      <x:c r="S344" t="str"/>
      <x:c r="T344" t="n">
        <x:v>4</x:v>
      </x:c>
      <x:c r="U344" t="n">
        <x:v>-36</x:v>
      </x:c>
      <x:c r="V344" t="str">
        <x:v>https://music.163.com/song?id=3411196334</x:v>
      </x:c>
      <x:c r="W344" t="str">
        <x:v>http://p2.music.126.net/KnyQp7HJbamMIrBo12yPOA==/109951173634722873.jpg</x:v>
      </x:c>
      <x:c r="X344" t="str">
        <x:v>https://music.163.com/discover/toplist?id=2884035</x:v>
      </x:c>
      <x:c r="Y344" t="str">
        <x:v>https://music.163.com/api/playlist/detail?id=2884035&amp;n=100</x:v>
      </x:c>
      <x:c r="Z344" s="24" t="str">
        <x:f>IFERROR(VLOOKUP(F344,'07_字典与参数'!$A$5:$E$10,3,FALSE),"待映射")</x:f>
        <x:v>网易云音乐</x:v>
      </x:c>
      <x:c r="AA344" s="24" t="str">
        <x:f>IFERROR(VLOOKUP(F344,'07_字典与参数'!$A$5:$E$10,2,FALSE),"待映射")</x:f>
        <x:v>原创榜</x:v>
      </x:c>
      <x:c r="AB344" s="24" t="str">
        <x:f>IFERROR(VLOOKUP(F344,'07_字典与参数'!$A$5:$E$10,4,FALSE),"待映射")</x:f>
        <x:v>每周四</x:v>
      </x:c>
      <x:c r="AC344" s="24" t="str">
        <x:f>D344&amp;"|"&amp;F344&amp;"|"&amp;L344</x:f>
        <x:v>netease_cloud_music|original|3411196334</x:v>
      </x:c>
      <x:c r="AD344" s="24" t="str">
        <x:f>IF(J344&lt;=10,"是","否")</x:f>
        <x:v>否</x:v>
      </x:c>
      <x:c r="AE344" s="24" t="str">
        <x:f>IFERROR(YEAR(R344),"缺失")</x:f>
        <x:v>缺失</x:v>
      </x:c>
    </x:row>
    <x:row r="345">
      <x:c r="A345" t="str">
        <x:v>20260812T132133+0800</x:v>
      </x:c>
      <x:c r="B345" t="n">
        <x:v>46246.22329861111</x:v>
      </x:c>
      <x:c r="C345" t="str">
        <x:v>2026-08-06</x:v>
      </x:c>
      <x:c r="D345" t="str">
        <x:v>netease_cloud_music</x:v>
      </x:c>
      <x:c r="E345" t="str">
        <x:v>CN</x:v>
      </x:c>
      <x:c r="F345" t="str">
        <x:v>original</x:v>
      </x:c>
      <x:c r="G345" t="str">
        <x:v>原创榜</x:v>
      </x:c>
      <x:c r="H345" t="str">
        <x:v>2884035</x:v>
      </x:c>
      <x:c r="I345" t="n">
        <x:v>100</x:v>
      </x:c>
      <x:c r="J345" t="n">
        <x:v>41</x:v>
      </x:c>
      <x:c r="K345" t="n">
        <x:v>60</x:v>
      </x:c>
      <x:c r="L345" t="str">
        <x:v>3412017374</x:v>
      </x:c>
      <x:c r="M345" t="str">
        <x:v>若夏日终将完结</x:v>
      </x:c>
      <x:c r="N345" t="str">
        <x:v>51178202 | 59655434</x:v>
      </x:c>
      <x:c r="O345" t="str">
        <x:v>Henry_28 | 洛天依</x:v>
      </x:c>
      <x:c r="P345" t="str">
        <x:v>389241393</x:v>
      </x:c>
      <x:c r="Q345" t="str">
        <x:v>若夏日终将完结</x:v>
      </x:c>
      <x:c r="R345" t="str"/>
      <x:c r="S345" t="str"/>
      <x:c r="T345"/>
      <x:c r="U345"/>
      <x:c r="V345" t="str">
        <x:v>https://music.163.com/song?id=3412017374</x:v>
      </x:c>
      <x:c r="W345" t="str">
        <x:v>http://p2.music.126.net/fl_6HPi96vo_uuynwT1zDw==/109951173646165628.jpg</x:v>
      </x:c>
      <x:c r="X345" t="str">
        <x:v>https://music.163.com/discover/toplist?id=2884035</x:v>
      </x:c>
      <x:c r="Y345" t="str">
        <x:v>https://music.163.com/api/playlist/detail?id=2884035&amp;n=100</x:v>
      </x:c>
      <x:c r="Z345" s="24" t="str">
        <x:f>IFERROR(VLOOKUP(F345,'07_字典与参数'!$A$5:$E$10,3,FALSE),"待映射")</x:f>
        <x:v>网易云音乐</x:v>
      </x:c>
      <x:c r="AA345" s="24" t="str">
        <x:f>IFERROR(VLOOKUP(F345,'07_字典与参数'!$A$5:$E$10,2,FALSE),"待映射")</x:f>
        <x:v>原创榜</x:v>
      </x:c>
      <x:c r="AB345" s="24" t="str">
        <x:f>IFERROR(VLOOKUP(F345,'07_字典与参数'!$A$5:$E$10,4,FALSE),"待映射")</x:f>
        <x:v>每周四</x:v>
      </x:c>
      <x:c r="AC345" s="24" t="str">
        <x:f>D345&amp;"|"&amp;F345&amp;"|"&amp;L345</x:f>
        <x:v>netease_cloud_music|original|3412017374</x:v>
      </x:c>
      <x:c r="AD345" s="24" t="str">
        <x:f>IF(J345&lt;=10,"是","否")</x:f>
        <x:v>否</x:v>
      </x:c>
      <x:c r="AE345" s="24" t="str">
        <x:f>IFERROR(YEAR(R345),"缺失")</x:f>
        <x:v>缺失</x:v>
      </x:c>
    </x:row>
    <x:row r="346">
      <x:c r="A346" t="str">
        <x:v>20260812T132133+0800</x:v>
      </x:c>
      <x:c r="B346" t="n">
        <x:v>46246.22329861111</x:v>
      </x:c>
      <x:c r="C346" t="str">
        <x:v>2026-08-06</x:v>
      </x:c>
      <x:c r="D346" t="str">
        <x:v>netease_cloud_music</x:v>
      </x:c>
      <x:c r="E346" t="str">
        <x:v>CN</x:v>
      </x:c>
      <x:c r="F346" t="str">
        <x:v>original</x:v>
      </x:c>
      <x:c r="G346" t="str">
        <x:v>原创榜</x:v>
      </x:c>
      <x:c r="H346" t="str">
        <x:v>2884035</x:v>
      </x:c>
      <x:c r="I346" t="n">
        <x:v>100</x:v>
      </x:c>
      <x:c r="J346" t="n">
        <x:v>42</x:v>
      </x:c>
      <x:c r="K346" t="n">
        <x:v>59</x:v>
      </x:c>
      <x:c r="L346" t="str">
        <x:v>3412604611</x:v>
      </x:c>
      <x:c r="M346" t="str">
        <x:v>Same Problems</x:v>
      </x:c>
      <x:c r="N346" t="str">
        <x:v>37125681</x:v>
      </x:c>
      <x:c r="O346" t="str">
        <x:v>Young Cash Jason</x:v>
      </x:c>
      <x:c r="P346" t="str">
        <x:v>389463819</x:v>
      </x:c>
      <x:c r="Q346" t="str">
        <x:v>Ain’t Enough</x:v>
      </x:c>
      <x:c r="R346" t="str">
        <x:v>2026-07-31</x:v>
      </x:c>
      <x:c r="S346" t="str"/>
      <x:c r="T346"/>
      <x:c r="U346"/>
      <x:c r="V346" t="str">
        <x:v>https://music.163.com/song?id=3412604611</x:v>
      </x:c>
      <x:c r="W346" t="str">
        <x:v>http://p2.music.126.net/hgkEcEydIA6SjM6fiTDM6g==/109951173652197760.jpg</x:v>
      </x:c>
      <x:c r="X346" t="str">
        <x:v>https://music.163.com/discover/toplist?id=2884035</x:v>
      </x:c>
      <x:c r="Y346" t="str">
        <x:v>https://music.163.com/api/playlist/detail?id=2884035&amp;n=100</x:v>
      </x:c>
      <x:c r="Z346" s="24" t="str">
        <x:f>IFERROR(VLOOKUP(F346,'07_字典与参数'!$A$5:$E$10,3,FALSE),"待映射")</x:f>
        <x:v>网易云音乐</x:v>
      </x:c>
      <x:c r="AA346" s="24" t="str">
        <x:f>IFERROR(VLOOKUP(F346,'07_字典与参数'!$A$5:$E$10,2,FALSE),"待映射")</x:f>
        <x:v>原创榜</x:v>
      </x:c>
      <x:c r="AB346" s="24" t="str">
        <x:f>IFERROR(VLOOKUP(F346,'07_字典与参数'!$A$5:$E$10,4,FALSE),"待映射")</x:f>
        <x:v>每周四</x:v>
      </x:c>
      <x:c r="AC346" s="24" t="str">
        <x:f>D346&amp;"|"&amp;F346&amp;"|"&amp;L346</x:f>
        <x:v>netease_cloud_music|original|3412604611</x:v>
      </x:c>
      <x:c r="AD346" s="24" t="str">
        <x:f>IF(J346&lt;=10,"是","否")</x:f>
        <x:v>否</x:v>
      </x:c>
      <x:c r="AE346" s="24" t="n">
        <x:f>IFERROR(YEAR(R346),"缺失")</x:f>
        <x:v>2026</x:v>
      </x:c>
    </x:row>
    <x:row r="347">
      <x:c r="A347" t="str">
        <x:v>20260812T132133+0800</x:v>
      </x:c>
      <x:c r="B347" t="n">
        <x:v>46246.22329861111</x:v>
      </x:c>
      <x:c r="C347" t="str">
        <x:v>2026-08-06</x:v>
      </x:c>
      <x:c r="D347" t="str">
        <x:v>netease_cloud_music</x:v>
      </x:c>
      <x:c r="E347" t="str">
        <x:v>CN</x:v>
      </x:c>
      <x:c r="F347" t="str">
        <x:v>original</x:v>
      </x:c>
      <x:c r="G347" t="str">
        <x:v>原创榜</x:v>
      </x:c>
      <x:c r="H347" t="str">
        <x:v>2884035</x:v>
      </x:c>
      <x:c r="I347" t="n">
        <x:v>100</x:v>
      </x:c>
      <x:c r="J347" t="n">
        <x:v>43</x:v>
      </x:c>
      <x:c r="K347" t="n">
        <x:v>58</x:v>
      </x:c>
      <x:c r="L347" t="str">
        <x:v>3414139965</x:v>
      </x:c>
      <x:c r="M347" t="str">
        <x:v>我不是蜘蛛侠</x:v>
      </x:c>
      <x:c r="N347" t="str">
        <x:v>57182642</x:v>
      </x:c>
      <x:c r="O347" t="str">
        <x:v>蜥蜴lizard</x:v>
      </x:c>
      <x:c r="P347" t="str">
        <x:v>389898109</x:v>
      </x:c>
      <x:c r="Q347" t="str">
        <x:v>我不是蜘蛛侠</x:v>
      </x:c>
      <x:c r="R347" t="str"/>
      <x:c r="S347" t="str"/>
      <x:c r="T347"/>
      <x:c r="U347"/>
      <x:c r="V347" t="str">
        <x:v>https://music.163.com/song?id=3414139965</x:v>
      </x:c>
      <x:c r="W347" t="str">
        <x:v>http://p2.music.126.net/cTCuUYacp0k0DZz7h_wI4w==/109951173668708719.jpg</x:v>
      </x:c>
      <x:c r="X347" t="str">
        <x:v>https://music.163.com/discover/toplist?id=2884035</x:v>
      </x:c>
      <x:c r="Y347" t="str">
        <x:v>https://music.163.com/api/playlist/detail?id=2884035&amp;n=100</x:v>
      </x:c>
      <x:c r="Z347" s="24" t="str">
        <x:f>IFERROR(VLOOKUP(F347,'07_字典与参数'!$A$5:$E$10,3,FALSE),"待映射")</x:f>
        <x:v>网易云音乐</x:v>
      </x:c>
      <x:c r="AA347" s="24" t="str">
        <x:f>IFERROR(VLOOKUP(F347,'07_字典与参数'!$A$5:$E$10,2,FALSE),"待映射")</x:f>
        <x:v>原创榜</x:v>
      </x:c>
      <x:c r="AB347" s="24" t="str">
        <x:f>IFERROR(VLOOKUP(F347,'07_字典与参数'!$A$5:$E$10,4,FALSE),"待映射")</x:f>
        <x:v>每周四</x:v>
      </x:c>
      <x:c r="AC347" s="24" t="str">
        <x:f>D347&amp;"|"&amp;F347&amp;"|"&amp;L347</x:f>
        <x:v>netease_cloud_music|original|3414139965</x:v>
      </x:c>
      <x:c r="AD347" s="24" t="str">
        <x:f>IF(J347&lt;=10,"是","否")</x:f>
        <x:v>否</x:v>
      </x:c>
      <x:c r="AE347" s="24" t="str">
        <x:f>IFERROR(YEAR(R347),"缺失")</x:f>
        <x:v>缺失</x:v>
      </x:c>
    </x:row>
    <x:row r="348">
      <x:c r="A348" t="str">
        <x:v>20260812T132133+0800</x:v>
      </x:c>
      <x:c r="B348" t="n">
        <x:v>46246.22329861111</x:v>
      </x:c>
      <x:c r="C348" t="str">
        <x:v>2026-08-06</x:v>
      </x:c>
      <x:c r="D348" t="str">
        <x:v>netease_cloud_music</x:v>
      </x:c>
      <x:c r="E348" t="str">
        <x:v>CN</x:v>
      </x:c>
      <x:c r="F348" t="str">
        <x:v>original</x:v>
      </x:c>
      <x:c r="G348" t="str">
        <x:v>原创榜</x:v>
      </x:c>
      <x:c r="H348" t="str">
        <x:v>2884035</x:v>
      </x:c>
      <x:c r="I348" t="n">
        <x:v>100</x:v>
      </x:c>
      <x:c r="J348" t="n">
        <x:v>44</x:v>
      </x:c>
      <x:c r="K348" t="n">
        <x:v>57</x:v>
      </x:c>
      <x:c r="L348" t="str">
        <x:v>3412602931</x:v>
      </x:c>
      <x:c r="M348" t="str">
        <x:v>忘了吗忘了吧</x:v>
      </x:c>
      <x:c r="N348" t="str">
        <x:v>12072094 | 33709222</x:v>
      </x:c>
      <x:c r="O348" t="str">
        <x:v>张颜齐 | 姚晓棠</x:v>
      </x:c>
      <x:c r="P348" t="str">
        <x:v>389463434</x:v>
      </x:c>
      <x:c r="Q348" t="str">
        <x:v>忘了吗忘了吧·开始奏乐开始舞</x:v>
      </x:c>
      <x:c r="R348" t="str">
        <x:v>2026-08-02</x:v>
      </x:c>
      <x:c r="S348" t="str"/>
      <x:c r="T348"/>
      <x:c r="U348"/>
      <x:c r="V348" t="str">
        <x:v>https://music.163.com/song?id=3412602931</x:v>
      </x:c>
      <x:c r="W348" t="str">
        <x:v>http://p2.music.126.net/uDWMoeuILz4xXTVRGuBExg==/109951173652172426.jpg</x:v>
      </x:c>
      <x:c r="X348" t="str">
        <x:v>https://music.163.com/discover/toplist?id=2884035</x:v>
      </x:c>
      <x:c r="Y348" t="str">
        <x:v>https://music.163.com/api/playlist/detail?id=2884035&amp;n=100</x:v>
      </x:c>
      <x:c r="Z348" s="24" t="str">
        <x:f>IFERROR(VLOOKUP(F348,'07_字典与参数'!$A$5:$E$10,3,FALSE),"待映射")</x:f>
        <x:v>网易云音乐</x:v>
      </x:c>
      <x:c r="AA348" s="24" t="str">
        <x:f>IFERROR(VLOOKUP(F348,'07_字典与参数'!$A$5:$E$10,2,FALSE),"待映射")</x:f>
        <x:v>原创榜</x:v>
      </x:c>
      <x:c r="AB348" s="24" t="str">
        <x:f>IFERROR(VLOOKUP(F348,'07_字典与参数'!$A$5:$E$10,4,FALSE),"待映射")</x:f>
        <x:v>每周四</x:v>
      </x:c>
      <x:c r="AC348" s="24" t="str">
        <x:f>D348&amp;"|"&amp;F348&amp;"|"&amp;L348</x:f>
        <x:v>netease_cloud_music|original|3412602931</x:v>
      </x:c>
      <x:c r="AD348" s="24" t="str">
        <x:f>IF(J348&lt;=10,"是","否")</x:f>
        <x:v>否</x:v>
      </x:c>
      <x:c r="AE348" s="24" t="n">
        <x:f>IFERROR(YEAR(R348),"缺失")</x:f>
        <x:v>2026</x:v>
      </x:c>
    </x:row>
    <x:row r="349">
      <x:c r="A349" t="str">
        <x:v>20260812T132133+0800</x:v>
      </x:c>
      <x:c r="B349" t="n">
        <x:v>46246.22329861111</x:v>
      </x:c>
      <x:c r="C349" t="str">
        <x:v>2026-08-06</x:v>
      </x:c>
      <x:c r="D349" t="str">
        <x:v>netease_cloud_music</x:v>
      </x:c>
      <x:c r="E349" t="str">
        <x:v>CN</x:v>
      </x:c>
      <x:c r="F349" t="str">
        <x:v>original</x:v>
      </x:c>
      <x:c r="G349" t="str">
        <x:v>原创榜</x:v>
      </x:c>
      <x:c r="H349" t="str">
        <x:v>2884035</x:v>
      </x:c>
      <x:c r="I349" t="n">
        <x:v>100</x:v>
      </x:c>
      <x:c r="J349" t="n">
        <x:v>45</x:v>
      </x:c>
      <x:c r="K349" t="n">
        <x:v>56</x:v>
      </x:c>
      <x:c r="L349" t="str">
        <x:v>3412016538</x:v>
      </x:c>
      <x:c r="M349" t="str">
        <x:v>Tie-Dyeing扎染</x:v>
      </x:c>
      <x:c r="N349" t="str">
        <x:v>14018235</x:v>
      </x:c>
      <x:c r="O349" t="str">
        <x:v>黄之仪Kyra Zilver</x:v>
      </x:c>
      <x:c r="P349" t="str">
        <x:v>389260933</x:v>
      </x:c>
      <x:c r="Q349" t="str">
        <x:v>Tie-Dyeing扎染</x:v>
      </x:c>
      <x:c r="R349" t="str">
        <x:v>2026-07-31</x:v>
      </x:c>
      <x:c r="S349" t="str"/>
      <x:c r="T349"/>
      <x:c r="U349"/>
      <x:c r="V349" t="str">
        <x:v>https://music.163.com/song?id=3412016538</x:v>
      </x:c>
      <x:c r="W349" t="str">
        <x:v>http://p2.music.126.net/XIBj7kDGHlzTZqUSou8bWA==/109951173646300486.jpg</x:v>
      </x:c>
      <x:c r="X349" t="str">
        <x:v>https://music.163.com/discover/toplist?id=2884035</x:v>
      </x:c>
      <x:c r="Y349" t="str">
        <x:v>https://music.163.com/api/playlist/detail?id=2884035&amp;n=100</x:v>
      </x:c>
      <x:c r="Z349" s="24" t="str">
        <x:f>IFERROR(VLOOKUP(F349,'07_字典与参数'!$A$5:$E$10,3,FALSE),"待映射")</x:f>
        <x:v>网易云音乐</x:v>
      </x:c>
      <x:c r="AA349" s="24" t="str">
        <x:f>IFERROR(VLOOKUP(F349,'07_字典与参数'!$A$5:$E$10,2,FALSE),"待映射")</x:f>
        <x:v>原创榜</x:v>
      </x:c>
      <x:c r="AB349" s="24" t="str">
        <x:f>IFERROR(VLOOKUP(F349,'07_字典与参数'!$A$5:$E$10,4,FALSE),"待映射")</x:f>
        <x:v>每周四</x:v>
      </x:c>
      <x:c r="AC349" s="24" t="str">
        <x:f>D349&amp;"|"&amp;F349&amp;"|"&amp;L349</x:f>
        <x:v>netease_cloud_music|original|3412016538</x:v>
      </x:c>
      <x:c r="AD349" s="24" t="str">
        <x:f>IF(J349&lt;=10,"是","否")</x:f>
        <x:v>否</x:v>
      </x:c>
      <x:c r="AE349" s="24" t="n">
        <x:f>IFERROR(YEAR(R349),"缺失")</x:f>
        <x:v>2026</x:v>
      </x:c>
    </x:row>
    <x:row r="350">
      <x:c r="A350" t="str">
        <x:v>20260812T132133+0800</x:v>
      </x:c>
      <x:c r="B350" t="n">
        <x:v>46246.22329861111</x:v>
      </x:c>
      <x:c r="C350" t="str">
        <x:v>2026-08-06</x:v>
      </x:c>
      <x:c r="D350" t="str">
        <x:v>netease_cloud_music</x:v>
      </x:c>
      <x:c r="E350" t="str">
        <x:v>CN</x:v>
      </x:c>
      <x:c r="F350" t="str">
        <x:v>original</x:v>
      </x:c>
      <x:c r="G350" t="str">
        <x:v>原创榜</x:v>
      </x:c>
      <x:c r="H350" t="str">
        <x:v>2884035</x:v>
      </x:c>
      <x:c r="I350" t="n">
        <x:v>100</x:v>
      </x:c>
      <x:c r="J350" t="n">
        <x:v>46</x:v>
      </x:c>
      <x:c r="K350" t="n">
        <x:v>55</x:v>
      </x:c>
      <x:c r="L350" t="str">
        <x:v>3407463190</x:v>
      </x:c>
      <x:c r="M350" t="str">
        <x:v>夏日尽头的我们</x:v>
      </x:c>
      <x:c r="N350" t="str">
        <x:v>94823802 | 121543554</x:v>
      </x:c>
      <x:c r="O350" t="str">
        <x:v>KONI可妮 | 内向懒懒</x:v>
      </x:c>
      <x:c r="P350" t="str">
        <x:v>387412728</x:v>
      </x:c>
      <x:c r="Q350" t="str">
        <x:v>夏日尽头的我们</x:v>
      </x:c>
      <x:c r="R350" t="str">
        <x:v>2026-07-16</x:v>
      </x:c>
      <x:c r="S350" t="str"/>
      <x:c r="T350"/>
      <x:c r="U350"/>
      <x:c r="V350" t="str">
        <x:v>https://music.163.com/song?id=3407463190</x:v>
      </x:c>
      <x:c r="W350" t="str">
        <x:v>http://p2.music.126.net/YuAmnP9HVwuOSZqk3BMtBA==/109951173570615193.jpg</x:v>
      </x:c>
      <x:c r="X350" t="str">
        <x:v>https://music.163.com/discover/toplist?id=2884035</x:v>
      </x:c>
      <x:c r="Y350" t="str">
        <x:v>https://music.163.com/api/playlist/detail?id=2884035&amp;n=100</x:v>
      </x:c>
      <x:c r="Z350" s="24" t="str">
        <x:f>IFERROR(VLOOKUP(F350,'07_字典与参数'!$A$5:$E$10,3,FALSE),"待映射")</x:f>
        <x:v>网易云音乐</x:v>
      </x:c>
      <x:c r="AA350" s="24" t="str">
        <x:f>IFERROR(VLOOKUP(F350,'07_字典与参数'!$A$5:$E$10,2,FALSE),"待映射")</x:f>
        <x:v>原创榜</x:v>
      </x:c>
      <x:c r="AB350" s="24" t="str">
        <x:f>IFERROR(VLOOKUP(F350,'07_字典与参数'!$A$5:$E$10,4,FALSE),"待映射")</x:f>
        <x:v>每周四</x:v>
      </x:c>
      <x:c r="AC350" s="24" t="str">
        <x:f>D350&amp;"|"&amp;F350&amp;"|"&amp;L350</x:f>
        <x:v>netease_cloud_music|original|3407463190</x:v>
      </x:c>
      <x:c r="AD350" s="24" t="str">
        <x:f>IF(J350&lt;=10,"是","否")</x:f>
        <x:v>否</x:v>
      </x:c>
      <x:c r="AE350" s="24" t="n">
        <x:f>IFERROR(YEAR(R350),"缺失")</x:f>
        <x:v>2026</x:v>
      </x:c>
    </x:row>
    <x:row r="351">
      <x:c r="A351" t="str">
        <x:v>20260812T132133+0800</x:v>
      </x:c>
      <x:c r="B351" t="n">
        <x:v>46246.22329861111</x:v>
      </x:c>
      <x:c r="C351" t="str">
        <x:v>2026-08-06</x:v>
      </x:c>
      <x:c r="D351" t="str">
        <x:v>netease_cloud_music</x:v>
      </x:c>
      <x:c r="E351" t="str">
        <x:v>CN</x:v>
      </x:c>
      <x:c r="F351" t="str">
        <x:v>original</x:v>
      </x:c>
      <x:c r="G351" t="str">
        <x:v>原创榜</x:v>
      </x:c>
      <x:c r="H351" t="str">
        <x:v>2884035</x:v>
      </x:c>
      <x:c r="I351" t="n">
        <x:v>100</x:v>
      </x:c>
      <x:c r="J351" t="n">
        <x:v>47</x:v>
      </x:c>
      <x:c r="K351" t="n">
        <x:v>54</x:v>
      </x:c>
      <x:c r="L351" t="str">
        <x:v>3404238777</x:v>
      </x:c>
      <x:c r="M351" t="str">
        <x:v>周旋</x:v>
      </x:c>
      <x:c r="N351" t="str">
        <x:v>12236125 | 1203045</x:v>
      </x:c>
      <x:c r="O351" t="str">
        <x:v>王以太 | 艾热 AIR</x:v>
      </x:c>
      <x:c r="P351" t="str">
        <x:v>386145067</x:v>
      </x:c>
      <x:c r="Q351" t="str">
        <x:v>太热爱</x:v>
      </x:c>
      <x:c r="R351" t="str">
        <x:v>2026-07-12</x:v>
      </x:c>
      <x:c r="S351" t="str"/>
      <x:c r="T351" t="n">
        <x:v>21</x:v>
      </x:c>
      <x:c r="U351" t="n">
        <x:v>-26</x:v>
      </x:c>
      <x:c r="V351" t="str">
        <x:v>https://music.163.com/song?id=3404238777</x:v>
      </x:c>
      <x:c r="W351" t="str">
        <x:v>http://p2.music.126.net/rDv1qod6MDsYcEHKtxCdAA==/109951173532089932.jpg</x:v>
      </x:c>
      <x:c r="X351" t="str">
        <x:v>https://music.163.com/discover/toplist?id=2884035</x:v>
      </x:c>
      <x:c r="Y351" t="str">
        <x:v>https://music.163.com/api/playlist/detail?id=2884035&amp;n=100</x:v>
      </x:c>
      <x:c r="Z351" s="24" t="str">
        <x:f>IFERROR(VLOOKUP(F351,'07_字典与参数'!$A$5:$E$10,3,FALSE),"待映射")</x:f>
        <x:v>网易云音乐</x:v>
      </x:c>
      <x:c r="AA351" s="24" t="str">
        <x:f>IFERROR(VLOOKUP(F351,'07_字典与参数'!$A$5:$E$10,2,FALSE),"待映射")</x:f>
        <x:v>原创榜</x:v>
      </x:c>
      <x:c r="AB351" s="24" t="str">
        <x:f>IFERROR(VLOOKUP(F351,'07_字典与参数'!$A$5:$E$10,4,FALSE),"待映射")</x:f>
        <x:v>每周四</x:v>
      </x:c>
      <x:c r="AC351" s="24" t="str">
        <x:f>D351&amp;"|"&amp;F351&amp;"|"&amp;L351</x:f>
        <x:v>netease_cloud_music|original|3404238777</x:v>
      </x:c>
      <x:c r="AD351" s="24" t="str">
        <x:f>IF(J351&lt;=10,"是","否")</x:f>
        <x:v>否</x:v>
      </x:c>
      <x:c r="AE351" s="24" t="n">
        <x:f>IFERROR(YEAR(R351),"缺失")</x:f>
        <x:v>2026</x:v>
      </x:c>
    </x:row>
    <x:row r="352">
      <x:c r="A352" t="str">
        <x:v>20260812T132133+0800</x:v>
      </x:c>
      <x:c r="B352" t="n">
        <x:v>46246.22329861111</x:v>
      </x:c>
      <x:c r="C352" t="str">
        <x:v>2026-08-06</x:v>
      </x:c>
      <x:c r="D352" t="str">
        <x:v>netease_cloud_music</x:v>
      </x:c>
      <x:c r="E352" t="str">
        <x:v>CN</x:v>
      </x:c>
      <x:c r="F352" t="str">
        <x:v>original</x:v>
      </x:c>
      <x:c r="G352" t="str">
        <x:v>原创榜</x:v>
      </x:c>
      <x:c r="H352" t="str">
        <x:v>2884035</x:v>
      </x:c>
      <x:c r="I352" t="n">
        <x:v>100</x:v>
      </x:c>
      <x:c r="J352" t="n">
        <x:v>48</x:v>
      </x:c>
      <x:c r="K352" t="n">
        <x:v>53</x:v>
      </x:c>
      <x:c r="L352" t="str">
        <x:v>3394787375</x:v>
      </x:c>
      <x:c r="M352" t="str">
        <x:v>爱你是我的秘密</x:v>
      </x:c>
      <x:c r="N352" t="str">
        <x:v>34563784</x:v>
      </x:c>
      <x:c r="O352" t="str">
        <x:v>庄淇玟(29#)</x:v>
      </x:c>
      <x:c r="P352" t="str">
        <x:v>382178128</x:v>
      </x:c>
      <x:c r="Q352" t="str">
        <x:v>爱你是我的秘密</x:v>
      </x:c>
      <x:c r="R352" t="str">
        <x:v>2026-06-24</x:v>
      </x:c>
      <x:c r="S352" t="str"/>
      <x:c r="T352"/>
      <x:c r="U352"/>
      <x:c r="V352" t="str">
        <x:v>https://music.163.com/song?id=3394787375</x:v>
      </x:c>
      <x:c r="W352" t="str">
        <x:v>http://p2.music.126.net/Qi82vEKUSlGlMR0-v0-L4w==/109951173407075084.jpg</x:v>
      </x:c>
      <x:c r="X352" t="str">
        <x:v>https://music.163.com/discover/toplist?id=2884035</x:v>
      </x:c>
      <x:c r="Y352" t="str">
        <x:v>https://music.163.com/api/playlist/detail?id=2884035&amp;n=100</x:v>
      </x:c>
      <x:c r="Z352" s="24" t="str">
        <x:f>IFERROR(VLOOKUP(F352,'07_字典与参数'!$A$5:$E$10,3,FALSE),"待映射")</x:f>
        <x:v>网易云音乐</x:v>
      </x:c>
      <x:c r="AA352" s="24" t="str">
        <x:f>IFERROR(VLOOKUP(F352,'07_字典与参数'!$A$5:$E$10,2,FALSE),"待映射")</x:f>
        <x:v>原创榜</x:v>
      </x:c>
      <x:c r="AB352" s="24" t="str">
        <x:f>IFERROR(VLOOKUP(F352,'07_字典与参数'!$A$5:$E$10,4,FALSE),"待映射")</x:f>
        <x:v>每周四</x:v>
      </x:c>
      <x:c r="AC352" s="24" t="str">
        <x:f>D352&amp;"|"&amp;F352&amp;"|"&amp;L352</x:f>
        <x:v>netease_cloud_music|original|3394787375</x:v>
      </x:c>
      <x:c r="AD352" s="24" t="str">
        <x:f>IF(J352&lt;=10,"是","否")</x:f>
        <x:v>否</x:v>
      </x:c>
      <x:c r="AE352" s="24" t="n">
        <x:f>IFERROR(YEAR(R352),"缺失")</x:f>
        <x:v>2026</x:v>
      </x:c>
    </x:row>
    <x:row r="353">
      <x:c r="A353" t="str">
        <x:v>20260812T132133+0800</x:v>
      </x:c>
      <x:c r="B353" t="n">
        <x:v>46246.22329861111</x:v>
      </x:c>
      <x:c r="C353" t="str">
        <x:v>2026-08-06</x:v>
      </x:c>
      <x:c r="D353" t="str">
        <x:v>netease_cloud_music</x:v>
      </x:c>
      <x:c r="E353" t="str">
        <x:v>CN</x:v>
      </x:c>
      <x:c r="F353" t="str">
        <x:v>original</x:v>
      </x:c>
      <x:c r="G353" t="str">
        <x:v>原创榜</x:v>
      </x:c>
      <x:c r="H353" t="str">
        <x:v>2884035</x:v>
      </x:c>
      <x:c r="I353" t="n">
        <x:v>100</x:v>
      </x:c>
      <x:c r="J353" t="n">
        <x:v>49</x:v>
      </x:c>
      <x:c r="K353" t="n">
        <x:v>52</x:v>
      </x:c>
      <x:c r="L353" t="str">
        <x:v>3414700455</x:v>
      </x:c>
      <x:c r="M353" t="str">
        <x:v>别把夏天关掉</x:v>
      </x:c>
      <x:c r="N353" t="str">
        <x:v>127199748 | 59655434</x:v>
      </x:c>
      <x:c r="O353" t="str">
        <x:v>乐小君 | 洛天依</x:v>
      </x:c>
      <x:c r="P353" t="str">
        <x:v>390152234</x:v>
      </x:c>
      <x:c r="Q353" t="str">
        <x:v>别把夏天关掉</x:v>
      </x:c>
      <x:c r="R353" t="str"/>
      <x:c r="S353" t="str"/>
      <x:c r="T353"/>
      <x:c r="U353"/>
      <x:c r="V353" t="str">
        <x:v>https://music.163.com/song?id=3414700455</x:v>
      </x:c>
      <x:c r="W353" t="str">
        <x:v>http://p2.music.126.net/Os973VAjiKpway4R0-RfAg==/109951173674544679.jpg</x:v>
      </x:c>
      <x:c r="X353" t="str">
        <x:v>https://music.163.com/discover/toplist?id=2884035</x:v>
      </x:c>
      <x:c r="Y353" t="str">
        <x:v>https://music.163.com/api/playlist/detail?id=2884035&amp;n=100</x:v>
      </x:c>
      <x:c r="Z353" s="24" t="str">
        <x:f>IFERROR(VLOOKUP(F353,'07_字典与参数'!$A$5:$E$10,3,FALSE),"待映射")</x:f>
        <x:v>网易云音乐</x:v>
      </x:c>
      <x:c r="AA353" s="24" t="str">
        <x:f>IFERROR(VLOOKUP(F353,'07_字典与参数'!$A$5:$E$10,2,FALSE),"待映射")</x:f>
        <x:v>原创榜</x:v>
      </x:c>
      <x:c r="AB353" s="24" t="str">
        <x:f>IFERROR(VLOOKUP(F353,'07_字典与参数'!$A$5:$E$10,4,FALSE),"待映射")</x:f>
        <x:v>每周四</x:v>
      </x:c>
      <x:c r="AC353" s="24" t="str">
        <x:f>D353&amp;"|"&amp;F353&amp;"|"&amp;L353</x:f>
        <x:v>netease_cloud_music|original|3414700455</x:v>
      </x:c>
      <x:c r="AD353" s="24" t="str">
        <x:f>IF(J353&lt;=10,"是","否")</x:f>
        <x:v>否</x:v>
      </x:c>
      <x:c r="AE353" s="24" t="str">
        <x:f>IFERROR(YEAR(R353),"缺失")</x:f>
        <x:v>缺失</x:v>
      </x:c>
    </x:row>
    <x:row r="354">
      <x:c r="A354" t="str">
        <x:v>20260812T132133+0800</x:v>
      </x:c>
      <x:c r="B354" t="n">
        <x:v>46246.22329861111</x:v>
      </x:c>
      <x:c r="C354" t="str">
        <x:v>2026-08-06</x:v>
      </x:c>
      <x:c r="D354" t="str">
        <x:v>netease_cloud_music</x:v>
      </x:c>
      <x:c r="E354" t="str">
        <x:v>CN</x:v>
      </x:c>
      <x:c r="F354" t="str">
        <x:v>original</x:v>
      </x:c>
      <x:c r="G354" t="str">
        <x:v>原创榜</x:v>
      </x:c>
      <x:c r="H354" t="str">
        <x:v>2884035</x:v>
      </x:c>
      <x:c r="I354" t="n">
        <x:v>100</x:v>
      </x:c>
      <x:c r="J354" t="n">
        <x:v>50</x:v>
      </x:c>
      <x:c r="K354" t="n">
        <x:v>51</x:v>
      </x:c>
      <x:c r="L354" t="str">
        <x:v>3412016929</x:v>
      </x:c>
      <x:c r="M354" t="str">
        <x:v>守心枢</x:v>
      </x:c>
      <x:c r="N354" t="str">
        <x:v>122546004 | 35079062 | 1137383</x:v>
      </x:c>
      <x:c r="O354" t="str">
        <x:v>铁痕电台-MSR | LCwwww | Feryquitous</x:v>
      </x:c>
      <x:c r="P354" t="str">
        <x:v>389263178</x:v>
      </x:c>
      <x:c r="Q354" t="str">
        <x:v>向渊行OST</x:v>
      </x:c>
      <x:c r="R354" t="str">
        <x:v>2026-07-30</x:v>
      </x:c>
      <x:c r="S354" t="str"/>
      <x:c r="T354"/>
      <x:c r="U354"/>
      <x:c r="V354" t="str">
        <x:v>https://music.163.com/song?id=3412016929</x:v>
      </x:c>
      <x:c r="W354" t="str">
        <x:v>http://p2.music.126.net/JeTFAPiRJUPsIePP4GIqsw==/109951173645975399.jpg</x:v>
      </x:c>
      <x:c r="X354" t="str">
        <x:v>https://music.163.com/discover/toplist?id=2884035</x:v>
      </x:c>
      <x:c r="Y354" t="str">
        <x:v>https://music.163.com/api/playlist/detail?id=2884035&amp;n=100</x:v>
      </x:c>
      <x:c r="Z354" s="24" t="str">
        <x:f>IFERROR(VLOOKUP(F354,'07_字典与参数'!$A$5:$E$10,3,FALSE),"待映射")</x:f>
        <x:v>网易云音乐</x:v>
      </x:c>
      <x:c r="AA354" s="24" t="str">
        <x:f>IFERROR(VLOOKUP(F354,'07_字典与参数'!$A$5:$E$10,2,FALSE),"待映射")</x:f>
        <x:v>原创榜</x:v>
      </x:c>
      <x:c r="AB354" s="24" t="str">
        <x:f>IFERROR(VLOOKUP(F354,'07_字典与参数'!$A$5:$E$10,4,FALSE),"待映射")</x:f>
        <x:v>每周四</x:v>
      </x:c>
      <x:c r="AC354" s="24" t="str">
        <x:f>D354&amp;"|"&amp;F354&amp;"|"&amp;L354</x:f>
        <x:v>netease_cloud_music|original|3412016929</x:v>
      </x:c>
      <x:c r="AD354" s="24" t="str">
        <x:f>IF(J354&lt;=10,"是","否")</x:f>
        <x:v>否</x:v>
      </x:c>
      <x:c r="AE354" s="24" t="n">
        <x:f>IFERROR(YEAR(R354),"缺失")</x:f>
        <x:v>2026</x:v>
      </x:c>
    </x:row>
    <x:row r="355">
      <x:c r="A355" t="str">
        <x:v>20260812T132133+0800</x:v>
      </x:c>
      <x:c r="B355" t="n">
        <x:v>46246.22329861111</x:v>
      </x:c>
      <x:c r="C355" t="str">
        <x:v>2026-08-06</x:v>
      </x:c>
      <x:c r="D355" t="str">
        <x:v>netease_cloud_music</x:v>
      </x:c>
      <x:c r="E355" t="str">
        <x:v>CN</x:v>
      </x:c>
      <x:c r="F355" t="str">
        <x:v>original</x:v>
      </x:c>
      <x:c r="G355" t="str">
        <x:v>原创榜</x:v>
      </x:c>
      <x:c r="H355" t="str">
        <x:v>2884035</x:v>
      </x:c>
      <x:c r="I355" t="n">
        <x:v>100</x:v>
      </x:c>
      <x:c r="J355" t="n">
        <x:v>51</x:v>
      </x:c>
      <x:c r="K355" t="n">
        <x:v>50</x:v>
      </x:c>
      <x:c r="L355" t="str">
        <x:v>3412410345</x:v>
      </x:c>
      <x:c r="M355" t="str">
        <x:v>屡教不改</x:v>
      </x:c>
      <x:c r="N355" t="str">
        <x:v>13145283 | 13451886</x:v>
      </x:c>
      <x:c r="O355" t="str">
        <x:v>ICE杨长青 | JinJiBeWater_隼</x:v>
      </x:c>
      <x:c r="P355" t="str">
        <x:v>383211818</x:v>
      </x:c>
      <x:c r="Q355" t="str">
        <x:v>长青 (Deluxe)</x:v>
      </x:c>
      <x:c r="R355" t="str"/>
      <x:c r="S355" t="str"/>
      <x:c r="T355"/>
      <x:c r="U355"/>
      <x:c r="V355" t="str">
        <x:v>https://music.163.com/song?id=3412410345</x:v>
      </x:c>
      <x:c r="W355" t="str">
        <x:v>http://p2.music.126.net/2PdA8Q8YKtgDK1u5HPL8Sw==/109951173650298667.jpg</x:v>
      </x:c>
      <x:c r="X355" t="str">
        <x:v>https://music.163.com/discover/toplist?id=2884035</x:v>
      </x:c>
      <x:c r="Y355" t="str">
        <x:v>https://music.163.com/api/playlist/detail?id=2884035&amp;n=100</x:v>
      </x:c>
      <x:c r="Z355" s="24" t="str">
        <x:f>IFERROR(VLOOKUP(F355,'07_字典与参数'!$A$5:$E$10,3,FALSE),"待映射")</x:f>
        <x:v>网易云音乐</x:v>
      </x:c>
      <x:c r="AA355" s="24" t="str">
        <x:f>IFERROR(VLOOKUP(F355,'07_字典与参数'!$A$5:$E$10,2,FALSE),"待映射")</x:f>
        <x:v>原创榜</x:v>
      </x:c>
      <x:c r="AB355" s="24" t="str">
        <x:f>IFERROR(VLOOKUP(F355,'07_字典与参数'!$A$5:$E$10,4,FALSE),"待映射")</x:f>
        <x:v>每周四</x:v>
      </x:c>
      <x:c r="AC355" s="24" t="str">
        <x:f>D355&amp;"|"&amp;F355&amp;"|"&amp;L355</x:f>
        <x:v>netease_cloud_music|original|3412410345</x:v>
      </x:c>
      <x:c r="AD355" s="24" t="str">
        <x:f>IF(J355&lt;=10,"是","否")</x:f>
        <x:v>否</x:v>
      </x:c>
      <x:c r="AE355" s="24" t="str">
        <x:f>IFERROR(YEAR(R355),"缺失")</x:f>
        <x:v>缺失</x:v>
      </x:c>
    </x:row>
    <x:row r="356">
      <x:c r="A356" t="str">
        <x:v>20260812T132133+0800</x:v>
      </x:c>
      <x:c r="B356" t="n">
        <x:v>46246.22329861111</x:v>
      </x:c>
      <x:c r="C356" t="str">
        <x:v>2026-08-06</x:v>
      </x:c>
      <x:c r="D356" t="str">
        <x:v>netease_cloud_music</x:v>
      </x:c>
      <x:c r="E356" t="str">
        <x:v>CN</x:v>
      </x:c>
      <x:c r="F356" t="str">
        <x:v>original</x:v>
      </x:c>
      <x:c r="G356" t="str">
        <x:v>原创榜</x:v>
      </x:c>
      <x:c r="H356" t="str">
        <x:v>2884035</x:v>
      </x:c>
      <x:c r="I356" t="n">
        <x:v>100</x:v>
      </x:c>
      <x:c r="J356" t="n">
        <x:v>52</x:v>
      </x:c>
      <x:c r="K356" t="n">
        <x:v>49</x:v>
      </x:c>
      <x:c r="L356" t="str">
        <x:v>3411196464</x:v>
      </x:c>
      <x:c r="M356" t="str">
        <x:v>心碎双面胶 (Live)</x:v>
      </x:c>
      <x:c r="N356" t="str">
        <x:v>12065096</x:v>
      </x:c>
      <x:c r="O356" t="str">
        <x:v>黄旭BooM</x:v>
      </x:c>
      <x:c r="P356" t="str">
        <x:v>388942253</x:v>
      </x:c>
      <x:c r="Q356" t="str">
        <x:v>说唱巅峰对决2026 第五期</x:v>
      </x:c>
      <x:c r="R356" t="str"/>
      <x:c r="S356" t="str"/>
      <x:c r="T356" t="n">
        <x:v>6</x:v>
      </x:c>
      <x:c r="U356" t="n">
        <x:v>-46</x:v>
      </x:c>
      <x:c r="V356" t="str">
        <x:v>https://music.163.com/song?id=3411196464</x:v>
      </x:c>
      <x:c r="W356" t="str">
        <x:v>http://p2.music.126.net/KnyQp7HJbamMIrBo12yPOA==/109951173634722873.jpg</x:v>
      </x:c>
      <x:c r="X356" t="str">
        <x:v>https://music.163.com/discover/toplist?id=2884035</x:v>
      </x:c>
      <x:c r="Y356" t="str">
        <x:v>https://music.163.com/api/playlist/detail?id=2884035&amp;n=100</x:v>
      </x:c>
      <x:c r="Z356" s="24" t="str">
        <x:f>IFERROR(VLOOKUP(F356,'07_字典与参数'!$A$5:$E$10,3,FALSE),"待映射")</x:f>
        <x:v>网易云音乐</x:v>
      </x:c>
      <x:c r="AA356" s="24" t="str">
        <x:f>IFERROR(VLOOKUP(F356,'07_字典与参数'!$A$5:$E$10,2,FALSE),"待映射")</x:f>
        <x:v>原创榜</x:v>
      </x:c>
      <x:c r="AB356" s="24" t="str">
        <x:f>IFERROR(VLOOKUP(F356,'07_字典与参数'!$A$5:$E$10,4,FALSE),"待映射")</x:f>
        <x:v>每周四</x:v>
      </x:c>
      <x:c r="AC356" s="24" t="str">
        <x:f>D356&amp;"|"&amp;F356&amp;"|"&amp;L356</x:f>
        <x:v>netease_cloud_music|original|3411196464</x:v>
      </x:c>
      <x:c r="AD356" s="24" t="str">
        <x:f>IF(J356&lt;=10,"是","否")</x:f>
        <x:v>否</x:v>
      </x:c>
      <x:c r="AE356" s="24" t="str">
        <x:f>IFERROR(YEAR(R356),"缺失")</x:f>
        <x:v>缺失</x:v>
      </x:c>
    </x:row>
    <x:row r="357">
      <x:c r="A357" t="str">
        <x:v>20260812T132133+0800</x:v>
      </x:c>
      <x:c r="B357" t="n">
        <x:v>46246.22329861111</x:v>
      </x:c>
      <x:c r="C357" t="str">
        <x:v>2026-08-06</x:v>
      </x:c>
      <x:c r="D357" t="str">
        <x:v>netease_cloud_music</x:v>
      </x:c>
      <x:c r="E357" t="str">
        <x:v>CN</x:v>
      </x:c>
      <x:c r="F357" t="str">
        <x:v>original</x:v>
      </x:c>
      <x:c r="G357" t="str">
        <x:v>原创榜</x:v>
      </x:c>
      <x:c r="H357" t="str">
        <x:v>2884035</x:v>
      </x:c>
      <x:c r="I357" t="n">
        <x:v>100</x:v>
      </x:c>
      <x:c r="J357" t="n">
        <x:v>53</x:v>
      </x:c>
      <x:c r="K357" t="n">
        <x:v>48</x:v>
      </x:c>
      <x:c r="L357" t="str">
        <x:v>3394851493</x:v>
      </x:c>
      <x:c r="M357" t="str">
        <x:v>最后的借口</x:v>
      </x:c>
      <x:c r="N357" t="str">
        <x:v>12631485 | 30220807</x:v>
      </x:c>
      <x:c r="O357" t="str">
        <x:v>h3R3 | 罗可Lorkin</x:v>
      </x:c>
      <x:c r="P357" t="str">
        <x:v>384808686</x:v>
      </x:c>
      <x:c r="Q357" t="str">
        <x:v>回响</x:v>
      </x:c>
      <x:c r="R357" t="str">
        <x:v>2026-06-23</x:v>
      </x:c>
      <x:c r="S357" t="str"/>
      <x:c r="T357"/>
      <x:c r="U357"/>
      <x:c r="V357" t="str">
        <x:v>https://music.163.com/song?id=3394851493</x:v>
      </x:c>
      <x:c r="W357" t="str">
        <x:v>http://p2.music.126.net/yed2hVZZwFNeSkTynWPaJQ==/109951173491736376.jpg</x:v>
      </x:c>
      <x:c r="X357" t="str">
        <x:v>https://music.163.com/discover/toplist?id=2884035</x:v>
      </x:c>
      <x:c r="Y357" t="str">
        <x:v>https://music.163.com/api/playlist/detail?id=2884035&amp;n=100</x:v>
      </x:c>
      <x:c r="Z357" s="24" t="str">
        <x:f>IFERROR(VLOOKUP(F357,'07_字典与参数'!$A$5:$E$10,3,FALSE),"待映射")</x:f>
        <x:v>网易云音乐</x:v>
      </x:c>
      <x:c r="AA357" s="24" t="str">
        <x:f>IFERROR(VLOOKUP(F357,'07_字典与参数'!$A$5:$E$10,2,FALSE),"待映射")</x:f>
        <x:v>原创榜</x:v>
      </x:c>
      <x:c r="AB357" s="24" t="str">
        <x:f>IFERROR(VLOOKUP(F357,'07_字典与参数'!$A$5:$E$10,4,FALSE),"待映射")</x:f>
        <x:v>每周四</x:v>
      </x:c>
      <x:c r="AC357" s="24" t="str">
        <x:f>D357&amp;"|"&amp;F357&amp;"|"&amp;L357</x:f>
        <x:v>netease_cloud_music|original|3394851493</x:v>
      </x:c>
      <x:c r="AD357" s="24" t="str">
        <x:f>IF(J357&lt;=10,"是","否")</x:f>
        <x:v>否</x:v>
      </x:c>
      <x:c r="AE357" s="24" t="n">
        <x:f>IFERROR(YEAR(R357),"缺失")</x:f>
        <x:v>2026</x:v>
      </x:c>
    </x:row>
    <x:row r="358">
      <x:c r="A358" t="str">
        <x:v>20260812T132133+0800</x:v>
      </x:c>
      <x:c r="B358" t="n">
        <x:v>46246.22329861111</x:v>
      </x:c>
      <x:c r="C358" t="str">
        <x:v>2026-08-06</x:v>
      </x:c>
      <x:c r="D358" t="str">
        <x:v>netease_cloud_music</x:v>
      </x:c>
      <x:c r="E358" t="str">
        <x:v>CN</x:v>
      </x:c>
      <x:c r="F358" t="str">
        <x:v>original</x:v>
      </x:c>
      <x:c r="G358" t="str">
        <x:v>原创榜</x:v>
      </x:c>
      <x:c r="H358" t="str">
        <x:v>2884035</x:v>
      </x:c>
      <x:c r="I358" t="n">
        <x:v>100</x:v>
      </x:c>
      <x:c r="J358" t="n">
        <x:v>54</x:v>
      </x:c>
      <x:c r="K358" t="n">
        <x:v>47</x:v>
      </x:c>
      <x:c r="L358" t="str">
        <x:v>3409324755</x:v>
      </x:c>
      <x:c r="M358" t="str">
        <x:v>眼睛不说谎</x:v>
      </x:c>
      <x:c r="N358" t="str">
        <x:v>12853605</x:v>
      </x:c>
      <x:c r="O358" t="str">
        <x:v>SHarK</x:v>
      </x:c>
      <x:c r="P358" t="str">
        <x:v>388197470</x:v>
      </x:c>
      <x:c r="Q358" t="str">
        <x:v>让我看到你</x:v>
      </x:c>
      <x:c r="R358" t="str">
        <x:v>2026-07-26</x:v>
      </x:c>
      <x:c r="S358" t="str"/>
      <x:c r="T358" t="n">
        <x:v>8</x:v>
      </x:c>
      <x:c r="U358" t="n">
        <x:v>-46</x:v>
      </x:c>
      <x:c r="V358" t="str">
        <x:v>https://music.163.com/song?id=3409324755</x:v>
      </x:c>
      <x:c r="W358" t="str">
        <x:v>http://p2.music.126.net/gBH1kXgZgHempriqLX84zA==/109951173604035857.jpg</x:v>
      </x:c>
      <x:c r="X358" t="str">
        <x:v>https://music.163.com/discover/toplist?id=2884035</x:v>
      </x:c>
      <x:c r="Y358" t="str">
        <x:v>https://music.163.com/api/playlist/detail?id=2884035&amp;n=100</x:v>
      </x:c>
      <x:c r="Z358" s="24" t="str">
        <x:f>IFERROR(VLOOKUP(F358,'07_字典与参数'!$A$5:$E$10,3,FALSE),"待映射")</x:f>
        <x:v>网易云音乐</x:v>
      </x:c>
      <x:c r="AA358" s="24" t="str">
        <x:f>IFERROR(VLOOKUP(F358,'07_字典与参数'!$A$5:$E$10,2,FALSE),"待映射")</x:f>
        <x:v>原创榜</x:v>
      </x:c>
      <x:c r="AB358" s="24" t="str">
        <x:f>IFERROR(VLOOKUP(F358,'07_字典与参数'!$A$5:$E$10,4,FALSE),"待映射")</x:f>
        <x:v>每周四</x:v>
      </x:c>
      <x:c r="AC358" s="24" t="str">
        <x:f>D358&amp;"|"&amp;F358&amp;"|"&amp;L358</x:f>
        <x:v>netease_cloud_music|original|3409324755</x:v>
      </x:c>
      <x:c r="AD358" s="24" t="str">
        <x:f>IF(J358&lt;=10,"是","否")</x:f>
        <x:v>否</x:v>
      </x:c>
      <x:c r="AE358" s="24" t="n">
        <x:f>IFERROR(YEAR(R358),"缺失")</x:f>
        <x:v>2026</x:v>
      </x:c>
    </x:row>
    <x:row r="359">
      <x:c r="A359" t="str">
        <x:v>20260812T132133+0800</x:v>
      </x:c>
      <x:c r="B359" t="n">
        <x:v>46246.22329861111</x:v>
      </x:c>
      <x:c r="C359" t="str">
        <x:v>2026-08-06</x:v>
      </x:c>
      <x:c r="D359" t="str">
        <x:v>netease_cloud_music</x:v>
      </x:c>
      <x:c r="E359" t="str">
        <x:v>CN</x:v>
      </x:c>
      <x:c r="F359" t="str">
        <x:v>original</x:v>
      </x:c>
      <x:c r="G359" t="str">
        <x:v>原创榜</x:v>
      </x:c>
      <x:c r="H359" t="str">
        <x:v>2884035</x:v>
      </x:c>
      <x:c r="I359" t="n">
        <x:v>100</x:v>
      </x:c>
      <x:c r="J359" t="n">
        <x:v>55</x:v>
      </x:c>
      <x:c r="K359" t="n">
        <x:v>46</x:v>
      </x:c>
      <x:c r="L359" t="str">
        <x:v>3347295437</x:v>
      </x:c>
      <x:c r="M359" t="str">
        <x:v>失眠了</x:v>
      </x:c>
      <x:c r="N359" t="str">
        <x:v>29051651</x:v>
      </x:c>
      <x:c r="O359" t="str">
        <x:v>吴琳珂Moske</x:v>
      </x:c>
      <x:c r="P359" t="str">
        <x:v>361191664</x:v>
      </x:c>
      <x:c r="Q359" t="str">
        <x:v>失眠了</x:v>
      </x:c>
      <x:c r="R359" t="str">
        <x:v>2026-02-11</x:v>
      </x:c>
      <x:c r="S359" t="str"/>
      <x:c r="T359"/>
      <x:c r="U359"/>
      <x:c r="V359" t="str">
        <x:v>https://music.163.com/song?id=3347295437</x:v>
      </x:c>
      <x:c r="W359" t="str">
        <x:v>http://p2.music.126.net/RX7XkgADsQ6kXqcpeuEwxQ==/109951172703763721.jpg</x:v>
      </x:c>
      <x:c r="X359" t="str">
        <x:v>https://music.163.com/discover/toplist?id=2884035</x:v>
      </x:c>
      <x:c r="Y359" t="str">
        <x:v>https://music.163.com/api/playlist/detail?id=2884035&amp;n=100</x:v>
      </x:c>
      <x:c r="Z359" s="24" t="str">
        <x:f>IFERROR(VLOOKUP(F359,'07_字典与参数'!$A$5:$E$10,3,FALSE),"待映射")</x:f>
        <x:v>网易云音乐</x:v>
      </x:c>
      <x:c r="AA359" s="24" t="str">
        <x:f>IFERROR(VLOOKUP(F359,'07_字典与参数'!$A$5:$E$10,2,FALSE),"待映射")</x:f>
        <x:v>原创榜</x:v>
      </x:c>
      <x:c r="AB359" s="24" t="str">
        <x:f>IFERROR(VLOOKUP(F359,'07_字典与参数'!$A$5:$E$10,4,FALSE),"待映射")</x:f>
        <x:v>每周四</x:v>
      </x:c>
      <x:c r="AC359" s="24" t="str">
        <x:f>D359&amp;"|"&amp;F359&amp;"|"&amp;L359</x:f>
        <x:v>netease_cloud_music|original|3347295437</x:v>
      </x:c>
      <x:c r="AD359" s="24" t="str">
        <x:f>IF(J359&lt;=10,"是","否")</x:f>
        <x:v>否</x:v>
      </x:c>
      <x:c r="AE359" s="24" t="n">
        <x:f>IFERROR(YEAR(R359),"缺失")</x:f>
        <x:v>2026</x:v>
      </x:c>
    </x:row>
    <x:row r="360">
      <x:c r="A360" t="str">
        <x:v>20260812T132133+0800</x:v>
      </x:c>
      <x:c r="B360" t="n">
        <x:v>46246.22329861111</x:v>
      </x:c>
      <x:c r="C360" t="str">
        <x:v>2026-08-06</x:v>
      </x:c>
      <x:c r="D360" t="str">
        <x:v>netease_cloud_music</x:v>
      </x:c>
      <x:c r="E360" t="str">
        <x:v>CN</x:v>
      </x:c>
      <x:c r="F360" t="str">
        <x:v>original</x:v>
      </x:c>
      <x:c r="G360" t="str">
        <x:v>原创榜</x:v>
      </x:c>
      <x:c r="H360" t="str">
        <x:v>2884035</x:v>
      </x:c>
      <x:c r="I360" t="n">
        <x:v>100</x:v>
      </x:c>
      <x:c r="J360" t="n">
        <x:v>56</x:v>
      </x:c>
      <x:c r="K360" t="n">
        <x:v>45</x:v>
      </x:c>
      <x:c r="L360" t="str">
        <x:v>3407868645</x:v>
      </x:c>
      <x:c r="M360" t="str">
        <x:v>Glue</x:v>
      </x:c>
      <x:c r="N360" t="str">
        <x:v>12664439</x:v>
      </x:c>
      <x:c r="O360" t="str">
        <x:v>希林娜依高</x:v>
      </x:c>
      <x:c r="P360" t="str">
        <x:v>387572988</x:v>
      </x:c>
      <x:c r="Q360" t="str">
        <x:v>Glue</x:v>
      </x:c>
      <x:c r="R360" t="str">
        <x:v>2026-07-31</x:v>
      </x:c>
      <x:c r="S360" t="str"/>
      <x:c r="T360"/>
      <x:c r="U360"/>
      <x:c r="V360" t="str">
        <x:v>https://music.163.com/song?id=3407868645</x:v>
      </x:c>
      <x:c r="W360" t="str">
        <x:v>http://p2.music.126.net/dfdkQ_HD1IwfX_TFAM_rhw==/109951173579024913.jpg</x:v>
      </x:c>
      <x:c r="X360" t="str">
        <x:v>https://music.163.com/discover/toplist?id=2884035</x:v>
      </x:c>
      <x:c r="Y360" t="str">
        <x:v>https://music.163.com/api/playlist/detail?id=2884035&amp;n=100</x:v>
      </x:c>
      <x:c r="Z360" s="24" t="str">
        <x:f>IFERROR(VLOOKUP(F360,'07_字典与参数'!$A$5:$E$10,3,FALSE),"待映射")</x:f>
        <x:v>网易云音乐</x:v>
      </x:c>
      <x:c r="AA360" s="24" t="str">
        <x:f>IFERROR(VLOOKUP(F360,'07_字典与参数'!$A$5:$E$10,2,FALSE),"待映射")</x:f>
        <x:v>原创榜</x:v>
      </x:c>
      <x:c r="AB360" s="24" t="str">
        <x:f>IFERROR(VLOOKUP(F360,'07_字典与参数'!$A$5:$E$10,4,FALSE),"待映射")</x:f>
        <x:v>每周四</x:v>
      </x:c>
      <x:c r="AC360" s="24" t="str">
        <x:f>D360&amp;"|"&amp;F360&amp;"|"&amp;L360</x:f>
        <x:v>netease_cloud_music|original|3407868645</x:v>
      </x:c>
      <x:c r="AD360" s="24" t="str">
        <x:f>IF(J360&lt;=10,"是","否")</x:f>
        <x:v>否</x:v>
      </x:c>
      <x:c r="AE360" s="24" t="n">
        <x:f>IFERROR(YEAR(R360),"缺失")</x:f>
        <x:v>2026</x:v>
      </x:c>
    </x:row>
    <x:row r="361">
      <x:c r="A361" t="str">
        <x:v>20260812T132133+0800</x:v>
      </x:c>
      <x:c r="B361" t="n">
        <x:v>46246.22329861111</x:v>
      </x:c>
      <x:c r="C361" t="str">
        <x:v>2026-08-06</x:v>
      </x:c>
      <x:c r="D361" t="str">
        <x:v>netease_cloud_music</x:v>
      </x:c>
      <x:c r="E361" t="str">
        <x:v>CN</x:v>
      </x:c>
      <x:c r="F361" t="str">
        <x:v>original</x:v>
      </x:c>
      <x:c r="G361" t="str">
        <x:v>原创榜</x:v>
      </x:c>
      <x:c r="H361" t="str">
        <x:v>2884035</x:v>
      </x:c>
      <x:c r="I361" t="n">
        <x:v>100</x:v>
      </x:c>
      <x:c r="J361" t="n">
        <x:v>57</x:v>
      </x:c>
      <x:c r="K361" t="n">
        <x:v>44</x:v>
      </x:c>
      <x:c r="L361" t="str">
        <x:v>3362038053</x:v>
      </x:c>
      <x:c r="M361" t="str">
        <x:v>Fever Pitch</x:v>
      </x:c>
      <x:c r="N361" t="str">
        <x:v>34443258</x:v>
      </x:c>
      <x:c r="O361" t="str">
        <x:v>Richz</x:v>
      </x:c>
      <x:c r="P361" t="str">
        <x:v>367451771</x:v>
      </x:c>
      <x:c r="Q361" t="str">
        <x:v>Fever Pitch</x:v>
      </x:c>
      <x:c r="R361" t="str"/>
      <x:c r="S361" t="str"/>
      <x:c r="T361"/>
      <x:c r="U361"/>
      <x:c r="V361" t="str">
        <x:v>https://music.163.com/song?id=3362038053</x:v>
      </x:c>
      <x:c r="W361" t="str">
        <x:v>http://p2.music.126.net/w9oZk141bo1MfkQRHX4oDw==/109951172929286494.jpg</x:v>
      </x:c>
      <x:c r="X361" t="str">
        <x:v>https://music.163.com/discover/toplist?id=2884035</x:v>
      </x:c>
      <x:c r="Y361" t="str">
        <x:v>https://music.163.com/api/playlist/detail?id=2884035&amp;n=100</x:v>
      </x:c>
      <x:c r="Z361" s="24" t="str">
        <x:f>IFERROR(VLOOKUP(F361,'07_字典与参数'!$A$5:$E$10,3,FALSE),"待映射")</x:f>
        <x:v>网易云音乐</x:v>
      </x:c>
      <x:c r="AA361" s="24" t="str">
        <x:f>IFERROR(VLOOKUP(F361,'07_字典与参数'!$A$5:$E$10,2,FALSE),"待映射")</x:f>
        <x:v>原创榜</x:v>
      </x:c>
      <x:c r="AB361" s="24" t="str">
        <x:f>IFERROR(VLOOKUP(F361,'07_字典与参数'!$A$5:$E$10,4,FALSE),"待映射")</x:f>
        <x:v>每周四</x:v>
      </x:c>
      <x:c r="AC361" s="24" t="str">
        <x:f>D361&amp;"|"&amp;F361&amp;"|"&amp;L361</x:f>
        <x:v>netease_cloud_music|original|3362038053</x:v>
      </x:c>
      <x:c r="AD361" s="24" t="str">
        <x:f>IF(J361&lt;=10,"是","否")</x:f>
        <x:v>否</x:v>
      </x:c>
      <x:c r="AE361" s="24" t="str">
        <x:f>IFERROR(YEAR(R361),"缺失")</x:f>
        <x:v>缺失</x:v>
      </x:c>
    </x:row>
    <x:row r="362">
      <x:c r="A362" t="str">
        <x:v>20260812T132133+0800</x:v>
      </x:c>
      <x:c r="B362" t="n">
        <x:v>46246.22329861111</x:v>
      </x:c>
      <x:c r="C362" t="str">
        <x:v>2026-08-06</x:v>
      </x:c>
      <x:c r="D362" t="str">
        <x:v>netease_cloud_music</x:v>
      </x:c>
      <x:c r="E362" t="str">
        <x:v>CN</x:v>
      </x:c>
      <x:c r="F362" t="str">
        <x:v>original</x:v>
      </x:c>
      <x:c r="G362" t="str">
        <x:v>原创榜</x:v>
      </x:c>
      <x:c r="H362" t="str">
        <x:v>2884035</x:v>
      </x:c>
      <x:c r="I362" t="n">
        <x:v>100</x:v>
      </x:c>
      <x:c r="J362" t="n">
        <x:v>58</x:v>
      </x:c>
      <x:c r="K362" t="n">
        <x:v>43</x:v>
      </x:c>
      <x:c r="L362" t="str">
        <x:v>3410055855</x:v>
      </x:c>
      <x:c r="M362" t="str">
        <x:v>时</x:v>
      </x:c>
      <x:c r="N362" t="str">
        <x:v>36061398</x:v>
      </x:c>
      <x:c r="O362" t="str">
        <x:v>杨润泽</x:v>
      </x:c>
      <x:c r="P362" t="str">
        <x:v>388509396</x:v>
      </x:c>
      <x:c r="Q362" t="str">
        <x:v>时光代理人 第三季 动画原声带</x:v>
      </x:c>
      <x:c r="R362" t="str">
        <x:v>2026-07-25</x:v>
      </x:c>
      <x:c r="S362" t="str"/>
      <x:c r="T362" t="n">
        <x:v>15</x:v>
      </x:c>
      <x:c r="U362" t="n">
        <x:v>-43</x:v>
      </x:c>
      <x:c r="V362" t="str">
        <x:v>https://music.163.com/song?id=3410055855</x:v>
      </x:c>
      <x:c r="W362" t="str">
        <x:v>http://p2.music.126.net/wyIhU6iCDfMrzWGdAc1VkA==/109951173620536109.jpg</x:v>
      </x:c>
      <x:c r="X362" t="str">
        <x:v>https://music.163.com/discover/toplist?id=2884035</x:v>
      </x:c>
      <x:c r="Y362" t="str">
        <x:v>https://music.163.com/api/playlist/detail?id=2884035&amp;n=100</x:v>
      </x:c>
      <x:c r="Z362" s="24" t="str">
        <x:f>IFERROR(VLOOKUP(F362,'07_字典与参数'!$A$5:$E$10,3,FALSE),"待映射")</x:f>
        <x:v>网易云音乐</x:v>
      </x:c>
      <x:c r="AA362" s="24" t="str">
        <x:f>IFERROR(VLOOKUP(F362,'07_字典与参数'!$A$5:$E$10,2,FALSE),"待映射")</x:f>
        <x:v>原创榜</x:v>
      </x:c>
      <x:c r="AB362" s="24" t="str">
        <x:f>IFERROR(VLOOKUP(F362,'07_字典与参数'!$A$5:$E$10,4,FALSE),"待映射")</x:f>
        <x:v>每周四</x:v>
      </x:c>
      <x:c r="AC362" s="24" t="str">
        <x:f>D362&amp;"|"&amp;F362&amp;"|"&amp;L362</x:f>
        <x:v>netease_cloud_music|original|3410055855</x:v>
      </x:c>
      <x:c r="AD362" s="24" t="str">
        <x:f>IF(J362&lt;=10,"是","否")</x:f>
        <x:v>否</x:v>
      </x:c>
      <x:c r="AE362" s="24" t="n">
        <x:f>IFERROR(YEAR(R362),"缺失")</x:f>
        <x:v>2026</x:v>
      </x:c>
    </x:row>
    <x:row r="363">
      <x:c r="A363" t="str">
        <x:v>20260812T132133+0800</x:v>
      </x:c>
      <x:c r="B363" t="n">
        <x:v>46246.22329861111</x:v>
      </x:c>
      <x:c r="C363" t="str">
        <x:v>2026-08-06</x:v>
      </x:c>
      <x:c r="D363" t="str">
        <x:v>netease_cloud_music</x:v>
      </x:c>
      <x:c r="E363" t="str">
        <x:v>CN</x:v>
      </x:c>
      <x:c r="F363" t="str">
        <x:v>original</x:v>
      </x:c>
      <x:c r="G363" t="str">
        <x:v>原创榜</x:v>
      </x:c>
      <x:c r="H363" t="str">
        <x:v>2884035</x:v>
      </x:c>
      <x:c r="I363" t="n">
        <x:v>100</x:v>
      </x:c>
      <x:c r="J363" t="n">
        <x:v>59</x:v>
      </x:c>
      <x:c r="K363" t="n">
        <x:v>42</x:v>
      </x:c>
      <x:c r="L363" t="str">
        <x:v>3363501099</x:v>
      </x:c>
      <x:c r="M363" t="str">
        <x:v>琵琶曲（东船与西舫）</x:v>
      </x:c>
      <x:c r="N363" t="str">
        <x:v>30703119 | 58797175</x:v>
      </x:c>
      <x:c r="O363" t="str">
        <x:v>郑浩Z-Hao | 冰洁</x:v>
      </x:c>
      <x:c r="P363" t="str">
        <x:v>363700782</x:v>
      </x:c>
      <x:c r="Q363" t="str">
        <x:v>琵琶曲</x:v>
      </x:c>
      <x:c r="R363" t="str">
        <x:v>2026-02-27</x:v>
      </x:c>
      <x:c r="S363" t="str"/>
      <x:c r="T363"/>
      <x:c r="U363"/>
      <x:c r="V363" t="str">
        <x:v>https://music.163.com/song?id=3363501099</x:v>
      </x:c>
      <x:c r="W363" t="str">
        <x:v>http://p2.music.126.net/VvGYXvFGD4LQs5WUdbe6dA==/109951173179274574.jpg</x:v>
      </x:c>
      <x:c r="X363" t="str">
        <x:v>https://music.163.com/discover/toplist?id=2884035</x:v>
      </x:c>
      <x:c r="Y363" t="str">
        <x:v>https://music.163.com/api/playlist/detail?id=2884035&amp;n=100</x:v>
      </x:c>
      <x:c r="Z363" s="24" t="str">
        <x:f>IFERROR(VLOOKUP(F363,'07_字典与参数'!$A$5:$E$10,3,FALSE),"待映射")</x:f>
        <x:v>网易云音乐</x:v>
      </x:c>
      <x:c r="AA363" s="24" t="str">
        <x:f>IFERROR(VLOOKUP(F363,'07_字典与参数'!$A$5:$E$10,2,FALSE),"待映射")</x:f>
        <x:v>原创榜</x:v>
      </x:c>
      <x:c r="AB363" s="24" t="str">
        <x:f>IFERROR(VLOOKUP(F363,'07_字典与参数'!$A$5:$E$10,4,FALSE),"待映射")</x:f>
        <x:v>每周四</x:v>
      </x:c>
      <x:c r="AC363" s="24" t="str">
        <x:f>D363&amp;"|"&amp;F363&amp;"|"&amp;L363</x:f>
        <x:v>netease_cloud_music|original|3363501099</x:v>
      </x:c>
      <x:c r="AD363" s="24" t="str">
        <x:f>IF(J363&lt;=10,"是","否")</x:f>
        <x:v>否</x:v>
      </x:c>
      <x:c r="AE363" s="24" t="n">
        <x:f>IFERROR(YEAR(R363),"缺失")</x:f>
        <x:v>2026</x:v>
      </x:c>
    </x:row>
    <x:row r="364">
      <x:c r="A364" t="str">
        <x:v>20260812T132133+0800</x:v>
      </x:c>
      <x:c r="B364" t="n">
        <x:v>46246.22329861111</x:v>
      </x:c>
      <x:c r="C364" t="str">
        <x:v>2026-08-06</x:v>
      </x:c>
      <x:c r="D364" t="str">
        <x:v>netease_cloud_music</x:v>
      </x:c>
      <x:c r="E364" t="str">
        <x:v>CN</x:v>
      </x:c>
      <x:c r="F364" t="str">
        <x:v>original</x:v>
      </x:c>
      <x:c r="G364" t="str">
        <x:v>原创榜</x:v>
      </x:c>
      <x:c r="H364" t="str">
        <x:v>2884035</x:v>
      </x:c>
      <x:c r="I364" t="n">
        <x:v>100</x:v>
      </x:c>
      <x:c r="J364" t="n">
        <x:v>60</x:v>
      </x:c>
      <x:c r="K364" t="n">
        <x:v>41</x:v>
      </x:c>
      <x:c r="L364" t="str">
        <x:v>3410227381</x:v>
      </x:c>
      <x:c r="M364" t="str">
        <x:v>志富路</x:v>
      </x:c>
      <x:c r="N364" t="str">
        <x:v>34208581</x:v>
      </x:c>
      <x:c r="O364" t="str">
        <x:v>Yellllow阿喽</x:v>
      </x:c>
      <x:c r="P364" t="str">
        <x:v>388564559</x:v>
      </x:c>
      <x:c r="Q364" t="str">
        <x:v>志富路</x:v>
      </x:c>
      <x:c r="R364" t="str">
        <x:v>2026-07-26</x:v>
      </x:c>
      <x:c r="S364" t="str"/>
      <x:c r="T364"/>
      <x:c r="U364"/>
      <x:c r="V364" t="str">
        <x:v>https://music.163.com/song?id=3410227381</x:v>
      </x:c>
      <x:c r="W364" t="str">
        <x:v>http://p2.music.126.net/kVu8ARHVBufmGRAfAhEJ7g==/109951173622235172.jpg</x:v>
      </x:c>
      <x:c r="X364" t="str">
        <x:v>https://music.163.com/discover/toplist?id=2884035</x:v>
      </x:c>
      <x:c r="Y364" t="str">
        <x:v>https://music.163.com/api/playlist/detail?id=2884035&amp;n=100</x:v>
      </x:c>
      <x:c r="Z364" s="24" t="str">
        <x:f>IFERROR(VLOOKUP(F364,'07_字典与参数'!$A$5:$E$10,3,FALSE),"待映射")</x:f>
        <x:v>网易云音乐</x:v>
      </x:c>
      <x:c r="AA364" s="24" t="str">
        <x:f>IFERROR(VLOOKUP(F364,'07_字典与参数'!$A$5:$E$10,2,FALSE),"待映射")</x:f>
        <x:v>原创榜</x:v>
      </x:c>
      <x:c r="AB364" s="24" t="str">
        <x:f>IFERROR(VLOOKUP(F364,'07_字典与参数'!$A$5:$E$10,4,FALSE),"待映射")</x:f>
        <x:v>每周四</x:v>
      </x:c>
      <x:c r="AC364" s="24" t="str">
        <x:f>D364&amp;"|"&amp;F364&amp;"|"&amp;L364</x:f>
        <x:v>netease_cloud_music|original|3410227381</x:v>
      </x:c>
      <x:c r="AD364" s="24" t="str">
        <x:f>IF(J364&lt;=10,"是","否")</x:f>
        <x:v>否</x:v>
      </x:c>
      <x:c r="AE364" s="24" t="n">
        <x:f>IFERROR(YEAR(R364),"缺失")</x:f>
        <x:v>2026</x:v>
      </x:c>
    </x:row>
    <x:row r="365">
      <x:c r="A365" t="str">
        <x:v>20260812T132133+0800</x:v>
      </x:c>
      <x:c r="B365" t="n">
        <x:v>46246.22329861111</x:v>
      </x:c>
      <x:c r="C365" t="str">
        <x:v>2026-08-06</x:v>
      </x:c>
      <x:c r="D365" t="str">
        <x:v>netease_cloud_music</x:v>
      </x:c>
      <x:c r="E365" t="str">
        <x:v>CN</x:v>
      </x:c>
      <x:c r="F365" t="str">
        <x:v>original</x:v>
      </x:c>
      <x:c r="G365" t="str">
        <x:v>原创榜</x:v>
      </x:c>
      <x:c r="H365" t="str">
        <x:v>2884035</x:v>
      </x:c>
      <x:c r="I365" t="n">
        <x:v>100</x:v>
      </x:c>
      <x:c r="J365" t="n">
        <x:v>61</x:v>
      </x:c>
      <x:c r="K365" t="n">
        <x:v>40</x:v>
      </x:c>
      <x:c r="L365" t="str">
        <x:v>3411957989</x:v>
      </x:c>
      <x:c r="M365" t="str">
        <x:v>南阳诸葛庐</x:v>
      </x:c>
      <x:c r="N365" t="str">
        <x:v>51533054</x:v>
      </x:c>
      <x:c r="O365" t="str">
        <x:v>贊詩</x:v>
      </x:c>
      <x:c r="P365" t="str">
        <x:v>382159655</x:v>
      </x:c>
      <x:c r="Q365" t="str">
        <x:v>神农尝百草·卷二</x:v>
      </x:c>
      <x:c r="R365" t="str">
        <x:v>2026-06-20</x:v>
      </x:c>
      <x:c r="S365" t="str"/>
      <x:c r="T365"/>
      <x:c r="U365"/>
      <x:c r="V365" t="str">
        <x:v>https://music.163.com/song?id=3411957989</x:v>
      </x:c>
      <x:c r="W365" t="str">
        <x:v>http://p2.music.126.net/baY_btc4SqfPO7PeFdzNxg==/109951173406179425.jpg</x:v>
      </x:c>
      <x:c r="X365" t="str">
        <x:v>https://music.163.com/discover/toplist?id=2884035</x:v>
      </x:c>
      <x:c r="Y365" t="str">
        <x:v>https://music.163.com/api/playlist/detail?id=2884035&amp;n=100</x:v>
      </x:c>
      <x:c r="Z365" s="24" t="str">
        <x:f>IFERROR(VLOOKUP(F365,'07_字典与参数'!$A$5:$E$10,3,FALSE),"待映射")</x:f>
        <x:v>网易云音乐</x:v>
      </x:c>
      <x:c r="AA365" s="24" t="str">
        <x:f>IFERROR(VLOOKUP(F365,'07_字典与参数'!$A$5:$E$10,2,FALSE),"待映射")</x:f>
        <x:v>原创榜</x:v>
      </x:c>
      <x:c r="AB365" s="24" t="str">
        <x:f>IFERROR(VLOOKUP(F365,'07_字典与参数'!$A$5:$E$10,4,FALSE),"待映射")</x:f>
        <x:v>每周四</x:v>
      </x:c>
      <x:c r="AC365" s="24" t="str">
        <x:f>D365&amp;"|"&amp;F365&amp;"|"&amp;L365</x:f>
        <x:v>netease_cloud_music|original|3411957989</x:v>
      </x:c>
      <x:c r="AD365" s="24" t="str">
        <x:f>IF(J365&lt;=10,"是","否")</x:f>
        <x:v>否</x:v>
      </x:c>
      <x:c r="AE365" s="24" t="n">
        <x:f>IFERROR(YEAR(R365),"缺失")</x:f>
        <x:v>2026</x:v>
      </x:c>
    </x:row>
    <x:row r="366">
      <x:c r="A366" t="str">
        <x:v>20260812T132133+0800</x:v>
      </x:c>
      <x:c r="B366" t="n">
        <x:v>46246.22329861111</x:v>
      </x:c>
      <x:c r="C366" t="str">
        <x:v>2026-08-06</x:v>
      </x:c>
      <x:c r="D366" t="str">
        <x:v>netease_cloud_music</x:v>
      </x:c>
      <x:c r="E366" t="str">
        <x:v>CN</x:v>
      </x:c>
      <x:c r="F366" t="str">
        <x:v>original</x:v>
      </x:c>
      <x:c r="G366" t="str">
        <x:v>原创榜</x:v>
      </x:c>
      <x:c r="H366" t="str">
        <x:v>2884035</x:v>
      </x:c>
      <x:c r="I366" t="n">
        <x:v>100</x:v>
      </x:c>
      <x:c r="J366" t="n">
        <x:v>62</x:v>
      </x:c>
      <x:c r="K366" t="n">
        <x:v>39</x:v>
      </x:c>
      <x:c r="L366" t="str">
        <x:v>3412505650</x:v>
      </x:c>
      <x:c r="M366" t="str">
        <x:v>水之森</x:v>
      </x:c>
      <x:c r="N366" t="str">
        <x:v>48993892</x:v>
      </x:c>
      <x:c r="O366" t="str">
        <x:v>小鷹</x:v>
      </x:c>
      <x:c r="P366" t="str">
        <x:v>389432988</x:v>
      </x:c>
      <x:c r="Q366" t="str">
        <x:v>水之森</x:v>
      </x:c>
      <x:c r="R366" t="str">
        <x:v>2026-07-30</x:v>
      </x:c>
      <x:c r="S366" t="str"/>
      <x:c r="T366"/>
      <x:c r="U366"/>
      <x:c r="V366" t="str">
        <x:v>https://music.163.com/song?id=3412505650</x:v>
      </x:c>
      <x:c r="W366" t="str">
        <x:v>http://p2.music.126.net/BGa9AFZxHlhLuUZdZX3zjw==/109951173651331892.jpg</x:v>
      </x:c>
      <x:c r="X366" t="str">
        <x:v>https://music.163.com/discover/toplist?id=2884035</x:v>
      </x:c>
      <x:c r="Y366" t="str">
        <x:v>https://music.163.com/api/playlist/detail?id=2884035&amp;n=100</x:v>
      </x:c>
      <x:c r="Z366" s="24" t="str">
        <x:f>IFERROR(VLOOKUP(F366,'07_字典与参数'!$A$5:$E$10,3,FALSE),"待映射")</x:f>
        <x:v>网易云音乐</x:v>
      </x:c>
      <x:c r="AA366" s="24" t="str">
        <x:f>IFERROR(VLOOKUP(F366,'07_字典与参数'!$A$5:$E$10,2,FALSE),"待映射")</x:f>
        <x:v>原创榜</x:v>
      </x:c>
      <x:c r="AB366" s="24" t="str">
        <x:f>IFERROR(VLOOKUP(F366,'07_字典与参数'!$A$5:$E$10,4,FALSE),"待映射")</x:f>
        <x:v>每周四</x:v>
      </x:c>
      <x:c r="AC366" s="24" t="str">
        <x:f>D366&amp;"|"&amp;F366&amp;"|"&amp;L366</x:f>
        <x:v>netease_cloud_music|original|3412505650</x:v>
      </x:c>
      <x:c r="AD366" s="24" t="str">
        <x:f>IF(J366&lt;=10,"是","否")</x:f>
        <x:v>否</x:v>
      </x:c>
      <x:c r="AE366" s="24" t="n">
        <x:f>IFERROR(YEAR(R366),"缺失")</x:f>
        <x:v>2026</x:v>
      </x:c>
    </x:row>
    <x:row r="367">
      <x:c r="A367" t="str">
        <x:v>20260812T132133+0800</x:v>
      </x:c>
      <x:c r="B367" t="n">
        <x:v>46246.22329861111</x:v>
      </x:c>
      <x:c r="C367" t="str">
        <x:v>2026-08-06</x:v>
      </x:c>
      <x:c r="D367" t="str">
        <x:v>netease_cloud_music</x:v>
      </x:c>
      <x:c r="E367" t="str">
        <x:v>CN</x:v>
      </x:c>
      <x:c r="F367" t="str">
        <x:v>original</x:v>
      </x:c>
      <x:c r="G367" t="str">
        <x:v>原创榜</x:v>
      </x:c>
      <x:c r="H367" t="str">
        <x:v>2884035</x:v>
      </x:c>
      <x:c r="I367" t="n">
        <x:v>100</x:v>
      </x:c>
      <x:c r="J367" t="n">
        <x:v>63</x:v>
      </x:c>
      <x:c r="K367" t="n">
        <x:v>38</x:v>
      </x:c>
      <x:c r="L367" t="str">
        <x:v>3409311245</x:v>
      </x:c>
      <x:c r="M367" t="str">
        <x:v>盛世长歌</x:v>
      </x:c>
      <x:c r="N367" t="str">
        <x:v>30285885</x:v>
      </x:c>
      <x:c r="O367" t="str">
        <x:v>邓寓君（等什么君）</x:v>
      </x:c>
      <x:c r="P367" t="str">
        <x:v>388193139</x:v>
      </x:c>
      <x:c r="Q367" t="str">
        <x:v>盛世长歌</x:v>
      </x:c>
      <x:c r="R367" t="str">
        <x:v>2026-08-01</x:v>
      </x:c>
      <x:c r="S367" t="str"/>
      <x:c r="T367"/>
      <x:c r="U367"/>
      <x:c r="V367" t="str">
        <x:v>https://music.163.com/song?id=3409311245</x:v>
      </x:c>
      <x:c r="W367" t="str">
        <x:v>http://p2.music.126.net/JAxpeVXhlpSsc8HYFxPh_A==/109951173603756637.jpg</x:v>
      </x:c>
      <x:c r="X367" t="str">
        <x:v>https://music.163.com/discover/toplist?id=2884035</x:v>
      </x:c>
      <x:c r="Y367" t="str">
        <x:v>https://music.163.com/api/playlist/detail?id=2884035&amp;n=100</x:v>
      </x:c>
      <x:c r="Z367" s="24" t="str">
        <x:f>IFERROR(VLOOKUP(F367,'07_字典与参数'!$A$5:$E$10,3,FALSE),"待映射")</x:f>
        <x:v>网易云音乐</x:v>
      </x:c>
      <x:c r="AA367" s="24" t="str">
        <x:f>IFERROR(VLOOKUP(F367,'07_字典与参数'!$A$5:$E$10,2,FALSE),"待映射")</x:f>
        <x:v>原创榜</x:v>
      </x:c>
      <x:c r="AB367" s="24" t="str">
        <x:f>IFERROR(VLOOKUP(F367,'07_字典与参数'!$A$5:$E$10,4,FALSE),"待映射")</x:f>
        <x:v>每周四</x:v>
      </x:c>
      <x:c r="AC367" s="24" t="str">
        <x:f>D367&amp;"|"&amp;F367&amp;"|"&amp;L367</x:f>
        <x:v>netease_cloud_music|original|3409311245</x:v>
      </x:c>
      <x:c r="AD367" s="24" t="str">
        <x:f>IF(J367&lt;=10,"是","否")</x:f>
        <x:v>否</x:v>
      </x:c>
      <x:c r="AE367" s="24" t="n">
        <x:f>IFERROR(YEAR(R367),"缺失")</x:f>
        <x:v>2026</x:v>
      </x:c>
    </x:row>
    <x:row r="368">
      <x:c r="A368" t="str">
        <x:v>20260812T132133+0800</x:v>
      </x:c>
      <x:c r="B368" t="n">
        <x:v>46246.22329861111</x:v>
      </x:c>
      <x:c r="C368" t="str">
        <x:v>2026-08-06</x:v>
      </x:c>
      <x:c r="D368" t="str">
        <x:v>netease_cloud_music</x:v>
      </x:c>
      <x:c r="E368" t="str">
        <x:v>CN</x:v>
      </x:c>
      <x:c r="F368" t="str">
        <x:v>original</x:v>
      </x:c>
      <x:c r="G368" t="str">
        <x:v>原创榜</x:v>
      </x:c>
      <x:c r="H368" t="str">
        <x:v>2884035</x:v>
      </x:c>
      <x:c r="I368" t="n">
        <x:v>100</x:v>
      </x:c>
      <x:c r="J368" t="n">
        <x:v>64</x:v>
      </x:c>
      <x:c r="K368" t="n">
        <x:v>37</x:v>
      </x:c>
      <x:c r="L368" t="str">
        <x:v>3410614883</x:v>
      </x:c>
      <x:c r="M368" t="str">
        <x:v>Sad melody</x:v>
      </x:c>
      <x:c r="N368" t="str">
        <x:v>34357551</x:v>
      </x:c>
      <x:c r="O368" t="str">
        <x:v>吴炳文</x:v>
      </x:c>
      <x:c r="P368" t="str">
        <x:v>388722789</x:v>
      </x:c>
      <x:c r="Q368" t="str">
        <x:v>失以往复</x:v>
      </x:c>
      <x:c r="R368" t="str">
        <x:v>2026-07-30</x:v>
      </x:c>
      <x:c r="S368" t="str"/>
      <x:c r="T368"/>
      <x:c r="U368"/>
      <x:c r="V368" t="str">
        <x:v>https://music.163.com/song?id=3410614883</x:v>
      </x:c>
      <x:c r="W368" t="str">
        <x:v>http://p2.music.126.net/hcG-ZSWj0fvhCvKS5HGGcQ==/109951173627257203.jpg</x:v>
      </x:c>
      <x:c r="X368" t="str">
        <x:v>https://music.163.com/discover/toplist?id=2884035</x:v>
      </x:c>
      <x:c r="Y368" t="str">
        <x:v>https://music.163.com/api/playlist/detail?id=2884035&amp;n=100</x:v>
      </x:c>
      <x:c r="Z368" s="24" t="str">
        <x:f>IFERROR(VLOOKUP(F368,'07_字典与参数'!$A$5:$E$10,3,FALSE),"待映射")</x:f>
        <x:v>网易云音乐</x:v>
      </x:c>
      <x:c r="AA368" s="24" t="str">
        <x:f>IFERROR(VLOOKUP(F368,'07_字典与参数'!$A$5:$E$10,2,FALSE),"待映射")</x:f>
        <x:v>原创榜</x:v>
      </x:c>
      <x:c r="AB368" s="24" t="str">
        <x:f>IFERROR(VLOOKUP(F368,'07_字典与参数'!$A$5:$E$10,4,FALSE),"待映射")</x:f>
        <x:v>每周四</x:v>
      </x:c>
      <x:c r="AC368" s="24" t="str">
        <x:f>D368&amp;"|"&amp;F368&amp;"|"&amp;L368</x:f>
        <x:v>netease_cloud_music|original|3410614883</x:v>
      </x:c>
      <x:c r="AD368" s="24" t="str">
        <x:f>IF(J368&lt;=10,"是","否")</x:f>
        <x:v>否</x:v>
      </x:c>
      <x:c r="AE368" s="24" t="n">
        <x:f>IFERROR(YEAR(R368),"缺失")</x:f>
        <x:v>2026</x:v>
      </x:c>
    </x:row>
    <x:row r="369">
      <x:c r="A369" t="str">
        <x:v>20260812T132133+0800</x:v>
      </x:c>
      <x:c r="B369" t="n">
        <x:v>46246.22329861111</x:v>
      </x:c>
      <x:c r="C369" t="str">
        <x:v>2026-08-06</x:v>
      </x:c>
      <x:c r="D369" t="str">
        <x:v>netease_cloud_music</x:v>
      </x:c>
      <x:c r="E369" t="str">
        <x:v>CN</x:v>
      </x:c>
      <x:c r="F369" t="str">
        <x:v>original</x:v>
      </x:c>
      <x:c r="G369" t="str">
        <x:v>原创榜</x:v>
      </x:c>
      <x:c r="H369" t="str">
        <x:v>2884035</x:v>
      </x:c>
      <x:c r="I369" t="n">
        <x:v>100</x:v>
      </x:c>
      <x:c r="J369" t="n">
        <x:v>65</x:v>
      </x:c>
      <x:c r="K369" t="n">
        <x:v>36</x:v>
      </x:c>
      <x:c r="L369" t="str">
        <x:v>3416261941</x:v>
      </x:c>
      <x:c r="M369" t="str">
        <x:v>陪我勇敢</x:v>
      </x:c>
      <x:c r="N369" t="str">
        <x:v>12276</x:v>
      </x:c>
      <x:c r="O369" t="str">
        <x:v>梦飞船</x:v>
      </x:c>
      <x:c r="P369" t="str">
        <x:v>390688162</x:v>
      </x:c>
      <x:c r="Q369" t="str">
        <x:v>陪我勇敢</x:v>
      </x:c>
      <x:c r="R369" t="str"/>
      <x:c r="S369" t="str"/>
      <x:c r="T369"/>
      <x:c r="U369"/>
      <x:c r="V369" t="str">
        <x:v>https://music.163.com/song?id=3416261941</x:v>
      </x:c>
      <x:c r="W369" t="str">
        <x:v>http://p2.music.126.net/gBDE0g2q2eLgA0z-mP82gw==/109951173692381301.jpg</x:v>
      </x:c>
      <x:c r="X369" t="str">
        <x:v>https://music.163.com/discover/toplist?id=2884035</x:v>
      </x:c>
      <x:c r="Y369" t="str">
        <x:v>https://music.163.com/api/playlist/detail?id=2884035&amp;n=100</x:v>
      </x:c>
      <x:c r="Z369" s="24" t="str">
        <x:f>IFERROR(VLOOKUP(F369,'07_字典与参数'!$A$5:$E$10,3,FALSE),"待映射")</x:f>
        <x:v>网易云音乐</x:v>
      </x:c>
      <x:c r="AA369" s="24" t="str">
        <x:f>IFERROR(VLOOKUP(F369,'07_字典与参数'!$A$5:$E$10,2,FALSE),"待映射")</x:f>
        <x:v>原创榜</x:v>
      </x:c>
      <x:c r="AB369" s="24" t="str">
        <x:f>IFERROR(VLOOKUP(F369,'07_字典与参数'!$A$5:$E$10,4,FALSE),"待映射")</x:f>
        <x:v>每周四</x:v>
      </x:c>
      <x:c r="AC369" s="24" t="str">
        <x:f>D369&amp;"|"&amp;F369&amp;"|"&amp;L369</x:f>
        <x:v>netease_cloud_music|original|3416261941</x:v>
      </x:c>
      <x:c r="AD369" s="24" t="str">
        <x:f>IF(J369&lt;=10,"是","否")</x:f>
        <x:v>否</x:v>
      </x:c>
      <x:c r="AE369" s="24" t="str">
        <x:f>IFERROR(YEAR(R369),"缺失")</x:f>
        <x:v>缺失</x:v>
      </x:c>
    </x:row>
    <x:row r="370">
      <x:c r="A370" t="str">
        <x:v>20260812T132133+0800</x:v>
      </x:c>
      <x:c r="B370" t="n">
        <x:v>46246.22329861111</x:v>
      </x:c>
      <x:c r="C370" t="str">
        <x:v>2026-08-06</x:v>
      </x:c>
      <x:c r="D370" t="str">
        <x:v>netease_cloud_music</x:v>
      </x:c>
      <x:c r="E370" t="str">
        <x:v>CN</x:v>
      </x:c>
      <x:c r="F370" t="str">
        <x:v>original</x:v>
      </x:c>
      <x:c r="G370" t="str">
        <x:v>原创榜</x:v>
      </x:c>
      <x:c r="H370" t="str">
        <x:v>2884035</x:v>
      </x:c>
      <x:c r="I370" t="n">
        <x:v>100</x:v>
      </x:c>
      <x:c r="J370" t="n">
        <x:v>66</x:v>
      </x:c>
      <x:c r="K370" t="n">
        <x:v>35</x:v>
      </x:c>
      <x:c r="L370" t="str">
        <x:v>3413674641</x:v>
      </x:c>
      <x:c r="M370" t="str">
        <x:v>黄金之地</x:v>
      </x:c>
      <x:c r="N370" t="str">
        <x:v>59888486 | </x:v>
      </x:c>
      <x:c r="O370" t="str">
        <x:v>世界之外 | 徐雨帆</x:v>
      </x:c>
      <x:c r="P370" t="str">
        <x:v>389832794</x:v>
      </x:c>
      <x:c r="Q370" t="str">
        <x:v>《世界之外》「黄金之地」原声音乐集</x:v>
      </x:c>
      <x:c r="R370" t="str"/>
      <x:c r="S370" t="str"/>
      <x:c r="T370"/>
      <x:c r="U370"/>
      <x:c r="V370" t="str">
        <x:v>https://music.163.com/song?id=3413674641</x:v>
      </x:c>
      <x:c r="W370" t="str">
        <x:v>http://p2.music.126.net/3fjQmavGD2VClvUGrQf2HA==/109951173662821071.jpg</x:v>
      </x:c>
      <x:c r="X370" t="str">
        <x:v>https://music.163.com/discover/toplist?id=2884035</x:v>
      </x:c>
      <x:c r="Y370" t="str">
        <x:v>https://music.163.com/api/playlist/detail?id=2884035&amp;n=100</x:v>
      </x:c>
      <x:c r="Z370" s="24" t="str">
        <x:f>IFERROR(VLOOKUP(F370,'07_字典与参数'!$A$5:$E$10,3,FALSE),"待映射")</x:f>
        <x:v>网易云音乐</x:v>
      </x:c>
      <x:c r="AA370" s="24" t="str">
        <x:f>IFERROR(VLOOKUP(F370,'07_字典与参数'!$A$5:$E$10,2,FALSE),"待映射")</x:f>
        <x:v>原创榜</x:v>
      </x:c>
      <x:c r="AB370" s="24" t="str">
        <x:f>IFERROR(VLOOKUP(F370,'07_字典与参数'!$A$5:$E$10,4,FALSE),"待映射")</x:f>
        <x:v>每周四</x:v>
      </x:c>
      <x:c r="AC370" s="24" t="str">
        <x:f>D370&amp;"|"&amp;F370&amp;"|"&amp;L370</x:f>
        <x:v>netease_cloud_music|original|3413674641</x:v>
      </x:c>
      <x:c r="AD370" s="24" t="str">
        <x:f>IF(J370&lt;=10,"是","否")</x:f>
        <x:v>否</x:v>
      </x:c>
      <x:c r="AE370" s="24" t="str">
        <x:f>IFERROR(YEAR(R370),"缺失")</x:f>
        <x:v>缺失</x:v>
      </x:c>
    </x:row>
    <x:row r="371">
      <x:c r="A371" t="str">
        <x:v>20260812T132133+0800</x:v>
      </x:c>
      <x:c r="B371" t="n">
        <x:v>46246.22329861111</x:v>
      </x:c>
      <x:c r="C371" t="str">
        <x:v>2026-08-06</x:v>
      </x:c>
      <x:c r="D371" t="str">
        <x:v>netease_cloud_music</x:v>
      </x:c>
      <x:c r="E371" t="str">
        <x:v>CN</x:v>
      </x:c>
      <x:c r="F371" t="str">
        <x:v>original</x:v>
      </x:c>
      <x:c r="G371" t="str">
        <x:v>原创榜</x:v>
      </x:c>
      <x:c r="H371" t="str">
        <x:v>2884035</x:v>
      </x:c>
      <x:c r="I371" t="n">
        <x:v>100</x:v>
      </x:c>
      <x:c r="J371" t="n">
        <x:v>67</x:v>
      </x:c>
      <x:c r="K371" t="n">
        <x:v>34</x:v>
      </x:c>
      <x:c r="L371" t="str">
        <x:v>3404041906</x:v>
      </x:c>
      <x:c r="M371" t="str">
        <x:v>我爱上一个女孩</x:v>
      </x:c>
      <x:c r="N371" t="str">
        <x:v>37198739</x:v>
      </x:c>
      <x:c r="O371" t="str">
        <x:v>李幼白</x:v>
      </x:c>
      <x:c r="P371" t="str">
        <x:v>386085947</x:v>
      </x:c>
      <x:c r="Q371" t="str">
        <x:v>我爱上一个女孩</x:v>
      </x:c>
      <x:c r="R371" t="str">
        <x:v>2026-07-10</x:v>
      </x:c>
      <x:c r="S371" t="str"/>
      <x:c r="T371"/>
      <x:c r="U371"/>
      <x:c r="V371" t="str">
        <x:v>https://music.163.com/song?id=3404041906</x:v>
      </x:c>
      <x:c r="W371" t="str">
        <x:v>http://p2.music.126.net/NqkqPsMDXeyh4aqkFbZHVA==/109951173612437772.jpg</x:v>
      </x:c>
      <x:c r="X371" t="str">
        <x:v>https://music.163.com/discover/toplist?id=2884035</x:v>
      </x:c>
      <x:c r="Y371" t="str">
        <x:v>https://music.163.com/api/playlist/detail?id=2884035&amp;n=100</x:v>
      </x:c>
      <x:c r="Z371" s="24" t="str">
        <x:f>IFERROR(VLOOKUP(F371,'07_字典与参数'!$A$5:$E$10,3,FALSE),"待映射")</x:f>
        <x:v>网易云音乐</x:v>
      </x:c>
      <x:c r="AA371" s="24" t="str">
        <x:f>IFERROR(VLOOKUP(F371,'07_字典与参数'!$A$5:$E$10,2,FALSE),"待映射")</x:f>
        <x:v>原创榜</x:v>
      </x:c>
      <x:c r="AB371" s="24" t="str">
        <x:f>IFERROR(VLOOKUP(F371,'07_字典与参数'!$A$5:$E$10,4,FALSE),"待映射")</x:f>
        <x:v>每周四</x:v>
      </x:c>
      <x:c r="AC371" s="24" t="str">
        <x:f>D371&amp;"|"&amp;F371&amp;"|"&amp;L371</x:f>
        <x:v>netease_cloud_music|original|3404041906</x:v>
      </x:c>
      <x:c r="AD371" s="24" t="str">
        <x:f>IF(J371&lt;=10,"是","否")</x:f>
        <x:v>否</x:v>
      </x:c>
      <x:c r="AE371" s="24" t="n">
        <x:f>IFERROR(YEAR(R371),"缺失")</x:f>
        <x:v>2026</x:v>
      </x:c>
    </x:row>
    <x:row r="372">
      <x:c r="A372" t="str">
        <x:v>20260812T132133+0800</x:v>
      </x:c>
      <x:c r="B372" t="n">
        <x:v>46246.22329861111</x:v>
      </x:c>
      <x:c r="C372" t="str">
        <x:v>2026-08-06</x:v>
      </x:c>
      <x:c r="D372" t="str">
        <x:v>netease_cloud_music</x:v>
      </x:c>
      <x:c r="E372" t="str">
        <x:v>CN</x:v>
      </x:c>
      <x:c r="F372" t="str">
        <x:v>original</x:v>
      </x:c>
      <x:c r="G372" t="str">
        <x:v>原创榜</x:v>
      </x:c>
      <x:c r="H372" t="str">
        <x:v>2884035</x:v>
      </x:c>
      <x:c r="I372" t="n">
        <x:v>100</x:v>
      </x:c>
      <x:c r="J372" t="n">
        <x:v>68</x:v>
      </x:c>
      <x:c r="K372" t="n">
        <x:v>33</x:v>
      </x:c>
      <x:c r="L372" t="str">
        <x:v>3412994570</x:v>
      </x:c>
      <x:c r="M372" t="str">
        <x:v>我爱的人啊</x:v>
      </x:c>
      <x:c r="N372" t="str">
        <x:v>12200017</x:v>
      </x:c>
      <x:c r="O372" t="str">
        <x:v>歌之初乐队</x:v>
      </x:c>
      <x:c r="P372" t="str">
        <x:v>389497736</x:v>
      </x:c>
      <x:c r="Q372" t="str">
        <x:v>我爱的人啊</x:v>
      </x:c>
      <x:c r="R372" t="str"/>
      <x:c r="S372" t="str"/>
      <x:c r="T372"/>
      <x:c r="U372"/>
      <x:c r="V372" t="str">
        <x:v>https://music.163.com/song?id=3412994570</x:v>
      </x:c>
      <x:c r="W372" t="str">
        <x:v>http://p2.music.126.net/Y0jgH0UDdrufgFZ6MaK3zg==/109951173656120246.jpg</x:v>
      </x:c>
      <x:c r="X372" t="str">
        <x:v>https://music.163.com/discover/toplist?id=2884035</x:v>
      </x:c>
      <x:c r="Y372" t="str">
        <x:v>https://music.163.com/api/playlist/detail?id=2884035&amp;n=100</x:v>
      </x:c>
      <x:c r="Z372" s="24" t="str">
        <x:f>IFERROR(VLOOKUP(F372,'07_字典与参数'!$A$5:$E$10,3,FALSE),"待映射")</x:f>
        <x:v>网易云音乐</x:v>
      </x:c>
      <x:c r="AA372" s="24" t="str">
        <x:f>IFERROR(VLOOKUP(F372,'07_字典与参数'!$A$5:$E$10,2,FALSE),"待映射")</x:f>
        <x:v>原创榜</x:v>
      </x:c>
      <x:c r="AB372" s="24" t="str">
        <x:f>IFERROR(VLOOKUP(F372,'07_字典与参数'!$A$5:$E$10,4,FALSE),"待映射")</x:f>
        <x:v>每周四</x:v>
      </x:c>
      <x:c r="AC372" s="24" t="str">
        <x:f>D372&amp;"|"&amp;F372&amp;"|"&amp;L372</x:f>
        <x:v>netease_cloud_music|original|3412994570</x:v>
      </x:c>
      <x:c r="AD372" s="24" t="str">
        <x:f>IF(J372&lt;=10,"是","否")</x:f>
        <x:v>否</x:v>
      </x:c>
      <x:c r="AE372" s="24" t="str">
        <x:f>IFERROR(YEAR(R372),"缺失")</x:f>
        <x:v>缺失</x:v>
      </x:c>
    </x:row>
    <x:row r="373">
      <x:c r="A373" t="str">
        <x:v>20260812T132133+0800</x:v>
      </x:c>
      <x:c r="B373" t="n">
        <x:v>46246.22329861111</x:v>
      </x:c>
      <x:c r="C373" t="str">
        <x:v>2026-08-06</x:v>
      </x:c>
      <x:c r="D373" t="str">
        <x:v>netease_cloud_music</x:v>
      </x:c>
      <x:c r="E373" t="str">
        <x:v>CN</x:v>
      </x:c>
      <x:c r="F373" t="str">
        <x:v>original</x:v>
      </x:c>
      <x:c r="G373" t="str">
        <x:v>原创榜</x:v>
      </x:c>
      <x:c r="H373" t="str">
        <x:v>2884035</x:v>
      </x:c>
      <x:c r="I373" t="n">
        <x:v>100</x:v>
      </x:c>
      <x:c r="J373" t="n">
        <x:v>69</x:v>
      </x:c>
      <x:c r="K373" t="n">
        <x:v>32</x:v>
      </x:c>
      <x:c r="L373" t="str">
        <x:v>3410060406</x:v>
      </x:c>
      <x:c r="M373" t="str">
        <x:v>Till My Summer(直至盛夏归期)</x:v>
      </x:c>
      <x:c r="N373" t="str">
        <x:v>35730089</x:v>
      </x:c>
      <x:c r="O373" t="str">
        <x:v>刘洋Sofia</x:v>
      </x:c>
      <x:c r="P373" t="str">
        <x:v>388512194</x:v>
      </x:c>
      <x:c r="Q373" t="str">
        <x:v>Till My Summer</x:v>
      </x:c>
      <x:c r="R373" t="str"/>
      <x:c r="S373" t="str"/>
      <x:c r="T373"/>
      <x:c r="U373"/>
      <x:c r="V373" t="str">
        <x:v>https://music.163.com/song?id=3410060406</x:v>
      </x:c>
      <x:c r="W373" t="str">
        <x:v>http://p2.music.126.net/hGTqwQzCY3FMX4GKUmC2kw==/109951173620799130.jpg</x:v>
      </x:c>
      <x:c r="X373" t="str">
        <x:v>https://music.163.com/discover/toplist?id=2884035</x:v>
      </x:c>
      <x:c r="Y373" t="str">
        <x:v>https://music.163.com/api/playlist/detail?id=2884035&amp;n=100</x:v>
      </x:c>
      <x:c r="Z373" s="24" t="str">
        <x:f>IFERROR(VLOOKUP(F373,'07_字典与参数'!$A$5:$E$10,3,FALSE),"待映射")</x:f>
        <x:v>网易云音乐</x:v>
      </x:c>
      <x:c r="AA373" s="24" t="str">
        <x:f>IFERROR(VLOOKUP(F373,'07_字典与参数'!$A$5:$E$10,2,FALSE),"待映射")</x:f>
        <x:v>原创榜</x:v>
      </x:c>
      <x:c r="AB373" s="24" t="str">
        <x:f>IFERROR(VLOOKUP(F373,'07_字典与参数'!$A$5:$E$10,4,FALSE),"待映射")</x:f>
        <x:v>每周四</x:v>
      </x:c>
      <x:c r="AC373" s="24" t="str">
        <x:f>D373&amp;"|"&amp;F373&amp;"|"&amp;L373</x:f>
        <x:v>netease_cloud_music|original|3410060406</x:v>
      </x:c>
      <x:c r="AD373" s="24" t="str">
        <x:f>IF(J373&lt;=10,"是","否")</x:f>
        <x:v>否</x:v>
      </x:c>
      <x:c r="AE373" s="24" t="str">
        <x:f>IFERROR(YEAR(R373),"缺失")</x:f>
        <x:v>缺失</x:v>
      </x:c>
    </x:row>
    <x:row r="374">
      <x:c r="A374" t="str">
        <x:v>20260812T132133+0800</x:v>
      </x:c>
      <x:c r="B374" t="n">
        <x:v>46246.22329861111</x:v>
      </x:c>
      <x:c r="C374" t="str">
        <x:v>2026-08-06</x:v>
      </x:c>
      <x:c r="D374" t="str">
        <x:v>netease_cloud_music</x:v>
      </x:c>
      <x:c r="E374" t="str">
        <x:v>CN</x:v>
      </x:c>
      <x:c r="F374" t="str">
        <x:v>original</x:v>
      </x:c>
      <x:c r="G374" t="str">
        <x:v>原创榜</x:v>
      </x:c>
      <x:c r="H374" t="str">
        <x:v>2884035</x:v>
      </x:c>
      <x:c r="I374" t="n">
        <x:v>100</x:v>
      </x:c>
      <x:c r="J374" t="n">
        <x:v>70</x:v>
      </x:c>
      <x:c r="K374" t="n">
        <x:v>31</x:v>
      </x:c>
      <x:c r="L374" t="str">
        <x:v>3411943680</x:v>
      </x:c>
      <x:c r="M374" t="str">
        <x:v>怪我</x:v>
      </x:c>
      <x:c r="N374" t="str">
        <x:v>12118400 | 12085066</x:v>
      </x:c>
      <x:c r="O374" t="str">
        <x:v>山姆十四Samwise | ZIV</x:v>
      </x:c>
      <x:c r="P374" t="str">
        <x:v>389231132</x:v>
      </x:c>
      <x:c r="Q374" t="str">
        <x:v>怪我</x:v>
      </x:c>
      <x:c r="R374" t="str">
        <x:v>2026-07-29</x:v>
      </x:c>
      <x:c r="S374" t="str"/>
      <x:c r="T374"/>
      <x:c r="U374"/>
      <x:c r="V374" t="str">
        <x:v>https://music.163.com/song?id=3411943680</x:v>
      </x:c>
      <x:c r="W374" t="str">
        <x:v>http://p2.music.126.net/R8NltsjfhulMfPbljewIJQ==/109951173645432311.jpg</x:v>
      </x:c>
      <x:c r="X374" t="str">
        <x:v>https://music.163.com/discover/toplist?id=2884035</x:v>
      </x:c>
      <x:c r="Y374" t="str">
        <x:v>https://music.163.com/api/playlist/detail?id=2884035&amp;n=100</x:v>
      </x:c>
      <x:c r="Z374" s="24" t="str">
        <x:f>IFERROR(VLOOKUP(F374,'07_字典与参数'!$A$5:$E$10,3,FALSE),"待映射")</x:f>
        <x:v>网易云音乐</x:v>
      </x:c>
      <x:c r="AA374" s="24" t="str">
        <x:f>IFERROR(VLOOKUP(F374,'07_字典与参数'!$A$5:$E$10,2,FALSE),"待映射")</x:f>
        <x:v>原创榜</x:v>
      </x:c>
      <x:c r="AB374" s="24" t="str">
        <x:f>IFERROR(VLOOKUP(F374,'07_字典与参数'!$A$5:$E$10,4,FALSE),"待映射")</x:f>
        <x:v>每周四</x:v>
      </x:c>
      <x:c r="AC374" s="24" t="str">
        <x:f>D374&amp;"|"&amp;F374&amp;"|"&amp;L374</x:f>
        <x:v>netease_cloud_music|original|3411943680</x:v>
      </x:c>
      <x:c r="AD374" s="24" t="str">
        <x:f>IF(J374&lt;=10,"是","否")</x:f>
        <x:v>否</x:v>
      </x:c>
      <x:c r="AE374" s="24" t="n">
        <x:f>IFERROR(YEAR(R374),"缺失")</x:f>
        <x:v>2026</x:v>
      </x:c>
    </x:row>
    <x:row r="375">
      <x:c r="A375" t="str">
        <x:v>20260812T132133+0800</x:v>
      </x:c>
      <x:c r="B375" t="n">
        <x:v>46246.22329861111</x:v>
      </x:c>
      <x:c r="C375" t="str">
        <x:v>2026-08-06</x:v>
      </x:c>
      <x:c r="D375" t="str">
        <x:v>netease_cloud_music</x:v>
      </x:c>
      <x:c r="E375" t="str">
        <x:v>CN</x:v>
      </x:c>
      <x:c r="F375" t="str">
        <x:v>original</x:v>
      </x:c>
      <x:c r="G375" t="str">
        <x:v>原创榜</x:v>
      </x:c>
      <x:c r="H375" t="str">
        <x:v>2884035</x:v>
      </x:c>
      <x:c r="I375" t="n">
        <x:v>100</x:v>
      </x:c>
      <x:c r="J375" t="n">
        <x:v>71</x:v>
      </x:c>
      <x:c r="K375" t="n">
        <x:v>30</x:v>
      </x:c>
      <x:c r="L375" t="str">
        <x:v>3361716324</x:v>
      </x:c>
      <x:c r="M375" t="str">
        <x:v>I'm done</x:v>
      </x:c>
      <x:c r="N375" t="str">
        <x:v>34850318</x:v>
      </x:c>
      <x:c r="O375" t="str">
        <x:v>Vincentz</x:v>
      </x:c>
      <x:c r="P375" t="str">
        <x:v>367304915</x:v>
      </x:c>
      <x:c r="Q375" t="str">
        <x:v>I'm done</x:v>
      </x:c>
      <x:c r="R375" t="str"/>
      <x:c r="S375" t="str"/>
      <x:c r="T375"/>
      <x:c r="U375"/>
      <x:c r="V375" t="str">
        <x:v>https://music.163.com/song?id=3361716324</x:v>
      </x:c>
      <x:c r="W375" t="str">
        <x:v>http://p2.music.126.net/j4EFCsALD40VPTaiBX7oLw==/109951173127901637.jpg</x:v>
      </x:c>
      <x:c r="X375" t="str">
        <x:v>https://music.163.com/discover/toplist?id=2884035</x:v>
      </x:c>
      <x:c r="Y375" t="str">
        <x:v>https://music.163.com/api/playlist/detail?id=2884035&amp;n=100</x:v>
      </x:c>
      <x:c r="Z375" s="24" t="str">
        <x:f>IFERROR(VLOOKUP(F375,'07_字典与参数'!$A$5:$E$10,3,FALSE),"待映射")</x:f>
        <x:v>网易云音乐</x:v>
      </x:c>
      <x:c r="AA375" s="24" t="str">
        <x:f>IFERROR(VLOOKUP(F375,'07_字典与参数'!$A$5:$E$10,2,FALSE),"待映射")</x:f>
        <x:v>原创榜</x:v>
      </x:c>
      <x:c r="AB375" s="24" t="str">
        <x:f>IFERROR(VLOOKUP(F375,'07_字典与参数'!$A$5:$E$10,4,FALSE),"待映射")</x:f>
        <x:v>每周四</x:v>
      </x:c>
      <x:c r="AC375" s="24" t="str">
        <x:f>D375&amp;"|"&amp;F375&amp;"|"&amp;L375</x:f>
        <x:v>netease_cloud_music|original|3361716324</x:v>
      </x:c>
      <x:c r="AD375" s="24" t="str">
        <x:f>IF(J375&lt;=10,"是","否")</x:f>
        <x:v>否</x:v>
      </x:c>
      <x:c r="AE375" s="24" t="str">
        <x:f>IFERROR(YEAR(R375),"缺失")</x:f>
        <x:v>缺失</x:v>
      </x:c>
    </x:row>
    <x:row r="376">
      <x:c r="A376" t="str">
        <x:v>20260812T132133+0800</x:v>
      </x:c>
      <x:c r="B376" t="n">
        <x:v>46246.22329861111</x:v>
      </x:c>
      <x:c r="C376" t="str">
        <x:v>2026-08-06</x:v>
      </x:c>
      <x:c r="D376" t="str">
        <x:v>netease_cloud_music</x:v>
      </x:c>
      <x:c r="E376" t="str">
        <x:v>CN</x:v>
      </x:c>
      <x:c r="F376" t="str">
        <x:v>original</x:v>
      </x:c>
      <x:c r="G376" t="str">
        <x:v>原创榜</x:v>
      </x:c>
      <x:c r="H376" t="str">
        <x:v>2884035</x:v>
      </x:c>
      <x:c r="I376" t="n">
        <x:v>100</x:v>
      </x:c>
      <x:c r="J376" t="n">
        <x:v>72</x:v>
      </x:c>
      <x:c r="K376" t="n">
        <x:v>29</x:v>
      </x:c>
      <x:c r="L376" t="str">
        <x:v>3415841760</x:v>
      </x:c>
      <x:c r="M376" t="str">
        <x:v>touch grass</x:v>
      </x:c>
      <x:c r="N376" t="str">
        <x:v>32992079</x:v>
      </x:c>
      <x:c r="O376" t="str">
        <x:v>Yaka</x:v>
      </x:c>
      <x:c r="P376" t="str">
        <x:v>390094926</x:v>
      </x:c>
      <x:c r="Q376" t="str">
        <x:v>DLC</x:v>
      </x:c>
      <x:c r="R376" t="str"/>
      <x:c r="S376" t="str"/>
      <x:c r="T376"/>
      <x:c r="U376"/>
      <x:c r="V376" t="str">
        <x:v>https://music.163.com/song?id=3415841760</x:v>
      </x:c>
      <x:c r="W376" t="str">
        <x:v>http://p2.music.126.net/M1ymYle2IiY2Ad07MlosXw==/109951173671432890.jpg</x:v>
      </x:c>
      <x:c r="X376" t="str">
        <x:v>https://music.163.com/discover/toplist?id=2884035</x:v>
      </x:c>
      <x:c r="Y376" t="str">
        <x:v>https://music.163.com/api/playlist/detail?id=2884035&amp;n=100</x:v>
      </x:c>
      <x:c r="Z376" s="24" t="str">
        <x:f>IFERROR(VLOOKUP(F376,'07_字典与参数'!$A$5:$E$10,3,FALSE),"待映射")</x:f>
        <x:v>网易云音乐</x:v>
      </x:c>
      <x:c r="AA376" s="24" t="str">
        <x:f>IFERROR(VLOOKUP(F376,'07_字典与参数'!$A$5:$E$10,2,FALSE),"待映射")</x:f>
        <x:v>原创榜</x:v>
      </x:c>
      <x:c r="AB376" s="24" t="str">
        <x:f>IFERROR(VLOOKUP(F376,'07_字典与参数'!$A$5:$E$10,4,FALSE),"待映射")</x:f>
        <x:v>每周四</x:v>
      </x:c>
      <x:c r="AC376" s="24" t="str">
        <x:f>D376&amp;"|"&amp;F376&amp;"|"&amp;L376</x:f>
        <x:v>netease_cloud_music|original|3415841760</x:v>
      </x:c>
      <x:c r="AD376" s="24" t="str">
        <x:f>IF(J376&lt;=10,"是","否")</x:f>
        <x:v>否</x:v>
      </x:c>
      <x:c r="AE376" s="24" t="str">
        <x:f>IFERROR(YEAR(R376),"缺失")</x:f>
        <x:v>缺失</x:v>
      </x:c>
    </x:row>
    <x:row r="377">
      <x:c r="A377" t="str">
        <x:v>20260812T132133+0800</x:v>
      </x:c>
      <x:c r="B377" t="n">
        <x:v>46246.22329861111</x:v>
      </x:c>
      <x:c r="C377" t="str">
        <x:v>2026-08-06</x:v>
      </x:c>
      <x:c r="D377" t="str">
        <x:v>netease_cloud_music</x:v>
      </x:c>
      <x:c r="E377" t="str">
        <x:v>CN</x:v>
      </x:c>
      <x:c r="F377" t="str">
        <x:v>original</x:v>
      </x:c>
      <x:c r="G377" t="str">
        <x:v>原创榜</x:v>
      </x:c>
      <x:c r="H377" t="str">
        <x:v>2884035</x:v>
      </x:c>
      <x:c r="I377" t="n">
        <x:v>100</x:v>
      </x:c>
      <x:c r="J377" t="n">
        <x:v>73</x:v>
      </x:c>
      <x:c r="K377" t="n">
        <x:v>28</x:v>
      </x:c>
      <x:c r="L377" t="str">
        <x:v>3409596145</x:v>
      </x:c>
      <x:c r="M377" t="str">
        <x:v>メシア</x:v>
      </x:c>
      <x:c r="N377" t="str">
        <x:v>56672609</x:v>
      </x:c>
      <x:c r="O377" t="str">
        <x:v>ナナツカゼ</x:v>
      </x:c>
      <x:c r="P377" t="str">
        <x:v>388323640</x:v>
      </x:c>
      <x:c r="Q377" t="str">
        <x:v>メシア</x:v>
      </x:c>
      <x:c r="R377" t="str">
        <x:v>2026-07-29</x:v>
      </x:c>
      <x:c r="S377" t="str"/>
      <x:c r="T377"/>
      <x:c r="U377"/>
      <x:c r="V377" t="str">
        <x:v>https://music.163.com/song?id=3409596145</x:v>
      </x:c>
      <x:c r="W377" t="str">
        <x:v>http://p1.music.126.net/-shlMq3dKo5GwNFInIkFEg==/109951173610292890.jpg</x:v>
      </x:c>
      <x:c r="X377" t="str">
        <x:v>https://music.163.com/discover/toplist?id=2884035</x:v>
      </x:c>
      <x:c r="Y377" t="str">
        <x:v>https://music.163.com/api/playlist/detail?id=2884035&amp;n=100</x:v>
      </x:c>
      <x:c r="Z377" s="24" t="str">
        <x:f>IFERROR(VLOOKUP(F377,'07_字典与参数'!$A$5:$E$10,3,FALSE),"待映射")</x:f>
        <x:v>网易云音乐</x:v>
      </x:c>
      <x:c r="AA377" s="24" t="str">
        <x:f>IFERROR(VLOOKUP(F377,'07_字典与参数'!$A$5:$E$10,2,FALSE),"待映射")</x:f>
        <x:v>原创榜</x:v>
      </x:c>
      <x:c r="AB377" s="24" t="str">
        <x:f>IFERROR(VLOOKUP(F377,'07_字典与参数'!$A$5:$E$10,4,FALSE),"待映射")</x:f>
        <x:v>每周四</x:v>
      </x:c>
      <x:c r="AC377" s="24" t="str">
        <x:f>D377&amp;"|"&amp;F377&amp;"|"&amp;L377</x:f>
        <x:v>netease_cloud_music|original|3409596145</x:v>
      </x:c>
      <x:c r="AD377" s="24" t="str">
        <x:f>IF(J377&lt;=10,"是","否")</x:f>
        <x:v>否</x:v>
      </x:c>
      <x:c r="AE377" s="24" t="n">
        <x:f>IFERROR(YEAR(R377),"缺失")</x:f>
        <x:v>2026</x:v>
      </x:c>
    </x:row>
    <x:row r="378">
      <x:c r="A378" t="str">
        <x:v>20260812T132133+0800</x:v>
      </x:c>
      <x:c r="B378" t="n">
        <x:v>46246.22329861111</x:v>
      </x:c>
      <x:c r="C378" t="str">
        <x:v>2026-08-06</x:v>
      </x:c>
      <x:c r="D378" t="str">
        <x:v>netease_cloud_music</x:v>
      </x:c>
      <x:c r="E378" t="str">
        <x:v>CN</x:v>
      </x:c>
      <x:c r="F378" t="str">
        <x:v>original</x:v>
      </x:c>
      <x:c r="G378" t="str">
        <x:v>原创榜</x:v>
      </x:c>
      <x:c r="H378" t="str">
        <x:v>2884035</x:v>
      </x:c>
      <x:c r="I378" t="n">
        <x:v>100</x:v>
      </x:c>
      <x:c r="J378" t="n">
        <x:v>74</x:v>
      </x:c>
      <x:c r="K378" t="n">
        <x:v>27</x:v>
      </x:c>
      <x:c r="L378" t="str">
        <x:v>3415833183</x:v>
      </x:c>
      <x:c r="M378" t="str">
        <x:v>万物皆是自由诗</x:v>
      </x:c>
      <x:c r="N378" t="str">
        <x:v>52740062</x:v>
      </x:c>
      <x:c r="O378" t="str">
        <x:v>Soulloom苏洛牧</x:v>
      </x:c>
      <x:c r="P378" t="str">
        <x:v>390500126</x:v>
      </x:c>
      <x:c r="Q378" t="str">
        <x:v>万物皆是自由诗</x:v>
      </x:c>
      <x:c r="R378" t="str"/>
      <x:c r="S378" t="str"/>
      <x:c r="T378"/>
      <x:c r="U378"/>
      <x:c r="V378" t="str">
        <x:v>https://music.163.com/song?id=3415833183</x:v>
      </x:c>
      <x:c r="W378" t="str">
        <x:v>http://p1.music.126.net/q9BPMb67uVpm0xN6tqyCpw==/109951173686473897.jpg</x:v>
      </x:c>
      <x:c r="X378" t="str">
        <x:v>https://music.163.com/discover/toplist?id=2884035</x:v>
      </x:c>
      <x:c r="Y378" t="str">
        <x:v>https://music.163.com/api/playlist/detail?id=2884035&amp;n=100</x:v>
      </x:c>
      <x:c r="Z378" s="24" t="str">
        <x:f>IFERROR(VLOOKUP(F378,'07_字典与参数'!$A$5:$E$10,3,FALSE),"待映射")</x:f>
        <x:v>网易云音乐</x:v>
      </x:c>
      <x:c r="AA378" s="24" t="str">
        <x:f>IFERROR(VLOOKUP(F378,'07_字典与参数'!$A$5:$E$10,2,FALSE),"待映射")</x:f>
        <x:v>原创榜</x:v>
      </x:c>
      <x:c r="AB378" s="24" t="str">
        <x:f>IFERROR(VLOOKUP(F378,'07_字典与参数'!$A$5:$E$10,4,FALSE),"待映射")</x:f>
        <x:v>每周四</x:v>
      </x:c>
      <x:c r="AC378" s="24" t="str">
        <x:f>D378&amp;"|"&amp;F378&amp;"|"&amp;L378</x:f>
        <x:v>netease_cloud_music|original|3415833183</x:v>
      </x:c>
      <x:c r="AD378" s="24" t="str">
        <x:f>IF(J378&lt;=10,"是","否")</x:f>
        <x:v>否</x:v>
      </x:c>
      <x:c r="AE378" s="24" t="str">
        <x:f>IFERROR(YEAR(R378),"缺失")</x:f>
        <x:v>缺失</x:v>
      </x:c>
    </x:row>
    <x:row r="379">
      <x:c r="A379" t="str">
        <x:v>20260812T132133+0800</x:v>
      </x:c>
      <x:c r="B379" t="n">
        <x:v>46246.22329861111</x:v>
      </x:c>
      <x:c r="C379" t="str">
        <x:v>2026-08-06</x:v>
      </x:c>
      <x:c r="D379" t="str">
        <x:v>netease_cloud_music</x:v>
      </x:c>
      <x:c r="E379" t="str">
        <x:v>CN</x:v>
      </x:c>
      <x:c r="F379" t="str">
        <x:v>original</x:v>
      </x:c>
      <x:c r="G379" t="str">
        <x:v>原创榜</x:v>
      </x:c>
      <x:c r="H379" t="str">
        <x:v>2884035</x:v>
      </x:c>
      <x:c r="I379" t="n">
        <x:v>100</x:v>
      </x:c>
      <x:c r="J379" t="n">
        <x:v>75</x:v>
      </x:c>
      <x:c r="K379" t="n">
        <x:v>26</x:v>
      </x:c>
      <x:c r="L379" t="str">
        <x:v>3415041969</x:v>
      </x:c>
      <x:c r="M379" t="str">
        <x:v>公式化</x:v>
      </x:c>
      <x:c r="N379" t="str">
        <x:v>32851886 | 59655434</x:v>
      </x:c>
      <x:c r="O379" t="str">
        <x:v>MOCKER44. | 洛天依</x:v>
      </x:c>
      <x:c r="P379" t="str">
        <x:v>390256438</x:v>
      </x:c>
      <x:c r="Q379" t="str">
        <x:v>公式化</x:v>
      </x:c>
      <x:c r="R379" t="str"/>
      <x:c r="S379" t="str"/>
      <x:c r="T379"/>
      <x:c r="U379"/>
      <x:c r="V379" t="str">
        <x:v>https://music.163.com/song?id=3415041969</x:v>
      </x:c>
      <x:c r="W379" t="str">
        <x:v>http://p1.music.126.net/zLFs1aLUKM4H_Tme2Q-Q1A==/109951173677496637.jpg</x:v>
      </x:c>
      <x:c r="X379" t="str">
        <x:v>https://music.163.com/discover/toplist?id=2884035</x:v>
      </x:c>
      <x:c r="Y379" t="str">
        <x:v>https://music.163.com/api/playlist/detail?id=2884035&amp;n=100</x:v>
      </x:c>
      <x:c r="Z379" s="24" t="str">
        <x:f>IFERROR(VLOOKUP(F379,'07_字典与参数'!$A$5:$E$10,3,FALSE),"待映射")</x:f>
        <x:v>网易云音乐</x:v>
      </x:c>
      <x:c r="AA379" s="24" t="str">
        <x:f>IFERROR(VLOOKUP(F379,'07_字典与参数'!$A$5:$E$10,2,FALSE),"待映射")</x:f>
        <x:v>原创榜</x:v>
      </x:c>
      <x:c r="AB379" s="24" t="str">
        <x:f>IFERROR(VLOOKUP(F379,'07_字典与参数'!$A$5:$E$10,4,FALSE),"待映射")</x:f>
        <x:v>每周四</x:v>
      </x:c>
      <x:c r="AC379" s="24" t="str">
        <x:f>D379&amp;"|"&amp;F379&amp;"|"&amp;L379</x:f>
        <x:v>netease_cloud_music|original|3415041969</x:v>
      </x:c>
      <x:c r="AD379" s="24" t="str">
        <x:f>IF(J379&lt;=10,"是","否")</x:f>
        <x:v>否</x:v>
      </x:c>
      <x:c r="AE379" s="24" t="str">
        <x:f>IFERROR(YEAR(R379),"缺失")</x:f>
        <x:v>缺失</x:v>
      </x:c>
    </x:row>
    <x:row r="380">
      <x:c r="A380" t="str">
        <x:v>20260812T132133+0800</x:v>
      </x:c>
      <x:c r="B380" t="n">
        <x:v>46246.22329861111</x:v>
      </x:c>
      <x:c r="C380" t="str">
        <x:v>2026-08-06</x:v>
      </x:c>
      <x:c r="D380" t="str">
        <x:v>netease_cloud_music</x:v>
      </x:c>
      <x:c r="E380" t="str">
        <x:v>CN</x:v>
      </x:c>
      <x:c r="F380" t="str">
        <x:v>original</x:v>
      </x:c>
      <x:c r="G380" t="str">
        <x:v>原创榜</x:v>
      </x:c>
      <x:c r="H380" t="str">
        <x:v>2884035</x:v>
      </x:c>
      <x:c r="I380" t="n">
        <x:v>100</x:v>
      </x:c>
      <x:c r="J380" t="n">
        <x:v>76</x:v>
      </x:c>
      <x:c r="K380" t="n">
        <x:v>25</x:v>
      </x:c>
      <x:c r="L380" t="str">
        <x:v>3410294029</x:v>
      </x:c>
      <x:c r="M380" t="str">
        <x:v>缘分如骤雨</x:v>
      </x:c>
      <x:c r="N380" t="str">
        <x:v>12227865</x:v>
      </x:c>
      <x:c r="O380" t="str">
        <x:v>阿YueYue</x:v>
      </x:c>
      <x:c r="P380" t="str">
        <x:v>388593586</x:v>
      </x:c>
      <x:c r="Q380" t="str">
        <x:v>缘分如骤雨</x:v>
      </x:c>
      <x:c r="R380" t="str">
        <x:v>2026-07-31</x:v>
      </x:c>
      <x:c r="S380" t="str"/>
      <x:c r="T380"/>
      <x:c r="U380"/>
      <x:c r="V380" t="str">
        <x:v>https://music.163.com/song?id=3410294029</x:v>
      </x:c>
      <x:c r="W380" t="str">
        <x:v>http://p1.music.126.net/Kdts3NuF5jJx8yFbb0M4dw==/109951173623068348.jpg</x:v>
      </x:c>
      <x:c r="X380" t="str">
        <x:v>https://music.163.com/discover/toplist?id=2884035</x:v>
      </x:c>
      <x:c r="Y380" t="str">
        <x:v>https://music.163.com/api/playlist/detail?id=2884035&amp;n=100</x:v>
      </x:c>
      <x:c r="Z380" s="24" t="str">
        <x:f>IFERROR(VLOOKUP(F380,'07_字典与参数'!$A$5:$E$10,3,FALSE),"待映射")</x:f>
        <x:v>网易云音乐</x:v>
      </x:c>
      <x:c r="AA380" s="24" t="str">
        <x:f>IFERROR(VLOOKUP(F380,'07_字典与参数'!$A$5:$E$10,2,FALSE),"待映射")</x:f>
        <x:v>原创榜</x:v>
      </x:c>
      <x:c r="AB380" s="24" t="str">
        <x:f>IFERROR(VLOOKUP(F380,'07_字典与参数'!$A$5:$E$10,4,FALSE),"待映射")</x:f>
        <x:v>每周四</x:v>
      </x:c>
      <x:c r="AC380" s="24" t="str">
        <x:f>D380&amp;"|"&amp;F380&amp;"|"&amp;L380</x:f>
        <x:v>netease_cloud_music|original|3410294029</x:v>
      </x:c>
      <x:c r="AD380" s="24" t="str">
        <x:f>IF(J380&lt;=10,"是","否")</x:f>
        <x:v>否</x:v>
      </x:c>
      <x:c r="AE380" s="24" t="n">
        <x:f>IFERROR(YEAR(R380),"缺失")</x:f>
        <x:v>2026</x:v>
      </x:c>
    </x:row>
    <x:row r="381">
      <x:c r="A381" t="str">
        <x:v>20260812T132133+0800</x:v>
      </x:c>
      <x:c r="B381" t="n">
        <x:v>46246.22329861111</x:v>
      </x:c>
      <x:c r="C381" t="str">
        <x:v>2026-08-06</x:v>
      </x:c>
      <x:c r="D381" t="str">
        <x:v>netease_cloud_music</x:v>
      </x:c>
      <x:c r="E381" t="str">
        <x:v>CN</x:v>
      </x:c>
      <x:c r="F381" t="str">
        <x:v>original</x:v>
      </x:c>
      <x:c r="G381" t="str">
        <x:v>原创榜</x:v>
      </x:c>
      <x:c r="H381" t="str">
        <x:v>2884035</x:v>
      </x:c>
      <x:c r="I381" t="n">
        <x:v>100</x:v>
      </x:c>
      <x:c r="J381" t="n">
        <x:v>77</x:v>
      </x:c>
      <x:c r="K381" t="n">
        <x:v>24</x:v>
      </x:c>
      <x:c r="L381" t="str">
        <x:v>3415950266</x:v>
      </x:c>
      <x:c r="M381" t="str">
        <x:v>雨点</x:v>
      </x:c>
      <x:c r="N381" t="str">
        <x:v>54156801 | 56688787 | 94826725</x:v>
      </x:c>
      <x:c r="O381" t="str">
        <x:v>克莱因蓝 | 烧麦 | 麦旋风风风</x:v>
      </x:c>
      <x:c r="P381" t="str">
        <x:v>390516711</x:v>
      </x:c>
      <x:c r="Q381" t="str">
        <x:v>雨点</x:v>
      </x:c>
      <x:c r="R381" t="str"/>
      <x:c r="S381" t="str"/>
      <x:c r="T381"/>
      <x:c r="U381"/>
      <x:c r="V381" t="str">
        <x:v>https://music.163.com/song?id=3415950266</x:v>
      </x:c>
      <x:c r="W381" t="str">
        <x:v>http://p1.music.126.net/BPs8tEqloIK_8_WIKirrtA==/109951173688453744.jpg</x:v>
      </x:c>
      <x:c r="X381" t="str">
        <x:v>https://music.163.com/discover/toplist?id=2884035</x:v>
      </x:c>
      <x:c r="Y381" t="str">
        <x:v>https://music.163.com/api/playlist/detail?id=2884035&amp;n=100</x:v>
      </x:c>
      <x:c r="Z381" s="24" t="str">
        <x:f>IFERROR(VLOOKUP(F381,'07_字典与参数'!$A$5:$E$10,3,FALSE),"待映射")</x:f>
        <x:v>网易云音乐</x:v>
      </x:c>
      <x:c r="AA381" s="24" t="str">
        <x:f>IFERROR(VLOOKUP(F381,'07_字典与参数'!$A$5:$E$10,2,FALSE),"待映射")</x:f>
        <x:v>原创榜</x:v>
      </x:c>
      <x:c r="AB381" s="24" t="str">
        <x:f>IFERROR(VLOOKUP(F381,'07_字典与参数'!$A$5:$E$10,4,FALSE),"待映射")</x:f>
        <x:v>每周四</x:v>
      </x:c>
      <x:c r="AC381" s="24" t="str">
        <x:f>D381&amp;"|"&amp;F381&amp;"|"&amp;L381</x:f>
        <x:v>netease_cloud_music|original|3415950266</x:v>
      </x:c>
      <x:c r="AD381" s="24" t="str">
        <x:f>IF(J381&lt;=10,"是","否")</x:f>
        <x:v>否</x:v>
      </x:c>
      <x:c r="AE381" s="24" t="str">
        <x:f>IFERROR(YEAR(R381),"缺失")</x:f>
        <x:v>缺失</x:v>
      </x:c>
    </x:row>
    <x:row r="382">
      <x:c r="A382" t="str">
        <x:v>20260812T132133+0800</x:v>
      </x:c>
      <x:c r="B382" t="n">
        <x:v>46246.22329861111</x:v>
      </x:c>
      <x:c r="C382" t="str">
        <x:v>2026-08-06</x:v>
      </x:c>
      <x:c r="D382" t="str">
        <x:v>netease_cloud_music</x:v>
      </x:c>
      <x:c r="E382" t="str">
        <x:v>CN</x:v>
      </x:c>
      <x:c r="F382" t="str">
        <x:v>original</x:v>
      </x:c>
      <x:c r="G382" t="str">
        <x:v>原创榜</x:v>
      </x:c>
      <x:c r="H382" t="str">
        <x:v>2884035</x:v>
      </x:c>
      <x:c r="I382" t="n">
        <x:v>100</x:v>
      </x:c>
      <x:c r="J382" t="n">
        <x:v>78</x:v>
      </x:c>
      <x:c r="K382" t="n">
        <x:v>23</x:v>
      </x:c>
      <x:c r="L382" t="str">
        <x:v>3416306504</x:v>
      </x:c>
      <x:c r="M382" t="str">
        <x:v>June</x:v>
      </x:c>
      <x:c r="N382" t="str">
        <x:v>100489356 | 57313438 | 94441384</x:v>
      </x:c>
      <x:c r="O382" t="str">
        <x:v>Lace | K3nny | maksomnoi</x:v>
      </x:c>
      <x:c r="P382" t="str">
        <x:v>390683321</x:v>
      </x:c>
      <x:c r="Q382" t="str">
        <x:v>夏</x:v>
      </x:c>
      <x:c r="R382" t="str"/>
      <x:c r="S382" t="str"/>
      <x:c r="T382"/>
      <x:c r="U382"/>
      <x:c r="V382" t="str">
        <x:v>https://music.163.com/song?id=3416306504</x:v>
      </x:c>
      <x:c r="W382" t="str">
        <x:v>http://p1.music.126.net/GtuPVSdXOEbYc1ySv7muqQ==/109951173692723755.jpg</x:v>
      </x:c>
      <x:c r="X382" t="str">
        <x:v>https://music.163.com/discover/toplist?id=2884035</x:v>
      </x:c>
      <x:c r="Y382" t="str">
        <x:v>https://music.163.com/api/playlist/detail?id=2884035&amp;n=100</x:v>
      </x:c>
      <x:c r="Z382" s="24" t="str">
        <x:f>IFERROR(VLOOKUP(F382,'07_字典与参数'!$A$5:$E$10,3,FALSE),"待映射")</x:f>
        <x:v>网易云音乐</x:v>
      </x:c>
      <x:c r="AA382" s="24" t="str">
        <x:f>IFERROR(VLOOKUP(F382,'07_字典与参数'!$A$5:$E$10,2,FALSE),"待映射")</x:f>
        <x:v>原创榜</x:v>
      </x:c>
      <x:c r="AB382" s="24" t="str">
        <x:f>IFERROR(VLOOKUP(F382,'07_字典与参数'!$A$5:$E$10,4,FALSE),"待映射")</x:f>
        <x:v>每周四</x:v>
      </x:c>
      <x:c r="AC382" s="24" t="str">
        <x:f>D382&amp;"|"&amp;F382&amp;"|"&amp;L382</x:f>
        <x:v>netease_cloud_music|original|3416306504</x:v>
      </x:c>
      <x:c r="AD382" s="24" t="str">
        <x:f>IF(J382&lt;=10,"是","否")</x:f>
        <x:v>否</x:v>
      </x:c>
      <x:c r="AE382" s="24" t="str">
        <x:f>IFERROR(YEAR(R382),"缺失")</x:f>
        <x:v>缺失</x:v>
      </x:c>
    </x:row>
    <x:row r="383">
      <x:c r="A383" t="str">
        <x:v>20260812T132133+0800</x:v>
      </x:c>
      <x:c r="B383" t="n">
        <x:v>46246.22329861111</x:v>
      </x:c>
      <x:c r="C383" t="str">
        <x:v>2026-08-06</x:v>
      </x:c>
      <x:c r="D383" t="str">
        <x:v>netease_cloud_music</x:v>
      </x:c>
      <x:c r="E383" t="str">
        <x:v>CN</x:v>
      </x:c>
      <x:c r="F383" t="str">
        <x:v>original</x:v>
      </x:c>
      <x:c r="G383" t="str">
        <x:v>原创榜</x:v>
      </x:c>
      <x:c r="H383" t="str">
        <x:v>2884035</x:v>
      </x:c>
      <x:c r="I383" t="n">
        <x:v>100</x:v>
      </x:c>
      <x:c r="J383" t="n">
        <x:v>79</x:v>
      </x:c>
      <x:c r="K383" t="n">
        <x:v>22</x:v>
      </x:c>
      <x:c r="L383" t="str">
        <x:v>3413206045</x:v>
      </x:c>
      <x:c r="M383" t="str">
        <x:v>时差</x:v>
      </x:c>
      <x:c r="N383" t="str">
        <x:v>34172520 | 30534222</x:v>
      </x:c>
      <x:c r="O383" t="str">
        <x:v>C.HØPE | 伊赫</x:v>
      </x:c>
      <x:c r="P383" t="str">
        <x:v>389672698</x:v>
      </x:c>
      <x:c r="Q383" t="str">
        <x:v>时差</x:v>
      </x:c>
      <x:c r="R383" t="str">
        <x:v>2026-07-30</x:v>
      </x:c>
      <x:c r="S383" t="str"/>
      <x:c r="T383"/>
      <x:c r="U383"/>
      <x:c r="V383" t="str">
        <x:v>https://music.163.com/song?id=3413206045</x:v>
      </x:c>
      <x:c r="W383" t="str">
        <x:v>http://p1.music.126.net/Mkj6gDy1U3gsf6avbnRYEg==/109951173657752372.jpg</x:v>
      </x:c>
      <x:c r="X383" t="str">
        <x:v>https://music.163.com/discover/toplist?id=2884035</x:v>
      </x:c>
      <x:c r="Y383" t="str">
        <x:v>https://music.163.com/api/playlist/detail?id=2884035&amp;n=100</x:v>
      </x:c>
      <x:c r="Z383" s="24" t="str">
        <x:f>IFERROR(VLOOKUP(F383,'07_字典与参数'!$A$5:$E$10,3,FALSE),"待映射")</x:f>
        <x:v>网易云音乐</x:v>
      </x:c>
      <x:c r="AA383" s="24" t="str">
        <x:f>IFERROR(VLOOKUP(F383,'07_字典与参数'!$A$5:$E$10,2,FALSE),"待映射")</x:f>
        <x:v>原创榜</x:v>
      </x:c>
      <x:c r="AB383" s="24" t="str">
        <x:f>IFERROR(VLOOKUP(F383,'07_字典与参数'!$A$5:$E$10,4,FALSE),"待映射")</x:f>
        <x:v>每周四</x:v>
      </x:c>
      <x:c r="AC383" s="24" t="str">
        <x:f>D383&amp;"|"&amp;F383&amp;"|"&amp;L383</x:f>
        <x:v>netease_cloud_music|original|3413206045</x:v>
      </x:c>
      <x:c r="AD383" s="24" t="str">
        <x:f>IF(J383&lt;=10,"是","否")</x:f>
        <x:v>否</x:v>
      </x:c>
      <x:c r="AE383" s="24" t="n">
        <x:f>IFERROR(YEAR(R383),"缺失")</x:f>
        <x:v>2026</x:v>
      </x:c>
    </x:row>
    <x:row r="384">
      <x:c r="A384" t="str">
        <x:v>20260812T132133+0800</x:v>
      </x:c>
      <x:c r="B384" t="n">
        <x:v>46246.22329861111</x:v>
      </x:c>
      <x:c r="C384" t="str">
        <x:v>2026-08-06</x:v>
      </x:c>
      <x:c r="D384" t="str">
        <x:v>netease_cloud_music</x:v>
      </x:c>
      <x:c r="E384" t="str">
        <x:v>CN</x:v>
      </x:c>
      <x:c r="F384" t="str">
        <x:v>original</x:v>
      </x:c>
      <x:c r="G384" t="str">
        <x:v>原创榜</x:v>
      </x:c>
      <x:c r="H384" t="str">
        <x:v>2884035</x:v>
      </x:c>
      <x:c r="I384" t="n">
        <x:v>100</x:v>
      </x:c>
      <x:c r="J384" t="n">
        <x:v>80</x:v>
      </x:c>
      <x:c r="K384" t="n">
        <x:v>21</x:v>
      </x:c>
      <x:c r="L384" t="str">
        <x:v>3413843657</x:v>
      </x:c>
      <x:c r="M384" t="str">
        <x:v>小房间rapper</x:v>
      </x:c>
      <x:c r="N384" t="str">
        <x:v>58911824</x:v>
      </x:c>
      <x:c r="O384" t="str">
        <x:v>芒斯特</x:v>
      </x:c>
      <x:c r="P384" t="str">
        <x:v>389882543</x:v>
      </x:c>
      <x:c r="Q384" t="str">
        <x:v>小房间rapper</x:v>
      </x:c>
      <x:c r="R384" t="str"/>
      <x:c r="S384" t="str"/>
      <x:c r="T384"/>
      <x:c r="U384"/>
      <x:c r="V384" t="str">
        <x:v>https://music.163.com/song?id=3413843657</x:v>
      </x:c>
      <x:c r="W384" t="str">
        <x:v>http://p1.music.126.net/7uGG2NuKn6qr6RehrBxptA==/109951173664345770.jpg</x:v>
      </x:c>
      <x:c r="X384" t="str">
        <x:v>https://music.163.com/discover/toplist?id=2884035</x:v>
      </x:c>
      <x:c r="Y384" t="str">
        <x:v>https://music.163.com/api/playlist/detail?id=2884035&amp;n=100</x:v>
      </x:c>
      <x:c r="Z384" s="24" t="str">
        <x:f>IFERROR(VLOOKUP(F384,'07_字典与参数'!$A$5:$E$10,3,FALSE),"待映射")</x:f>
        <x:v>网易云音乐</x:v>
      </x:c>
      <x:c r="AA384" s="24" t="str">
        <x:f>IFERROR(VLOOKUP(F384,'07_字典与参数'!$A$5:$E$10,2,FALSE),"待映射")</x:f>
        <x:v>原创榜</x:v>
      </x:c>
      <x:c r="AB384" s="24" t="str">
        <x:f>IFERROR(VLOOKUP(F384,'07_字典与参数'!$A$5:$E$10,4,FALSE),"待映射")</x:f>
        <x:v>每周四</x:v>
      </x:c>
      <x:c r="AC384" s="24" t="str">
        <x:f>D384&amp;"|"&amp;F384&amp;"|"&amp;L384</x:f>
        <x:v>netease_cloud_music|original|3413843657</x:v>
      </x:c>
      <x:c r="AD384" s="24" t="str">
        <x:f>IF(J384&lt;=10,"是","否")</x:f>
        <x:v>否</x:v>
      </x:c>
      <x:c r="AE384" s="24" t="str">
        <x:f>IFERROR(YEAR(R384),"缺失")</x:f>
        <x:v>缺失</x:v>
      </x:c>
    </x:row>
    <x:row r="385">
      <x:c r="A385" t="str">
        <x:v>20260812T132133+0800</x:v>
      </x:c>
      <x:c r="B385" t="n">
        <x:v>46246.22329861111</x:v>
      </x:c>
      <x:c r="C385" t="str">
        <x:v>2026-08-06</x:v>
      </x:c>
      <x:c r="D385" t="str">
        <x:v>netease_cloud_music</x:v>
      </x:c>
      <x:c r="E385" t="str">
        <x:v>CN</x:v>
      </x:c>
      <x:c r="F385" t="str">
        <x:v>original</x:v>
      </x:c>
      <x:c r="G385" t="str">
        <x:v>原创榜</x:v>
      </x:c>
      <x:c r="H385" t="str">
        <x:v>2884035</x:v>
      </x:c>
      <x:c r="I385" t="n">
        <x:v>100</x:v>
      </x:c>
      <x:c r="J385" t="n">
        <x:v>81</x:v>
      </x:c>
      <x:c r="K385" t="n">
        <x:v>20</x:v>
      </x:c>
      <x:c r="L385" t="str">
        <x:v>3414594048</x:v>
      </x:c>
      <x:c r="M385" t="str">
        <x:v>坏夏(BAD SUMmEr)</x:v>
      </x:c>
      <x:c r="N385" t="str">
        <x:v>13681435</x:v>
      </x:c>
      <x:c r="O385" t="str">
        <x:v>朱恩池ZGODZ</x:v>
      </x:c>
      <x:c r="P385" t="str">
        <x:v>390138828</x:v>
      </x:c>
      <x:c r="Q385" t="str">
        <x:v>坏夏（BAD SUMmEr）</x:v>
      </x:c>
      <x:c r="R385" t="str"/>
      <x:c r="S385" t="str"/>
      <x:c r="T385"/>
      <x:c r="U385"/>
      <x:c r="V385" t="str">
        <x:v>https://music.163.com/song?id=3414594048</x:v>
      </x:c>
      <x:c r="W385" t="str">
        <x:v>http://p1.music.126.net/-loVQIDvIQWdebAddFNtIA==/109951173672885698.jpg</x:v>
      </x:c>
      <x:c r="X385" t="str">
        <x:v>https://music.163.com/discover/toplist?id=2884035</x:v>
      </x:c>
      <x:c r="Y385" t="str">
        <x:v>https://music.163.com/api/playlist/detail?id=2884035&amp;n=100</x:v>
      </x:c>
      <x:c r="Z385" s="24" t="str">
        <x:f>IFERROR(VLOOKUP(F385,'07_字典与参数'!$A$5:$E$10,3,FALSE),"待映射")</x:f>
        <x:v>网易云音乐</x:v>
      </x:c>
      <x:c r="AA385" s="24" t="str">
        <x:f>IFERROR(VLOOKUP(F385,'07_字典与参数'!$A$5:$E$10,2,FALSE),"待映射")</x:f>
        <x:v>原创榜</x:v>
      </x:c>
      <x:c r="AB385" s="24" t="str">
        <x:f>IFERROR(VLOOKUP(F385,'07_字典与参数'!$A$5:$E$10,4,FALSE),"待映射")</x:f>
        <x:v>每周四</x:v>
      </x:c>
      <x:c r="AC385" s="24" t="str">
        <x:f>D385&amp;"|"&amp;F385&amp;"|"&amp;L385</x:f>
        <x:v>netease_cloud_music|original|3414594048</x:v>
      </x:c>
      <x:c r="AD385" s="24" t="str">
        <x:f>IF(J385&lt;=10,"是","否")</x:f>
        <x:v>否</x:v>
      </x:c>
      <x:c r="AE385" s="24" t="str">
        <x:f>IFERROR(YEAR(R385),"缺失")</x:f>
        <x:v>缺失</x:v>
      </x:c>
    </x:row>
    <x:row r="386">
      <x:c r="A386" t="str">
        <x:v>20260812T132133+0800</x:v>
      </x:c>
      <x:c r="B386" t="n">
        <x:v>46246.22329861111</x:v>
      </x:c>
      <x:c r="C386" t="str">
        <x:v>2026-08-06</x:v>
      </x:c>
      <x:c r="D386" t="str">
        <x:v>netease_cloud_music</x:v>
      </x:c>
      <x:c r="E386" t="str">
        <x:v>CN</x:v>
      </x:c>
      <x:c r="F386" t="str">
        <x:v>original</x:v>
      </x:c>
      <x:c r="G386" t="str">
        <x:v>原创榜</x:v>
      </x:c>
      <x:c r="H386" t="str">
        <x:v>2884035</x:v>
      </x:c>
      <x:c r="I386" t="n">
        <x:v>100</x:v>
      </x:c>
      <x:c r="J386" t="n">
        <x:v>82</x:v>
      </x:c>
      <x:c r="K386" t="n">
        <x:v>19</x:v>
      </x:c>
      <x:c r="L386" t="str">
        <x:v>3414398830</x:v>
      </x:c>
      <x:c r="M386" t="str">
        <x:v>只喝一杯</x:v>
      </x:c>
      <x:c r="N386" t="str">
        <x:v>12126856</x:v>
      </x:c>
      <x:c r="O386" t="str">
        <x:v>白皮书乐队</x:v>
      </x:c>
      <x:c r="P386" t="str">
        <x:v>390077200</x:v>
      </x:c>
      <x:c r="Q386" t="str">
        <x:v>只喝一杯</x:v>
      </x:c>
      <x:c r="R386" t="str"/>
      <x:c r="S386" t="str"/>
      <x:c r="T386"/>
      <x:c r="U386"/>
      <x:c r="V386" t="str">
        <x:v>https://music.163.com/song?id=3414398830</x:v>
      </x:c>
      <x:c r="W386" t="str">
        <x:v>http://p1.music.126.net/kS2Vrbj7rtyLOtMiv766vg==/109951173670659812.jpg</x:v>
      </x:c>
      <x:c r="X386" t="str">
        <x:v>https://music.163.com/discover/toplist?id=2884035</x:v>
      </x:c>
      <x:c r="Y386" t="str">
        <x:v>https://music.163.com/api/playlist/detail?id=2884035&amp;n=100</x:v>
      </x:c>
      <x:c r="Z386" s="24" t="str">
        <x:f>IFERROR(VLOOKUP(F386,'07_字典与参数'!$A$5:$E$10,3,FALSE),"待映射")</x:f>
        <x:v>网易云音乐</x:v>
      </x:c>
      <x:c r="AA386" s="24" t="str">
        <x:f>IFERROR(VLOOKUP(F386,'07_字典与参数'!$A$5:$E$10,2,FALSE),"待映射")</x:f>
        <x:v>原创榜</x:v>
      </x:c>
      <x:c r="AB386" s="24" t="str">
        <x:f>IFERROR(VLOOKUP(F386,'07_字典与参数'!$A$5:$E$10,4,FALSE),"待映射")</x:f>
        <x:v>每周四</x:v>
      </x:c>
      <x:c r="AC386" s="24" t="str">
        <x:f>D386&amp;"|"&amp;F386&amp;"|"&amp;L386</x:f>
        <x:v>netease_cloud_music|original|3414398830</x:v>
      </x:c>
      <x:c r="AD386" s="24" t="str">
        <x:f>IF(J386&lt;=10,"是","否")</x:f>
        <x:v>否</x:v>
      </x:c>
      <x:c r="AE386" s="24" t="str">
        <x:f>IFERROR(YEAR(R386),"缺失")</x:f>
        <x:v>缺失</x:v>
      </x:c>
    </x:row>
    <x:row r="387">
      <x:c r="A387" t="str">
        <x:v>20260812T132133+0800</x:v>
      </x:c>
      <x:c r="B387" t="n">
        <x:v>46246.22329861111</x:v>
      </x:c>
      <x:c r="C387" t="str">
        <x:v>2026-08-06</x:v>
      </x:c>
      <x:c r="D387" t="str">
        <x:v>netease_cloud_music</x:v>
      </x:c>
      <x:c r="E387" t="str">
        <x:v>CN</x:v>
      </x:c>
      <x:c r="F387" t="str">
        <x:v>original</x:v>
      </x:c>
      <x:c r="G387" t="str">
        <x:v>原创榜</x:v>
      </x:c>
      <x:c r="H387" t="str">
        <x:v>2884035</x:v>
      </x:c>
      <x:c r="I387" t="n">
        <x:v>100</x:v>
      </x:c>
      <x:c r="J387" t="n">
        <x:v>83</x:v>
      </x:c>
      <x:c r="K387" t="n">
        <x:v>18</x:v>
      </x:c>
      <x:c r="L387" t="str">
        <x:v>3413710903</x:v>
      </x:c>
      <x:c r="M387" t="str">
        <x:v>Sad Girl</x:v>
      </x:c>
      <x:c r="N387" t="str">
        <x:v>60864281</x:v>
      </x:c>
      <x:c r="O387" t="str">
        <x:v>胧</x:v>
      </x:c>
      <x:c r="P387" t="str">
        <x:v>389824304</x:v>
      </x:c>
      <x:c r="Q387" t="str">
        <x:v>Sad Girl</x:v>
      </x:c>
      <x:c r="R387" t="str"/>
      <x:c r="S387" t="str"/>
      <x:c r="T387"/>
      <x:c r="U387"/>
      <x:c r="V387" t="str">
        <x:v>https://music.163.com/song?id=3413710903</x:v>
      </x:c>
      <x:c r="W387" t="str">
        <x:v>http://p1.music.126.net/iJLOgdi-rPzn2BHxdxOueg==/109951173663129408.jpg</x:v>
      </x:c>
      <x:c r="X387" t="str">
        <x:v>https://music.163.com/discover/toplist?id=2884035</x:v>
      </x:c>
      <x:c r="Y387" t="str">
        <x:v>https://music.163.com/api/playlist/detail?id=2884035&amp;n=100</x:v>
      </x:c>
      <x:c r="Z387" s="24" t="str">
        <x:f>IFERROR(VLOOKUP(F387,'07_字典与参数'!$A$5:$E$10,3,FALSE),"待映射")</x:f>
        <x:v>网易云音乐</x:v>
      </x:c>
      <x:c r="AA387" s="24" t="str">
        <x:f>IFERROR(VLOOKUP(F387,'07_字典与参数'!$A$5:$E$10,2,FALSE),"待映射")</x:f>
        <x:v>原创榜</x:v>
      </x:c>
      <x:c r="AB387" s="24" t="str">
        <x:f>IFERROR(VLOOKUP(F387,'07_字典与参数'!$A$5:$E$10,4,FALSE),"待映射")</x:f>
        <x:v>每周四</x:v>
      </x:c>
      <x:c r="AC387" s="24" t="str">
        <x:f>D387&amp;"|"&amp;F387&amp;"|"&amp;L387</x:f>
        <x:v>netease_cloud_music|original|3413710903</x:v>
      </x:c>
      <x:c r="AD387" s="24" t="str">
        <x:f>IF(J387&lt;=10,"是","否")</x:f>
        <x:v>否</x:v>
      </x:c>
      <x:c r="AE387" s="24" t="str">
        <x:f>IFERROR(YEAR(R387),"缺失")</x:f>
        <x:v>缺失</x:v>
      </x:c>
    </x:row>
    <x:row r="388">
      <x:c r="A388" t="str">
        <x:v>20260812T132133+0800</x:v>
      </x:c>
      <x:c r="B388" t="n">
        <x:v>46246.22329861111</x:v>
      </x:c>
      <x:c r="C388" t="str">
        <x:v>2026-08-06</x:v>
      </x:c>
      <x:c r="D388" t="str">
        <x:v>netease_cloud_music</x:v>
      </x:c>
      <x:c r="E388" t="str">
        <x:v>CN</x:v>
      </x:c>
      <x:c r="F388" t="str">
        <x:v>original</x:v>
      </x:c>
      <x:c r="G388" t="str">
        <x:v>原创榜</x:v>
      </x:c>
      <x:c r="H388" t="str">
        <x:v>2884035</x:v>
      </x:c>
      <x:c r="I388" t="n">
        <x:v>100</x:v>
      </x:c>
      <x:c r="J388" t="n">
        <x:v>84</x:v>
      </x:c>
      <x:c r="K388" t="n">
        <x:v>17</x:v>
      </x:c>
      <x:c r="L388" t="str">
        <x:v>3411984730</x:v>
      </x:c>
      <x:c r="M388" t="str">
        <x:v>无声海域（silence sea)</x:v>
      </x:c>
      <x:c r="N388" t="str">
        <x:v>35247227</x:v>
      </x:c>
      <x:c r="O388" t="str">
        <x:v>汤果果Apple</x:v>
      </x:c>
      <x:c r="P388" t="str">
        <x:v>389250777</x:v>
      </x:c>
      <x:c r="Q388" t="str">
        <x:v>无声海域（silence sea)</x:v>
      </x:c>
      <x:c r="R388" t="str"/>
      <x:c r="S388" t="str"/>
      <x:c r="T388"/>
      <x:c r="U388"/>
      <x:c r="V388" t="str">
        <x:v>https://music.163.com/song?id=3411984730</x:v>
      </x:c>
      <x:c r="W388" t="str">
        <x:v>http://p1.music.126.net/mddkW_fM0HzMibMvl8yMJQ==/109951173645972297.jpg</x:v>
      </x:c>
      <x:c r="X388" t="str">
        <x:v>https://music.163.com/discover/toplist?id=2884035</x:v>
      </x:c>
      <x:c r="Y388" t="str">
        <x:v>https://music.163.com/api/playlist/detail?id=2884035&amp;n=100</x:v>
      </x:c>
      <x:c r="Z388" s="24" t="str">
        <x:f>IFERROR(VLOOKUP(F388,'07_字典与参数'!$A$5:$E$10,3,FALSE),"待映射")</x:f>
        <x:v>网易云音乐</x:v>
      </x:c>
      <x:c r="AA388" s="24" t="str">
        <x:f>IFERROR(VLOOKUP(F388,'07_字典与参数'!$A$5:$E$10,2,FALSE),"待映射")</x:f>
        <x:v>原创榜</x:v>
      </x:c>
      <x:c r="AB388" s="24" t="str">
        <x:f>IFERROR(VLOOKUP(F388,'07_字典与参数'!$A$5:$E$10,4,FALSE),"待映射")</x:f>
        <x:v>每周四</x:v>
      </x:c>
      <x:c r="AC388" s="24" t="str">
        <x:f>D388&amp;"|"&amp;F388&amp;"|"&amp;L388</x:f>
        <x:v>netease_cloud_music|original|3411984730</x:v>
      </x:c>
      <x:c r="AD388" s="24" t="str">
        <x:f>IF(J388&lt;=10,"是","否")</x:f>
        <x:v>否</x:v>
      </x:c>
      <x:c r="AE388" s="24" t="str">
        <x:f>IFERROR(YEAR(R388),"缺失")</x:f>
        <x:v>缺失</x:v>
      </x:c>
    </x:row>
    <x:row r="389">
      <x:c r="A389" t="str">
        <x:v>20260812T132133+0800</x:v>
      </x:c>
      <x:c r="B389" t="n">
        <x:v>46246.22329861111</x:v>
      </x:c>
      <x:c r="C389" t="str">
        <x:v>2026-08-06</x:v>
      </x:c>
      <x:c r="D389" t="str">
        <x:v>netease_cloud_music</x:v>
      </x:c>
      <x:c r="E389" t="str">
        <x:v>CN</x:v>
      </x:c>
      <x:c r="F389" t="str">
        <x:v>original</x:v>
      </x:c>
      <x:c r="G389" t="str">
        <x:v>原创榜</x:v>
      </x:c>
      <x:c r="H389" t="str">
        <x:v>2884035</x:v>
      </x:c>
      <x:c r="I389" t="n">
        <x:v>100</x:v>
      </x:c>
      <x:c r="J389" t="n">
        <x:v>85</x:v>
      </x:c>
      <x:c r="K389" t="n">
        <x:v>16</x:v>
      </x:c>
      <x:c r="L389" t="str">
        <x:v>3412048506</x:v>
      </x:c>
      <x:c r="M389" t="str">
        <x:v>假面论</x:v>
      </x:c>
      <x:c r="N389" t="str">
        <x:v>32036990</x:v>
      </x:c>
      <x:c r="O389" t="str">
        <x:v>离离</x:v>
      </x:c>
      <x:c r="P389" t="str">
        <x:v>389241574</x:v>
      </x:c>
      <x:c r="Q389" t="str">
        <x:v>假面论</x:v>
      </x:c>
      <x:c r="R389" t="str"/>
      <x:c r="S389" t="str"/>
      <x:c r="T389"/>
      <x:c r="U389"/>
      <x:c r="V389" t="str">
        <x:v>https://music.163.com/song?id=3412048506</x:v>
      </x:c>
      <x:c r="W389" t="str">
        <x:v>http://p1.music.126.net/W7qNmcHMfamP28KwgDUYEQ==/109951173646759512.jpg</x:v>
      </x:c>
      <x:c r="X389" t="str">
        <x:v>https://music.163.com/discover/toplist?id=2884035</x:v>
      </x:c>
      <x:c r="Y389" t="str">
        <x:v>https://music.163.com/api/playlist/detail?id=2884035&amp;n=100</x:v>
      </x:c>
      <x:c r="Z389" s="24" t="str">
        <x:f>IFERROR(VLOOKUP(F389,'07_字典与参数'!$A$5:$E$10,3,FALSE),"待映射")</x:f>
        <x:v>网易云音乐</x:v>
      </x:c>
      <x:c r="AA389" s="24" t="str">
        <x:f>IFERROR(VLOOKUP(F389,'07_字典与参数'!$A$5:$E$10,2,FALSE),"待映射")</x:f>
        <x:v>原创榜</x:v>
      </x:c>
      <x:c r="AB389" s="24" t="str">
        <x:f>IFERROR(VLOOKUP(F389,'07_字典与参数'!$A$5:$E$10,4,FALSE),"待映射")</x:f>
        <x:v>每周四</x:v>
      </x:c>
      <x:c r="AC389" s="24" t="str">
        <x:f>D389&amp;"|"&amp;F389&amp;"|"&amp;L389</x:f>
        <x:v>netease_cloud_music|original|3412048506</x:v>
      </x:c>
      <x:c r="AD389" s="24" t="str">
        <x:f>IF(J389&lt;=10,"是","否")</x:f>
        <x:v>否</x:v>
      </x:c>
      <x:c r="AE389" s="24" t="str">
        <x:f>IFERROR(YEAR(R389),"缺失")</x:f>
        <x:v>缺失</x:v>
      </x:c>
    </x:row>
    <x:row r="390">
      <x:c r="A390" t="str">
        <x:v>20260812T132133+0800</x:v>
      </x:c>
      <x:c r="B390" t="n">
        <x:v>46246.22329861111</x:v>
      </x:c>
      <x:c r="C390" t="str">
        <x:v>2026-08-06</x:v>
      </x:c>
      <x:c r="D390" t="str">
        <x:v>netease_cloud_music</x:v>
      </x:c>
      <x:c r="E390" t="str">
        <x:v>CN</x:v>
      </x:c>
      <x:c r="F390" t="str">
        <x:v>original</x:v>
      </x:c>
      <x:c r="G390" t="str">
        <x:v>原创榜</x:v>
      </x:c>
      <x:c r="H390" t="str">
        <x:v>2884035</x:v>
      </x:c>
      <x:c r="I390" t="n">
        <x:v>100</x:v>
      </x:c>
      <x:c r="J390" t="n">
        <x:v>86</x:v>
      </x:c>
      <x:c r="K390" t="n">
        <x:v>15</x:v>
      </x:c>
      <x:c r="L390" t="str">
        <x:v>3411887302</x:v>
      </x:c>
      <x:c r="M390" t="str">
        <x:v>Take You There</x:v>
      </x:c>
      <x:c r="N390" t="str">
        <x:v>28420071</x:v>
      </x:c>
      <x:c r="O390" t="str">
        <x:v>舵Diverseddie</x:v>
      </x:c>
      <x:c r="P390" t="str">
        <x:v>389208981</x:v>
      </x:c>
      <x:c r="Q390" t="str">
        <x:v>Take You There</x:v>
      </x:c>
      <x:c r="R390" t="str"/>
      <x:c r="S390" t="str"/>
      <x:c r="T390"/>
      <x:c r="U390"/>
      <x:c r="V390" t="str">
        <x:v>https://music.163.com/song?id=3411887302</x:v>
      </x:c>
      <x:c r="W390" t="str">
        <x:v>http://p1.music.126.net/sNA6GNaOKgbTqGkP1Ubomw==/109951173644578729.jpg</x:v>
      </x:c>
      <x:c r="X390" t="str">
        <x:v>https://music.163.com/discover/toplist?id=2884035</x:v>
      </x:c>
      <x:c r="Y390" t="str">
        <x:v>https://music.163.com/api/playlist/detail?id=2884035&amp;n=100</x:v>
      </x:c>
      <x:c r="Z390" s="24" t="str">
        <x:f>IFERROR(VLOOKUP(F390,'07_字典与参数'!$A$5:$E$10,3,FALSE),"待映射")</x:f>
        <x:v>网易云音乐</x:v>
      </x:c>
      <x:c r="AA390" s="24" t="str">
        <x:f>IFERROR(VLOOKUP(F390,'07_字典与参数'!$A$5:$E$10,2,FALSE),"待映射")</x:f>
        <x:v>原创榜</x:v>
      </x:c>
      <x:c r="AB390" s="24" t="str">
        <x:f>IFERROR(VLOOKUP(F390,'07_字典与参数'!$A$5:$E$10,4,FALSE),"待映射")</x:f>
        <x:v>每周四</x:v>
      </x:c>
      <x:c r="AC390" s="24" t="str">
        <x:f>D390&amp;"|"&amp;F390&amp;"|"&amp;L390</x:f>
        <x:v>netease_cloud_music|original|3411887302</x:v>
      </x:c>
      <x:c r="AD390" s="24" t="str">
        <x:f>IF(J390&lt;=10,"是","否")</x:f>
        <x:v>否</x:v>
      </x:c>
      <x:c r="AE390" s="24" t="str">
        <x:f>IFERROR(YEAR(R390),"缺失")</x:f>
        <x:v>缺失</x:v>
      </x:c>
    </x:row>
    <x:row r="391">
      <x:c r="A391" t="str">
        <x:v>20260812T132133+0800</x:v>
      </x:c>
      <x:c r="B391" t="n">
        <x:v>46246.22329861111</x:v>
      </x:c>
      <x:c r="C391" t="str">
        <x:v>2026-08-06</x:v>
      </x:c>
      <x:c r="D391" t="str">
        <x:v>netease_cloud_music</x:v>
      </x:c>
      <x:c r="E391" t="str">
        <x:v>CN</x:v>
      </x:c>
      <x:c r="F391" t="str">
        <x:v>original</x:v>
      </x:c>
      <x:c r="G391" t="str">
        <x:v>原创榜</x:v>
      </x:c>
      <x:c r="H391" t="str">
        <x:v>2884035</x:v>
      </x:c>
      <x:c r="I391" t="n">
        <x:v>100</x:v>
      </x:c>
      <x:c r="J391" t="n">
        <x:v>87</x:v>
      </x:c>
      <x:c r="K391" t="n">
        <x:v>14</x:v>
      </x:c>
      <x:c r="L391" t="str">
        <x:v>3412542059</x:v>
      </x:c>
      <x:c r="M391" t="str">
        <x:v>东屯渡Sh!t</x:v>
      </x:c>
      <x:c r="N391" t="str">
        <x:v>12060069 | 1050364 | 54547508 | 12319437</x:v>
      </x:c>
      <x:c r="O391" t="str">
        <x:v>Jio吉欧 | Yee | KazChou | RANZER叶润泽</x:v>
      </x:c>
      <x:c r="P391" t="str">
        <x:v>389437516</x:v>
      </x:c>
      <x:c r="Q391" t="str">
        <x:v>东屯渡Mixtape Vol.1</x:v>
      </x:c>
      <x:c r="R391" t="str"/>
      <x:c r="S391" t="str"/>
      <x:c r="T391"/>
      <x:c r="U391"/>
      <x:c r="V391" t="str">
        <x:v>https://music.163.com/song?id=3412542059</x:v>
      </x:c>
      <x:c r="W391" t="str">
        <x:v>http://p1.music.126.net/0v2C6gRhGGiCHR_e_Y3hgQ==/109951173651463729.jpg</x:v>
      </x:c>
      <x:c r="X391" t="str">
        <x:v>https://music.163.com/discover/toplist?id=2884035</x:v>
      </x:c>
      <x:c r="Y391" t="str">
        <x:v>https://music.163.com/api/playlist/detail?id=2884035&amp;n=100</x:v>
      </x:c>
      <x:c r="Z391" s="24" t="str">
        <x:f>IFERROR(VLOOKUP(F391,'07_字典与参数'!$A$5:$E$10,3,FALSE),"待映射")</x:f>
        <x:v>网易云音乐</x:v>
      </x:c>
      <x:c r="AA391" s="24" t="str">
        <x:f>IFERROR(VLOOKUP(F391,'07_字典与参数'!$A$5:$E$10,2,FALSE),"待映射")</x:f>
        <x:v>原创榜</x:v>
      </x:c>
      <x:c r="AB391" s="24" t="str">
        <x:f>IFERROR(VLOOKUP(F391,'07_字典与参数'!$A$5:$E$10,4,FALSE),"待映射")</x:f>
        <x:v>每周四</x:v>
      </x:c>
      <x:c r="AC391" s="24" t="str">
        <x:f>D391&amp;"|"&amp;F391&amp;"|"&amp;L391</x:f>
        <x:v>netease_cloud_music|original|3412542059</x:v>
      </x:c>
      <x:c r="AD391" s="24" t="str">
        <x:f>IF(J391&lt;=10,"是","否")</x:f>
        <x:v>否</x:v>
      </x:c>
      <x:c r="AE391" s="24" t="str">
        <x:f>IFERROR(YEAR(R391),"缺失")</x:f>
        <x:v>缺失</x:v>
      </x:c>
    </x:row>
    <x:row r="392">
      <x:c r="A392" t="str">
        <x:v>20260812T132133+0800</x:v>
      </x:c>
      <x:c r="B392" t="n">
        <x:v>46246.22329861111</x:v>
      </x:c>
      <x:c r="C392" t="str">
        <x:v>2026-08-06</x:v>
      </x:c>
      <x:c r="D392" t="str">
        <x:v>netease_cloud_music</x:v>
      </x:c>
      <x:c r="E392" t="str">
        <x:v>CN</x:v>
      </x:c>
      <x:c r="F392" t="str">
        <x:v>original</x:v>
      </x:c>
      <x:c r="G392" t="str">
        <x:v>原创榜</x:v>
      </x:c>
      <x:c r="H392" t="str">
        <x:v>2884035</x:v>
      </x:c>
      <x:c r="I392" t="n">
        <x:v>100</x:v>
      </x:c>
      <x:c r="J392" t="n">
        <x:v>88</x:v>
      </x:c>
      <x:c r="K392" t="n">
        <x:v>13</x:v>
      </x:c>
      <x:c r="L392" t="str">
        <x:v>3409267450</x:v>
      </x:c>
      <x:c r="M392" t="str">
        <x:v>情绪</x:v>
      </x:c>
      <x:c r="N392" t="str">
        <x:v>12037062 | 12552425</x:v>
      </x:c>
      <x:c r="O392" t="str">
        <x:v>NaCho | Even仇依文</x:v>
      </x:c>
      <x:c r="P392" t="str">
        <x:v>388171302</x:v>
      </x:c>
      <x:c r="Q392" t="str">
        <x:v>情绪</x:v>
      </x:c>
      <x:c r="R392" t="str"/>
      <x:c r="S392" t="str"/>
      <x:c r="T392"/>
      <x:c r="U392"/>
      <x:c r="V392" t="str">
        <x:v>https://music.163.com/song?id=3409267450</x:v>
      </x:c>
      <x:c r="W392" t="str">
        <x:v>http://p1.music.126.net/Ob9udo-tVGgh4ZkxC7fITQ==/109951173602872889.jpg</x:v>
      </x:c>
      <x:c r="X392" t="str">
        <x:v>https://music.163.com/discover/toplist?id=2884035</x:v>
      </x:c>
      <x:c r="Y392" t="str">
        <x:v>https://music.163.com/api/playlist/detail?id=2884035&amp;n=100</x:v>
      </x:c>
      <x:c r="Z392" s="24" t="str">
        <x:f>IFERROR(VLOOKUP(F392,'07_字典与参数'!$A$5:$E$10,3,FALSE),"待映射")</x:f>
        <x:v>网易云音乐</x:v>
      </x:c>
      <x:c r="AA392" s="24" t="str">
        <x:f>IFERROR(VLOOKUP(F392,'07_字典与参数'!$A$5:$E$10,2,FALSE),"待映射")</x:f>
        <x:v>原创榜</x:v>
      </x:c>
      <x:c r="AB392" s="24" t="str">
        <x:f>IFERROR(VLOOKUP(F392,'07_字典与参数'!$A$5:$E$10,4,FALSE),"待映射")</x:f>
        <x:v>每周四</x:v>
      </x:c>
      <x:c r="AC392" s="24" t="str">
        <x:f>D392&amp;"|"&amp;F392&amp;"|"&amp;L392</x:f>
        <x:v>netease_cloud_music|original|3409267450</x:v>
      </x:c>
      <x:c r="AD392" s="24" t="str">
        <x:f>IF(J392&lt;=10,"是","否")</x:f>
        <x:v>否</x:v>
      </x:c>
      <x:c r="AE392" s="24" t="str">
        <x:f>IFERROR(YEAR(R392),"缺失")</x:f>
        <x:v>缺失</x:v>
      </x:c>
    </x:row>
    <x:row r="393">
      <x:c r="A393" t="str">
        <x:v>20260812T132133+0800</x:v>
      </x:c>
      <x:c r="B393" t="n">
        <x:v>46246.22329861111</x:v>
      </x:c>
      <x:c r="C393" t="str">
        <x:v>2026-08-06</x:v>
      </x:c>
      <x:c r="D393" t="str">
        <x:v>netease_cloud_music</x:v>
      </x:c>
      <x:c r="E393" t="str">
        <x:v>CN</x:v>
      </x:c>
      <x:c r="F393" t="str">
        <x:v>original</x:v>
      </x:c>
      <x:c r="G393" t="str">
        <x:v>原创榜</x:v>
      </x:c>
      <x:c r="H393" t="str">
        <x:v>2884035</x:v>
      </x:c>
      <x:c r="I393" t="n">
        <x:v>100</x:v>
      </x:c>
      <x:c r="J393" t="n">
        <x:v>89</x:v>
      </x:c>
      <x:c r="K393" t="n">
        <x:v>12</x:v>
      </x:c>
      <x:c r="L393" t="str">
        <x:v>3414988815</x:v>
      </x:c>
      <x:c r="M393" t="str">
        <x:v>假面世界</x:v>
      </x:c>
      <x:c r="N393" t="str">
        <x:v>34145969</x:v>
      </x:c>
      <x:c r="O393" t="str">
        <x:v>太陽無限</x:v>
      </x:c>
      <x:c r="P393" t="str">
        <x:v>390244414</x:v>
      </x:c>
      <x:c r="Q393" t="str">
        <x:v>假面三部曲</x:v>
      </x:c>
      <x:c r="R393" t="str"/>
      <x:c r="S393" t="str"/>
      <x:c r="T393"/>
      <x:c r="U393"/>
      <x:c r="V393" t="str">
        <x:v>https://music.163.com/song?id=3414988815</x:v>
      </x:c>
      <x:c r="W393" t="str">
        <x:v>http://p1.music.126.net/tY6lJ0m9ULaM-yLTAi6Odg==/109951173676880197.jpg</x:v>
      </x:c>
      <x:c r="X393" t="str">
        <x:v>https://music.163.com/discover/toplist?id=2884035</x:v>
      </x:c>
      <x:c r="Y393" t="str">
        <x:v>https://music.163.com/api/playlist/detail?id=2884035&amp;n=100</x:v>
      </x:c>
      <x:c r="Z393" s="24" t="str">
        <x:f>IFERROR(VLOOKUP(F393,'07_字典与参数'!$A$5:$E$10,3,FALSE),"待映射")</x:f>
        <x:v>网易云音乐</x:v>
      </x:c>
      <x:c r="AA393" s="24" t="str">
        <x:f>IFERROR(VLOOKUP(F393,'07_字典与参数'!$A$5:$E$10,2,FALSE),"待映射")</x:f>
        <x:v>原创榜</x:v>
      </x:c>
      <x:c r="AB393" s="24" t="str">
        <x:f>IFERROR(VLOOKUP(F393,'07_字典与参数'!$A$5:$E$10,4,FALSE),"待映射")</x:f>
        <x:v>每周四</x:v>
      </x:c>
      <x:c r="AC393" s="24" t="str">
        <x:f>D393&amp;"|"&amp;F393&amp;"|"&amp;L393</x:f>
        <x:v>netease_cloud_music|original|3414988815</x:v>
      </x:c>
      <x:c r="AD393" s="24" t="str">
        <x:f>IF(J393&lt;=10,"是","否")</x:f>
        <x:v>否</x:v>
      </x:c>
      <x:c r="AE393" s="24" t="str">
        <x:f>IFERROR(YEAR(R393),"缺失")</x:f>
        <x:v>缺失</x:v>
      </x:c>
    </x:row>
    <x:row r="394">
      <x:c r="A394" t="str">
        <x:v>20260812T132133+0800</x:v>
      </x:c>
      <x:c r="B394" t="n">
        <x:v>46246.22329861111</x:v>
      </x:c>
      <x:c r="C394" t="str">
        <x:v>2026-08-06</x:v>
      </x:c>
      <x:c r="D394" t="str">
        <x:v>netease_cloud_music</x:v>
      </x:c>
      <x:c r="E394" t="str">
        <x:v>CN</x:v>
      </x:c>
      <x:c r="F394" t="str">
        <x:v>original</x:v>
      </x:c>
      <x:c r="G394" t="str">
        <x:v>原创榜</x:v>
      </x:c>
      <x:c r="H394" t="str">
        <x:v>2884035</x:v>
      </x:c>
      <x:c r="I394" t="n">
        <x:v>100</x:v>
      </x:c>
      <x:c r="J394" t="n">
        <x:v>90</x:v>
      </x:c>
      <x:c r="K394" t="n">
        <x:v>11</x:v>
      </x:c>
      <x:c r="L394" t="str">
        <x:v>3414912403</x:v>
      </x:c>
      <x:c r="M394" t="str">
        <x:v>自述</x:v>
      </x:c>
      <x:c r="N394" t="str">
        <x:v>59694404 |  | 59655434</x:v>
      </x:c>
      <x:c r="O394" t="str">
        <x:v>烟花燕QianSYp | 星尘 | 洛天依</x:v>
      </x:c>
      <x:c r="P394" t="str">
        <x:v>390153057</x:v>
      </x:c>
      <x:c r="Q394" t="str">
        <x:v>自述</x:v>
      </x:c>
      <x:c r="R394" t="str"/>
      <x:c r="S394" t="str"/>
      <x:c r="T394"/>
      <x:c r="U394"/>
      <x:c r="V394" t="str">
        <x:v>https://music.163.com/song?id=3414912403</x:v>
      </x:c>
      <x:c r="W394" t="str">
        <x:v>http://p1.music.126.net/IMQftyXm04--G5fPHTY6Ug==/109951173676710381.jpg</x:v>
      </x:c>
      <x:c r="X394" t="str">
        <x:v>https://music.163.com/discover/toplist?id=2884035</x:v>
      </x:c>
      <x:c r="Y394" t="str">
        <x:v>https://music.163.com/api/playlist/detail?id=2884035&amp;n=100</x:v>
      </x:c>
      <x:c r="Z394" s="24" t="str">
        <x:f>IFERROR(VLOOKUP(F394,'07_字典与参数'!$A$5:$E$10,3,FALSE),"待映射")</x:f>
        <x:v>网易云音乐</x:v>
      </x:c>
      <x:c r="AA394" s="24" t="str">
        <x:f>IFERROR(VLOOKUP(F394,'07_字典与参数'!$A$5:$E$10,2,FALSE),"待映射")</x:f>
        <x:v>原创榜</x:v>
      </x:c>
      <x:c r="AB394" s="24" t="str">
        <x:f>IFERROR(VLOOKUP(F394,'07_字典与参数'!$A$5:$E$10,4,FALSE),"待映射")</x:f>
        <x:v>每周四</x:v>
      </x:c>
      <x:c r="AC394" s="24" t="str">
        <x:f>D394&amp;"|"&amp;F394&amp;"|"&amp;L394</x:f>
        <x:v>netease_cloud_music|original|3414912403</x:v>
      </x:c>
      <x:c r="AD394" s="24" t="str">
        <x:f>IF(J394&lt;=10,"是","否")</x:f>
        <x:v>否</x:v>
      </x:c>
      <x:c r="AE394" s="24" t="str">
        <x:f>IFERROR(YEAR(R394),"缺失")</x:f>
        <x:v>缺失</x:v>
      </x:c>
    </x:row>
    <x:row r="395">
      <x:c r="A395" t="str">
        <x:v>20260812T132133+0800</x:v>
      </x:c>
      <x:c r="B395" t="n">
        <x:v>46246.22329861111</x:v>
      </x:c>
      <x:c r="C395" t="str">
        <x:v>2026-08-06</x:v>
      </x:c>
      <x:c r="D395" t="str">
        <x:v>netease_cloud_music</x:v>
      </x:c>
      <x:c r="E395" t="str">
        <x:v>CN</x:v>
      </x:c>
      <x:c r="F395" t="str">
        <x:v>original</x:v>
      </x:c>
      <x:c r="G395" t="str">
        <x:v>原创榜</x:v>
      </x:c>
      <x:c r="H395" t="str">
        <x:v>2884035</x:v>
      </x:c>
      <x:c r="I395" t="n">
        <x:v>100</x:v>
      </x:c>
      <x:c r="J395" t="n">
        <x:v>91</x:v>
      </x:c>
      <x:c r="K395" t="n">
        <x:v>10</x:v>
      </x:c>
      <x:c r="L395" t="str">
        <x:v>3411624774</x:v>
      </x:c>
      <x:c r="M395" t="str">
        <x:v>风是故乡来信</x:v>
      </x:c>
      <x:c r="N395" t="str">
        <x:v>34260409 | 30003051 | 51335248</x:v>
      </x:c>
      <x:c r="O395" t="str">
        <x:v>月引 | 清音 | 亦骨</x:v>
      </x:c>
      <x:c r="P395" t="str">
        <x:v>389030657</x:v>
      </x:c>
      <x:c r="Q395" t="str">
        <x:v>风是故乡来信</x:v>
      </x:c>
      <x:c r="R395" t="str"/>
      <x:c r="S395" t="str"/>
      <x:c r="T395"/>
      <x:c r="U395"/>
      <x:c r="V395" t="str">
        <x:v>https://music.163.com/song?id=3411624774</x:v>
      </x:c>
      <x:c r="W395" t="str">
        <x:v>http://p1.music.126.net/2h-diwn32bbP6aQdfZKXzQ==/109951173639764634.jpg</x:v>
      </x:c>
      <x:c r="X395" t="str">
        <x:v>https://music.163.com/discover/toplist?id=2884035</x:v>
      </x:c>
      <x:c r="Y395" t="str">
        <x:v>https://music.163.com/api/playlist/detail?id=2884035&amp;n=100</x:v>
      </x:c>
      <x:c r="Z395" s="24" t="str">
        <x:f>IFERROR(VLOOKUP(F395,'07_字典与参数'!$A$5:$E$10,3,FALSE),"待映射")</x:f>
        <x:v>网易云音乐</x:v>
      </x:c>
      <x:c r="AA395" s="24" t="str">
        <x:f>IFERROR(VLOOKUP(F395,'07_字典与参数'!$A$5:$E$10,2,FALSE),"待映射")</x:f>
        <x:v>原创榜</x:v>
      </x:c>
      <x:c r="AB395" s="24" t="str">
        <x:f>IFERROR(VLOOKUP(F395,'07_字典与参数'!$A$5:$E$10,4,FALSE),"待映射")</x:f>
        <x:v>每周四</x:v>
      </x:c>
      <x:c r="AC395" s="24" t="str">
        <x:f>D395&amp;"|"&amp;F395&amp;"|"&amp;L395</x:f>
        <x:v>netease_cloud_music|original|3411624774</x:v>
      </x:c>
      <x:c r="AD395" s="24" t="str">
        <x:f>IF(J395&lt;=10,"是","否")</x:f>
        <x:v>否</x:v>
      </x:c>
      <x:c r="AE395" s="24" t="str">
        <x:f>IFERROR(YEAR(R395),"缺失")</x:f>
        <x:v>缺失</x:v>
      </x:c>
    </x:row>
    <x:row r="396">
      <x:c r="A396" t="str">
        <x:v>20260812T132133+0800</x:v>
      </x:c>
      <x:c r="B396" t="n">
        <x:v>46246.22329861111</x:v>
      </x:c>
      <x:c r="C396" t="str">
        <x:v>2026-08-06</x:v>
      </x:c>
      <x:c r="D396" t="str">
        <x:v>netease_cloud_music</x:v>
      </x:c>
      <x:c r="E396" t="str">
        <x:v>CN</x:v>
      </x:c>
      <x:c r="F396" t="str">
        <x:v>original</x:v>
      </x:c>
      <x:c r="G396" t="str">
        <x:v>原创榜</x:v>
      </x:c>
      <x:c r="H396" t="str">
        <x:v>2884035</x:v>
      </x:c>
      <x:c r="I396" t="n">
        <x:v>100</x:v>
      </x:c>
      <x:c r="J396" t="n">
        <x:v>92</x:v>
      </x:c>
      <x:c r="K396" t="n">
        <x:v>9</x:v>
      </x:c>
      <x:c r="L396" t="str">
        <x:v>3411963375</x:v>
      </x:c>
      <x:c r="M396" t="str">
        <x:v>人类无法飞翔</x:v>
      </x:c>
      <x:c r="N396" t="str">
        <x:v>52474116 | 122307884</x:v>
      </x:c>
      <x:c r="O396" t="str">
        <x:v>CASHCOWI凯希考艾 | simo^_^</x:v>
      </x:c>
      <x:c r="P396" t="str">
        <x:v>389241207</x:v>
      </x:c>
      <x:c r="Q396" t="str">
        <x:v>清醒梦症候群</x:v>
      </x:c>
      <x:c r="R396" t="str"/>
      <x:c r="S396" t="str"/>
      <x:c r="T396"/>
      <x:c r="U396"/>
      <x:c r="V396" t="str">
        <x:v>https://music.163.com/song?id=3411963375</x:v>
      </x:c>
      <x:c r="W396" t="str">
        <x:v>http://p1.music.126.net/DZztg-yhTvKCKQDxl3TdKw==/109951173603591189.jpg</x:v>
      </x:c>
      <x:c r="X396" t="str">
        <x:v>https://music.163.com/discover/toplist?id=2884035</x:v>
      </x:c>
      <x:c r="Y396" t="str">
        <x:v>https://music.163.com/api/playlist/detail?id=2884035&amp;n=100</x:v>
      </x:c>
      <x:c r="Z396" s="24" t="str">
        <x:f>IFERROR(VLOOKUP(F396,'07_字典与参数'!$A$5:$E$10,3,FALSE),"待映射")</x:f>
        <x:v>网易云音乐</x:v>
      </x:c>
      <x:c r="AA396" s="24" t="str">
        <x:f>IFERROR(VLOOKUP(F396,'07_字典与参数'!$A$5:$E$10,2,FALSE),"待映射")</x:f>
        <x:v>原创榜</x:v>
      </x:c>
      <x:c r="AB396" s="24" t="str">
        <x:f>IFERROR(VLOOKUP(F396,'07_字典与参数'!$A$5:$E$10,4,FALSE),"待映射")</x:f>
        <x:v>每周四</x:v>
      </x:c>
      <x:c r="AC396" s="24" t="str">
        <x:f>D396&amp;"|"&amp;F396&amp;"|"&amp;L396</x:f>
        <x:v>netease_cloud_music|original|3411963375</x:v>
      </x:c>
      <x:c r="AD396" s="24" t="str">
        <x:f>IF(J396&lt;=10,"是","否")</x:f>
        <x:v>否</x:v>
      </x:c>
      <x:c r="AE396" s="24" t="str">
        <x:f>IFERROR(YEAR(R396),"缺失")</x:f>
        <x:v>缺失</x:v>
      </x:c>
    </x:row>
    <x:row r="397">
      <x:c r="A397" t="str">
        <x:v>20260812T132133+0800</x:v>
      </x:c>
      <x:c r="B397" t="n">
        <x:v>46246.22329861111</x:v>
      </x:c>
      <x:c r="C397" t="str">
        <x:v>2026-08-06</x:v>
      </x:c>
      <x:c r="D397" t="str">
        <x:v>netease_cloud_music</x:v>
      </x:c>
      <x:c r="E397" t="str">
        <x:v>CN</x:v>
      </x:c>
      <x:c r="F397" t="str">
        <x:v>original</x:v>
      </x:c>
      <x:c r="G397" t="str">
        <x:v>原创榜</x:v>
      </x:c>
      <x:c r="H397" t="str">
        <x:v>2884035</x:v>
      </x:c>
      <x:c r="I397" t="n">
        <x:v>100</x:v>
      </x:c>
      <x:c r="J397" t="n">
        <x:v>93</x:v>
      </x:c>
      <x:c r="K397" t="n">
        <x:v>8</x:v>
      </x:c>
      <x:c r="L397" t="str">
        <x:v>3410617081</x:v>
      </x:c>
      <x:c r="M397" t="str">
        <x:v>叮叮当</x:v>
      </x:c>
      <x:c r="N397" t="str">
        <x:v>12443292 | 13059447</x:v>
      </x:c>
      <x:c r="O397" t="str">
        <x:v>朴冉 | 林超泽</x:v>
      </x:c>
      <x:c r="P397" t="str">
        <x:v>388724491</x:v>
      </x:c>
      <x:c r="Q397" t="str">
        <x:v>叮叮当</x:v>
      </x:c>
      <x:c r="R397" t="str"/>
      <x:c r="S397" t="str"/>
      <x:c r="T397"/>
      <x:c r="U397"/>
      <x:c r="V397" t="str">
        <x:v>https://music.163.com/song?id=3410617081</x:v>
      </x:c>
      <x:c r="W397" t="str">
        <x:v>http://p1.music.126.net/C800n6IN32BtHt4y3dqo8A==/109951173663036956.jpg</x:v>
      </x:c>
      <x:c r="X397" t="str">
        <x:v>https://music.163.com/discover/toplist?id=2884035</x:v>
      </x:c>
      <x:c r="Y397" t="str">
        <x:v>https://music.163.com/api/playlist/detail?id=2884035&amp;n=100</x:v>
      </x:c>
      <x:c r="Z397" s="24" t="str">
        <x:f>IFERROR(VLOOKUP(F397,'07_字典与参数'!$A$5:$E$10,3,FALSE),"待映射")</x:f>
        <x:v>网易云音乐</x:v>
      </x:c>
      <x:c r="AA397" s="24" t="str">
        <x:f>IFERROR(VLOOKUP(F397,'07_字典与参数'!$A$5:$E$10,2,FALSE),"待映射")</x:f>
        <x:v>原创榜</x:v>
      </x:c>
      <x:c r="AB397" s="24" t="str">
        <x:f>IFERROR(VLOOKUP(F397,'07_字典与参数'!$A$5:$E$10,4,FALSE),"待映射")</x:f>
        <x:v>每周四</x:v>
      </x:c>
      <x:c r="AC397" s="24" t="str">
        <x:f>D397&amp;"|"&amp;F397&amp;"|"&amp;L397</x:f>
        <x:v>netease_cloud_music|original|3410617081</x:v>
      </x:c>
      <x:c r="AD397" s="24" t="str">
        <x:f>IF(J397&lt;=10,"是","否")</x:f>
        <x:v>否</x:v>
      </x:c>
      <x:c r="AE397" s="24" t="str">
        <x:f>IFERROR(YEAR(R397),"缺失")</x:f>
        <x:v>缺失</x:v>
      </x:c>
    </x:row>
    <x:row r="398">
      <x:c r="A398" t="str">
        <x:v>20260812T132133+0800</x:v>
      </x:c>
      <x:c r="B398" t="n">
        <x:v>46246.22329861111</x:v>
      </x:c>
      <x:c r="C398" t="str">
        <x:v>2026-08-06</x:v>
      </x:c>
      <x:c r="D398" t="str">
        <x:v>netease_cloud_music</x:v>
      </x:c>
      <x:c r="E398" t="str">
        <x:v>CN</x:v>
      </x:c>
      <x:c r="F398" t="str">
        <x:v>original</x:v>
      </x:c>
      <x:c r="G398" t="str">
        <x:v>原创榜</x:v>
      </x:c>
      <x:c r="H398" t="str">
        <x:v>2884035</x:v>
      </x:c>
      <x:c r="I398" t="n">
        <x:v>100</x:v>
      </x:c>
      <x:c r="J398" t="n">
        <x:v>94</x:v>
      </x:c>
      <x:c r="K398" t="n">
        <x:v>7</x:v>
      </x:c>
      <x:c r="L398" t="str">
        <x:v>3413865146</x:v>
      </x:c>
      <x:c r="M398" t="str">
        <x:v>0730:slow me</x:v>
      </x:c>
      <x:c r="N398" t="str">
        <x:v>94319010</x:v>
      </x:c>
      <x:c r="O398" t="str">
        <x:v>止述</x:v>
      </x:c>
      <x:c r="P398" t="str">
        <x:v>389824956</x:v>
      </x:c>
      <x:c r="Q398" t="str">
        <x:v>0730:slow me</x:v>
      </x:c>
      <x:c r="R398" t="str"/>
      <x:c r="S398" t="str"/>
      <x:c r="T398"/>
      <x:c r="U398"/>
      <x:c r="V398" t="str">
        <x:v>https://music.163.com/song?id=3413865146</x:v>
      </x:c>
      <x:c r="W398" t="str">
        <x:v>http://p1.music.126.net/yOdqYaGoyzw6k4Ay3ALfGg==/109951173664560413.jpg</x:v>
      </x:c>
      <x:c r="X398" t="str">
        <x:v>https://music.163.com/discover/toplist?id=2884035</x:v>
      </x:c>
      <x:c r="Y398" t="str">
        <x:v>https://music.163.com/api/playlist/detail?id=2884035&amp;n=100</x:v>
      </x:c>
      <x:c r="Z398" s="24" t="str">
        <x:f>IFERROR(VLOOKUP(F398,'07_字典与参数'!$A$5:$E$10,3,FALSE),"待映射")</x:f>
        <x:v>网易云音乐</x:v>
      </x:c>
      <x:c r="AA398" s="24" t="str">
        <x:f>IFERROR(VLOOKUP(F398,'07_字典与参数'!$A$5:$E$10,2,FALSE),"待映射")</x:f>
        <x:v>原创榜</x:v>
      </x:c>
      <x:c r="AB398" s="24" t="str">
        <x:f>IFERROR(VLOOKUP(F398,'07_字典与参数'!$A$5:$E$10,4,FALSE),"待映射")</x:f>
        <x:v>每周四</x:v>
      </x:c>
      <x:c r="AC398" s="24" t="str">
        <x:f>D398&amp;"|"&amp;F398&amp;"|"&amp;L398</x:f>
        <x:v>netease_cloud_music|original|3413865146</x:v>
      </x:c>
      <x:c r="AD398" s="24" t="str">
        <x:f>IF(J398&lt;=10,"是","否")</x:f>
        <x:v>否</x:v>
      </x:c>
      <x:c r="AE398" s="24" t="str">
        <x:f>IFERROR(YEAR(R398),"缺失")</x:f>
        <x:v>缺失</x:v>
      </x:c>
    </x:row>
    <x:row r="399">
      <x:c r="A399" t="str">
        <x:v>20260812T132133+0800</x:v>
      </x:c>
      <x:c r="B399" t="n">
        <x:v>46246.22329861111</x:v>
      </x:c>
      <x:c r="C399" t="str">
        <x:v>2026-08-06</x:v>
      </x:c>
      <x:c r="D399" t="str">
        <x:v>netease_cloud_music</x:v>
      </x:c>
      <x:c r="E399" t="str">
        <x:v>CN</x:v>
      </x:c>
      <x:c r="F399" t="str">
        <x:v>original</x:v>
      </x:c>
      <x:c r="G399" t="str">
        <x:v>原创榜</x:v>
      </x:c>
      <x:c r="H399" t="str">
        <x:v>2884035</x:v>
      </x:c>
      <x:c r="I399" t="n">
        <x:v>100</x:v>
      </x:c>
      <x:c r="J399" t="n">
        <x:v>95</x:v>
      </x:c>
      <x:c r="K399" t="n">
        <x:v>6</x:v>
      </x:c>
      <x:c r="L399" t="str">
        <x:v>3415933619</x:v>
      </x:c>
      <x:c r="M399" t="str">
        <x:v>空镜</x:v>
      </x:c>
      <x:c r="N399" t="str">
        <x:v>52979623</x:v>
      </x:c>
      <x:c r="O399" t="str">
        <x:v>非弹力碰撞</x:v>
      </x:c>
      <x:c r="P399" t="str">
        <x:v>373759258</x:v>
      </x:c>
      <x:c r="Q399" t="str">
        <x:v>未寄出的信</x:v>
      </x:c>
      <x:c r="R399" t="str"/>
      <x:c r="S399" t="str"/>
      <x:c r="T399"/>
      <x:c r="U399"/>
      <x:c r="V399" t="str">
        <x:v>https://music.163.com/song?id=3415933619</x:v>
      </x:c>
      <x:c r="W399" t="str">
        <x:v>http://p1.music.126.net/_NILIkMvJNOUx5IihmD86w==/109951173146124711.jpg</x:v>
      </x:c>
      <x:c r="X399" t="str">
        <x:v>https://music.163.com/discover/toplist?id=2884035</x:v>
      </x:c>
      <x:c r="Y399" t="str">
        <x:v>https://music.163.com/api/playlist/detail?id=2884035&amp;n=100</x:v>
      </x:c>
      <x:c r="Z399" s="24" t="str">
        <x:f>IFERROR(VLOOKUP(F399,'07_字典与参数'!$A$5:$E$10,3,FALSE),"待映射")</x:f>
        <x:v>网易云音乐</x:v>
      </x:c>
      <x:c r="AA399" s="24" t="str">
        <x:f>IFERROR(VLOOKUP(F399,'07_字典与参数'!$A$5:$E$10,2,FALSE),"待映射")</x:f>
        <x:v>原创榜</x:v>
      </x:c>
      <x:c r="AB399" s="24" t="str">
        <x:f>IFERROR(VLOOKUP(F399,'07_字典与参数'!$A$5:$E$10,4,FALSE),"待映射")</x:f>
        <x:v>每周四</x:v>
      </x:c>
      <x:c r="AC399" s="24" t="str">
        <x:f>D399&amp;"|"&amp;F399&amp;"|"&amp;L399</x:f>
        <x:v>netease_cloud_music|original|3415933619</x:v>
      </x:c>
      <x:c r="AD399" s="24" t="str">
        <x:f>IF(J399&lt;=10,"是","否")</x:f>
        <x:v>否</x:v>
      </x:c>
      <x:c r="AE399" s="24" t="str">
        <x:f>IFERROR(YEAR(R399),"缺失")</x:f>
        <x:v>缺失</x:v>
      </x:c>
    </x:row>
    <x:row r="400">
      <x:c r="A400" t="str">
        <x:v>20260812T132133+0800</x:v>
      </x:c>
      <x:c r="B400" t="n">
        <x:v>46246.22329861111</x:v>
      </x:c>
      <x:c r="C400" t="str">
        <x:v>2026-08-06</x:v>
      </x:c>
      <x:c r="D400" t="str">
        <x:v>netease_cloud_music</x:v>
      </x:c>
      <x:c r="E400" t="str">
        <x:v>CN</x:v>
      </x:c>
      <x:c r="F400" t="str">
        <x:v>original</x:v>
      </x:c>
      <x:c r="G400" t="str">
        <x:v>原创榜</x:v>
      </x:c>
      <x:c r="H400" t="str">
        <x:v>2884035</x:v>
      </x:c>
      <x:c r="I400" t="n">
        <x:v>100</x:v>
      </x:c>
      <x:c r="J400" t="n">
        <x:v>96</x:v>
      </x:c>
      <x:c r="K400" t="n">
        <x:v>5</x:v>
      </x:c>
      <x:c r="L400" t="str">
        <x:v>3412623185</x:v>
      </x:c>
      <x:c r="M400" t="str">
        <x:v>暑假</x:v>
      </x:c>
      <x:c r="N400" t="str">
        <x:v>966147</x:v>
      </x:c>
      <x:c r="O400" t="str">
        <x:v>三册柏</x:v>
      </x:c>
      <x:c r="P400" t="str">
        <x:v>389467365</x:v>
      </x:c>
      <x:c r="Q400" t="str">
        <x:v>春雪</x:v>
      </x:c>
      <x:c r="R400" t="str"/>
      <x:c r="S400" t="str"/>
      <x:c r="T400"/>
      <x:c r="U400"/>
      <x:c r="V400" t="str">
        <x:v>https://music.163.com/song?id=3412623185</x:v>
      </x:c>
      <x:c r="W400" t="str">
        <x:v>http://p1.music.126.net/qABCiibsfD6Ux-W57bQixg==/109951173652299349.jpg</x:v>
      </x:c>
      <x:c r="X400" t="str">
        <x:v>https://music.163.com/discover/toplist?id=2884035</x:v>
      </x:c>
      <x:c r="Y400" t="str">
        <x:v>https://music.163.com/api/playlist/detail?id=2884035&amp;n=100</x:v>
      </x:c>
      <x:c r="Z400" s="24" t="str">
        <x:f>IFERROR(VLOOKUP(F400,'07_字典与参数'!$A$5:$E$10,3,FALSE),"待映射")</x:f>
        <x:v>网易云音乐</x:v>
      </x:c>
      <x:c r="AA400" s="24" t="str">
        <x:f>IFERROR(VLOOKUP(F400,'07_字典与参数'!$A$5:$E$10,2,FALSE),"待映射")</x:f>
        <x:v>原创榜</x:v>
      </x:c>
      <x:c r="AB400" s="24" t="str">
        <x:f>IFERROR(VLOOKUP(F400,'07_字典与参数'!$A$5:$E$10,4,FALSE),"待映射")</x:f>
        <x:v>每周四</x:v>
      </x:c>
      <x:c r="AC400" s="24" t="str">
        <x:f>D400&amp;"|"&amp;F400&amp;"|"&amp;L400</x:f>
        <x:v>netease_cloud_music|original|3412623185</x:v>
      </x:c>
      <x:c r="AD400" s="24" t="str">
        <x:f>IF(J400&lt;=10,"是","否")</x:f>
        <x:v>否</x:v>
      </x:c>
      <x:c r="AE400" s="24" t="str">
        <x:f>IFERROR(YEAR(R400),"缺失")</x:f>
        <x:v>缺失</x:v>
      </x:c>
    </x:row>
    <x:row r="401">
      <x:c r="A401" t="str">
        <x:v>20260812T132133+0800</x:v>
      </x:c>
      <x:c r="B401" t="n">
        <x:v>46246.22329861111</x:v>
      </x:c>
      <x:c r="C401" t="str">
        <x:v>2026-08-06</x:v>
      </x:c>
      <x:c r="D401" t="str">
        <x:v>netease_cloud_music</x:v>
      </x:c>
      <x:c r="E401" t="str">
        <x:v>CN</x:v>
      </x:c>
      <x:c r="F401" t="str">
        <x:v>original</x:v>
      </x:c>
      <x:c r="G401" t="str">
        <x:v>原创榜</x:v>
      </x:c>
      <x:c r="H401" t="str">
        <x:v>2884035</x:v>
      </x:c>
      <x:c r="I401" t="n">
        <x:v>100</x:v>
      </x:c>
      <x:c r="J401" t="n">
        <x:v>97</x:v>
      </x:c>
      <x:c r="K401" t="n">
        <x:v>4</x:v>
      </x:c>
      <x:c r="L401" t="str">
        <x:v>3411943630</x:v>
      </x:c>
      <x:c r="M401" t="str">
        <x:v>爱莲说</x:v>
      </x:c>
      <x:c r="N401" t="str">
        <x:v>12768886</x:v>
      </x:c>
      <x:c r="O401" t="str">
        <x:v>周舟</x:v>
      </x:c>
      <x:c r="P401" t="str">
        <x:v>389194769</x:v>
      </x:c>
      <x:c r="Q401" t="str">
        <x:v>LOTUS</x:v>
      </x:c>
      <x:c r="R401" t="str"/>
      <x:c r="S401" t="str"/>
      <x:c r="T401"/>
      <x:c r="U401"/>
      <x:c r="V401" t="str">
        <x:v>https://music.163.com/song?id=3411943630</x:v>
      </x:c>
      <x:c r="W401" t="str">
        <x:v>http://p1.music.126.net/Ng8Bq4DkSxCGsfkQwcYRGg==/109951173645427728.jpg</x:v>
      </x:c>
      <x:c r="X401" t="str">
        <x:v>https://music.163.com/discover/toplist?id=2884035</x:v>
      </x:c>
      <x:c r="Y401" t="str">
        <x:v>https://music.163.com/api/playlist/detail?id=2884035&amp;n=100</x:v>
      </x:c>
      <x:c r="Z401" s="24" t="str">
        <x:f>IFERROR(VLOOKUP(F401,'07_字典与参数'!$A$5:$E$10,3,FALSE),"待映射")</x:f>
        <x:v>网易云音乐</x:v>
      </x:c>
      <x:c r="AA401" s="24" t="str">
        <x:f>IFERROR(VLOOKUP(F401,'07_字典与参数'!$A$5:$E$10,2,FALSE),"待映射")</x:f>
        <x:v>原创榜</x:v>
      </x:c>
      <x:c r="AB401" s="24" t="str">
        <x:f>IFERROR(VLOOKUP(F401,'07_字典与参数'!$A$5:$E$10,4,FALSE),"待映射")</x:f>
        <x:v>每周四</x:v>
      </x:c>
      <x:c r="AC401" s="24" t="str">
        <x:f>D401&amp;"|"&amp;F401&amp;"|"&amp;L401</x:f>
        <x:v>netease_cloud_music|original|3411943630</x:v>
      </x:c>
      <x:c r="AD401" s="24" t="str">
        <x:f>IF(J401&lt;=10,"是","否")</x:f>
        <x:v>否</x:v>
      </x:c>
      <x:c r="AE401" s="24" t="str">
        <x:f>IFERROR(YEAR(R401),"缺失")</x:f>
        <x:v>缺失</x:v>
      </x:c>
    </x:row>
    <x:row r="402">
      <x:c r="A402" t="str">
        <x:v>20260812T132133+0800</x:v>
      </x:c>
      <x:c r="B402" t="n">
        <x:v>46246.22329861111</x:v>
      </x:c>
      <x:c r="C402" t="str">
        <x:v>2026-08-06</x:v>
      </x:c>
      <x:c r="D402" t="str">
        <x:v>netease_cloud_music</x:v>
      </x:c>
      <x:c r="E402" t="str">
        <x:v>CN</x:v>
      </x:c>
      <x:c r="F402" t="str">
        <x:v>original</x:v>
      </x:c>
      <x:c r="G402" t="str">
        <x:v>原创榜</x:v>
      </x:c>
      <x:c r="H402" t="str">
        <x:v>2884035</x:v>
      </x:c>
      <x:c r="I402" t="n">
        <x:v>100</x:v>
      </x:c>
      <x:c r="J402" t="n">
        <x:v>98</x:v>
      </x:c>
      <x:c r="K402" t="n">
        <x:v>3</x:v>
      </x:c>
      <x:c r="L402" t="str">
        <x:v>3414469834</x:v>
      </x:c>
      <x:c r="M402" t="str">
        <x:v>亚洲超模</x:v>
      </x:c>
      <x:c r="N402" t="str">
        <x:v>27907744</x:v>
      </x:c>
      <x:c r="O402" t="str">
        <x:v>YuGo</x:v>
      </x:c>
      <x:c r="P402" t="str">
        <x:v>390095779</x:v>
      </x:c>
      <x:c r="Q402" t="str">
        <x:v>本自具足</x:v>
      </x:c>
      <x:c r="R402" t="str"/>
      <x:c r="S402" t="str"/>
      <x:c r="T402"/>
      <x:c r="U402"/>
      <x:c r="V402" t="str">
        <x:v>https://music.163.com/song?id=3414469834</x:v>
      </x:c>
      <x:c r="W402" t="str">
        <x:v>http://p1.music.126.net/jc8RzFsg0X60sqqsjnYBrA==/109951173671437241.jpg</x:v>
      </x:c>
      <x:c r="X402" t="str">
        <x:v>https://music.163.com/discover/toplist?id=2884035</x:v>
      </x:c>
      <x:c r="Y402" t="str">
        <x:v>https://music.163.com/api/playlist/detail?id=2884035&amp;n=100</x:v>
      </x:c>
      <x:c r="Z402" s="24" t="str">
        <x:f>IFERROR(VLOOKUP(F402,'07_字典与参数'!$A$5:$E$10,3,FALSE),"待映射")</x:f>
        <x:v>网易云音乐</x:v>
      </x:c>
      <x:c r="AA402" s="24" t="str">
        <x:f>IFERROR(VLOOKUP(F402,'07_字典与参数'!$A$5:$E$10,2,FALSE),"待映射")</x:f>
        <x:v>原创榜</x:v>
      </x:c>
      <x:c r="AB402" s="24" t="str">
        <x:f>IFERROR(VLOOKUP(F402,'07_字典与参数'!$A$5:$E$10,4,FALSE),"待映射")</x:f>
        <x:v>每周四</x:v>
      </x:c>
      <x:c r="AC402" s="24" t="str">
        <x:f>D402&amp;"|"&amp;F402&amp;"|"&amp;L402</x:f>
        <x:v>netease_cloud_music|original|3414469834</x:v>
      </x:c>
      <x:c r="AD402" s="24" t="str">
        <x:f>IF(J402&lt;=10,"是","否")</x:f>
        <x:v>否</x:v>
      </x:c>
      <x:c r="AE402" s="24" t="str">
        <x:f>IFERROR(YEAR(R402),"缺失")</x:f>
        <x:v>缺失</x:v>
      </x:c>
    </x:row>
    <x:row r="403">
      <x:c r="A403" t="str">
        <x:v>20260812T132133+0800</x:v>
      </x:c>
      <x:c r="B403" t="n">
        <x:v>46246.22329861111</x:v>
      </x:c>
      <x:c r="C403" t="str">
        <x:v>2026-08-06</x:v>
      </x:c>
      <x:c r="D403" t="str">
        <x:v>netease_cloud_music</x:v>
      </x:c>
      <x:c r="E403" t="str">
        <x:v>CN</x:v>
      </x:c>
      <x:c r="F403" t="str">
        <x:v>original</x:v>
      </x:c>
      <x:c r="G403" t="str">
        <x:v>原创榜</x:v>
      </x:c>
      <x:c r="H403" t="str">
        <x:v>2884035</x:v>
      </x:c>
      <x:c r="I403" t="n">
        <x:v>100</x:v>
      </x:c>
      <x:c r="J403" t="n">
        <x:v>99</x:v>
      </x:c>
      <x:c r="K403" t="n">
        <x:v>2</x:v>
      </x:c>
      <x:c r="L403" t="str">
        <x:v>3415936154</x:v>
      </x:c>
      <x:c r="M403" t="str">
        <x:v>Smoke</x:v>
      </x:c>
      <x:c r="N403" t="str">
        <x:v>1159206</x:v>
      </x:c>
      <x:c r="O403" t="str">
        <x:v>JOKER</x:v>
      </x:c>
      <x:c r="P403" t="str">
        <x:v>390507795</x:v>
      </x:c>
      <x:c r="Q403" t="str">
        <x:v>Smoke</x:v>
      </x:c>
      <x:c r="R403" t="str"/>
      <x:c r="S403" t="str"/>
      <x:c r="T403"/>
      <x:c r="U403"/>
      <x:c r="V403" t="str">
        <x:v>https://music.163.com/song?id=3415936154</x:v>
      </x:c>
      <x:c r="W403" t="str">
        <x:v>http://p1.music.126.net/mFvewpYGsv0_W1g_RWa-Ow==/109951173688244604.jpg</x:v>
      </x:c>
      <x:c r="X403" t="str">
        <x:v>https://music.163.com/discover/toplist?id=2884035</x:v>
      </x:c>
      <x:c r="Y403" t="str">
        <x:v>https://music.163.com/api/playlist/detail?id=2884035&amp;n=100</x:v>
      </x:c>
      <x:c r="Z403" s="24" t="str">
        <x:f>IFERROR(VLOOKUP(F403,'07_字典与参数'!$A$5:$E$10,3,FALSE),"待映射")</x:f>
        <x:v>网易云音乐</x:v>
      </x:c>
      <x:c r="AA403" s="24" t="str">
        <x:f>IFERROR(VLOOKUP(F403,'07_字典与参数'!$A$5:$E$10,2,FALSE),"待映射")</x:f>
        <x:v>原创榜</x:v>
      </x:c>
      <x:c r="AB403" s="24" t="str">
        <x:f>IFERROR(VLOOKUP(F403,'07_字典与参数'!$A$5:$E$10,4,FALSE),"待映射")</x:f>
        <x:v>每周四</x:v>
      </x:c>
      <x:c r="AC403" s="24" t="str">
        <x:f>D403&amp;"|"&amp;F403&amp;"|"&amp;L403</x:f>
        <x:v>netease_cloud_music|original|3415936154</x:v>
      </x:c>
      <x:c r="AD403" s="24" t="str">
        <x:f>IF(J403&lt;=10,"是","否")</x:f>
        <x:v>否</x:v>
      </x:c>
      <x:c r="AE403" s="24" t="str">
        <x:f>IFERROR(YEAR(R403),"缺失")</x:f>
        <x:v>缺失</x:v>
      </x:c>
    </x:row>
    <x:row r="404">
      <x:c r="A404" t="str">
        <x:v>20260812T132133+0800</x:v>
      </x:c>
      <x:c r="B404" t="n">
        <x:v>46246.22329861111</x:v>
      </x:c>
      <x:c r="C404" t="str">
        <x:v>2026-08-06</x:v>
      </x:c>
      <x:c r="D404" t="str">
        <x:v>netease_cloud_music</x:v>
      </x:c>
      <x:c r="E404" t="str">
        <x:v>CN</x:v>
      </x:c>
      <x:c r="F404" t="str">
        <x:v>original</x:v>
      </x:c>
      <x:c r="G404" t="str">
        <x:v>原创榜</x:v>
      </x:c>
      <x:c r="H404" t="str">
        <x:v>2884035</x:v>
      </x:c>
      <x:c r="I404" t="n">
        <x:v>100</x:v>
      </x:c>
      <x:c r="J404" t="n">
        <x:v>100</x:v>
      </x:c>
      <x:c r="K404" t="n">
        <x:v>1</x:v>
      </x:c>
      <x:c r="L404" t="str">
        <x:v>3413741422</x:v>
      </x:c>
      <x:c r="M404" t="str">
        <x:v>帕罗西汀</x:v>
      </x:c>
      <x:c r="N404" t="str">
        <x:v>12496255</x:v>
      </x:c>
      <x:c r="O404" t="str">
        <x:v>Juan</x:v>
      </x:c>
      <x:c r="P404" t="str">
        <x:v>389831357</x:v>
      </x:c>
      <x:c r="Q404" t="str">
        <x:v>Paroxetine</x:v>
      </x:c>
      <x:c r="R404" t="str"/>
      <x:c r="S404" t="str"/>
      <x:c r="T404"/>
      <x:c r="U404"/>
      <x:c r="V404" t="str">
        <x:v>https://music.163.com/song?id=3413741422</x:v>
      </x:c>
      <x:c r="W404" t="str">
        <x:v>http://p1.music.126.net/CD7O_OkawUNW47W0BkdI6g==/109951173663496939.jpg</x:v>
      </x:c>
      <x:c r="X404" t="str">
        <x:v>https://music.163.com/discover/toplist?id=2884035</x:v>
      </x:c>
      <x:c r="Y404" t="str">
        <x:v>https://music.163.com/api/playlist/detail?id=2884035&amp;n=100</x:v>
      </x:c>
      <x:c r="Z404" s="24" t="str">
        <x:f>IFERROR(VLOOKUP(F404,'07_字典与参数'!$A$5:$E$10,3,FALSE),"待映射")</x:f>
        <x:v>网易云音乐</x:v>
      </x:c>
      <x:c r="AA404" s="24" t="str">
        <x:f>IFERROR(VLOOKUP(F404,'07_字典与参数'!$A$5:$E$10,2,FALSE),"待映射")</x:f>
        <x:v>原创榜</x:v>
      </x:c>
      <x:c r="AB404" s="24" t="str">
        <x:f>IFERROR(VLOOKUP(F404,'07_字典与参数'!$A$5:$E$10,4,FALSE),"待映射")</x:f>
        <x:v>每周四</x:v>
      </x:c>
      <x:c r="AC404" s="24" t="str">
        <x:f>D404&amp;"|"&amp;F404&amp;"|"&amp;L404</x:f>
        <x:v>netease_cloud_music|original|3413741422</x:v>
      </x:c>
      <x:c r="AD404" s="24" t="str">
        <x:f>IF(J404&lt;=10,"是","否")</x:f>
        <x:v>否</x:v>
      </x:c>
      <x:c r="AE404" s="24" t="str">
        <x:f>IFERROR(YEAR(R404),"缺失")</x:f>
        <x:v>缺失</x:v>
      </x:c>
    </x:row>
    <x:row r="405">
      <x:c r="A405" t="str">
        <x:v>20260812T132133+0800</x:v>
      </x:c>
      <x:c r="B405" t="n">
        <x:v>46246.22329861111</x:v>
      </x:c>
      <x:c r="C405" t="str">
        <x:v>2026-08-11</x:v>
      </x:c>
      <x:c r="D405" t="str">
        <x:v>netease_cloud_music</x:v>
      </x:c>
      <x:c r="E405" t="str">
        <x:v>CN</x:v>
      </x:c>
      <x:c r="F405" t="str">
        <x:v>potential</x:v>
      </x:c>
      <x:c r="G405" t="str">
        <x:v>潜力爆款榜</x:v>
      </x:c>
      <x:c r="H405" t="str">
        <x:v>5338990334</x:v>
      </x:c>
      <x:c r="I405" t="n">
        <x:v>10</x:v>
      </x:c>
      <x:c r="J405" t="n">
        <x:v>1</x:v>
      </x:c>
      <x:c r="K405" t="n">
        <x:v>100</x:v>
      </x:c>
      <x:c r="L405" t="str">
        <x:v>1982325620</x:v>
      </x:c>
      <x:c r="M405" t="str">
        <x:v>Forever</x:v>
      </x:c>
      <x:c r="N405" t="str">
        <x:v>13616276</x:v>
      </x:c>
      <x:c r="O405" t="str">
        <x:v>The Little Dippers</x:v>
      </x:c>
      <x:c r="P405" t="str">
        <x:v>151785750</x:v>
      </x:c>
      <x:c r="Q405" t="str">
        <x:v>Forever</x:v>
      </x:c>
      <x:c r="R405" t="str"/>
      <x:c r="S405" t="str"/>
      <x:c r="T405" t="n">
        <x:v>21</x:v>
      </x:c>
      <x:c r="U405" t="n">
        <x:v>20</x:v>
      </x:c>
      <x:c r="V405" t="str">
        <x:v>https://music.163.com/song?id=1982325620</x:v>
      </x:c>
      <x:c r="W405" t="str">
        <x:v>http://p2.music.126.net/MsfFA3vwbxV_lZijYlkOhg==/109951167886780601.jpg</x:v>
      </x:c>
      <x:c r="X405" t="str">
        <x:v>https://music.163.com/discover/toplist?id=5338990334</x:v>
      </x:c>
      <x:c r="Y405" t="str">
        <x:v>https://music.163.com/api/playlist/detail?id=5338990334&amp;n=100</x:v>
      </x:c>
      <x:c r="Z405" s="24" t="str">
        <x:f>IFERROR(VLOOKUP(F405,'07_字典与参数'!$A$5:$E$10,3,FALSE),"待映射")</x:f>
        <x:v>网易云音乐</x:v>
      </x:c>
      <x:c r="AA405" s="24" t="str">
        <x:f>IFERROR(VLOOKUP(F405,'07_字典与参数'!$A$5:$E$10,2,FALSE),"待映射")</x:f>
        <x:v>潜力爆款榜</x:v>
      </x:c>
      <x:c r="AB405" s="24" t="str">
        <x:f>IFERROR(VLOOKUP(F405,'07_字典与参数'!$A$5:$E$10,4,FALSE),"待映射")</x:f>
        <x:v>每周二</x:v>
      </x:c>
      <x:c r="AC405" s="24" t="str">
        <x:f>D405&amp;"|"&amp;F405&amp;"|"&amp;L405</x:f>
        <x:v>netease_cloud_music|potential|1982325620</x:v>
      </x:c>
      <x:c r="AD405" s="24" t="str">
        <x:f>IF(J405&lt;=10,"是","否")</x:f>
        <x:v>是</x:v>
      </x:c>
      <x:c r="AE405" s="24" t="str">
        <x:f>IFERROR(YEAR(R405),"缺失")</x:f>
        <x:v>缺失</x:v>
      </x:c>
    </x:row>
    <x:row r="406">
      <x:c r="A406" t="str">
        <x:v>20260812T132133+0800</x:v>
      </x:c>
      <x:c r="B406" t="n">
        <x:v>46246.22329861111</x:v>
      </x:c>
      <x:c r="C406" t="str">
        <x:v>2026-08-11</x:v>
      </x:c>
      <x:c r="D406" t="str">
        <x:v>netease_cloud_music</x:v>
      </x:c>
      <x:c r="E406" t="str">
        <x:v>CN</x:v>
      </x:c>
      <x:c r="F406" t="str">
        <x:v>potential</x:v>
      </x:c>
      <x:c r="G406" t="str">
        <x:v>潜力爆款榜</x:v>
      </x:c>
      <x:c r="H406" t="str">
        <x:v>5338990334</x:v>
      </x:c>
      <x:c r="I406" t="n">
        <x:v>10</x:v>
      </x:c>
      <x:c r="J406" t="n">
        <x:v>2</x:v>
      </x:c>
      <x:c r="K406" t="n">
        <x:v>90</x:v>
      </x:c>
      <x:c r="L406" t="str">
        <x:v>307594</x:v>
      </x:c>
      <x:c r="M406" t="str">
        <x:v>泪海</x:v>
      </x:c>
      <x:c r="N406" t="str">
        <x:v>9943</x:v>
      </x:c>
      <x:c r="O406" t="str">
        <x:v>许茹芸</x:v>
      </x:c>
      <x:c r="P406" t="str">
        <x:v>30544</x:v>
      </x:c>
      <x:c r="Q406" t="str">
        <x:v>泪海</x:v>
      </x:c>
      <x:c r="R406" t="str">
        <x:v>1996-03-28</x:v>
      </x:c>
      <x:c r="S406" t="str"/>
      <x:c r="T406"/>
      <x:c r="U406"/>
      <x:c r="V406" t="str">
        <x:v>https://music.163.com/song?id=307594</x:v>
      </x:c>
      <x:c r="W406" t="str">
        <x:v>http://p2.music.126.net/TougJlCvAbS1wf6M3kif6w==/109951172702570259.jpg</x:v>
      </x:c>
      <x:c r="X406" t="str">
        <x:v>https://music.163.com/discover/toplist?id=5338990334</x:v>
      </x:c>
      <x:c r="Y406" t="str">
        <x:v>https://music.163.com/api/playlist/detail?id=5338990334&amp;n=100</x:v>
      </x:c>
      <x:c r="Z406" s="24" t="str">
        <x:f>IFERROR(VLOOKUP(F406,'07_字典与参数'!$A$5:$E$10,3,FALSE),"待映射")</x:f>
        <x:v>网易云音乐</x:v>
      </x:c>
      <x:c r="AA406" s="24" t="str">
        <x:f>IFERROR(VLOOKUP(F406,'07_字典与参数'!$A$5:$E$10,2,FALSE),"待映射")</x:f>
        <x:v>潜力爆款榜</x:v>
      </x:c>
      <x:c r="AB406" s="24" t="str">
        <x:f>IFERROR(VLOOKUP(F406,'07_字典与参数'!$A$5:$E$10,4,FALSE),"待映射")</x:f>
        <x:v>每周二</x:v>
      </x:c>
      <x:c r="AC406" s="24" t="str">
        <x:f>D406&amp;"|"&amp;F406&amp;"|"&amp;L406</x:f>
        <x:v>netease_cloud_music|potential|307594</x:v>
      </x:c>
      <x:c r="AD406" s="24" t="str">
        <x:f>IF(J406&lt;=10,"是","否")</x:f>
        <x:v>是</x:v>
      </x:c>
      <x:c r="AE406" s="24" t="n">
        <x:f>IFERROR(YEAR(R406),"缺失")</x:f>
        <x:v>1996</x:v>
      </x:c>
    </x:row>
    <x:row r="407">
      <x:c r="A407" t="str">
        <x:v>20260812T132133+0800</x:v>
      </x:c>
      <x:c r="B407" t="n">
        <x:v>46246.22329861111</x:v>
      </x:c>
      <x:c r="C407" t="str">
        <x:v>2026-08-11</x:v>
      </x:c>
      <x:c r="D407" t="str">
        <x:v>netease_cloud_music</x:v>
      </x:c>
      <x:c r="E407" t="str">
        <x:v>CN</x:v>
      </x:c>
      <x:c r="F407" t="str">
        <x:v>potential</x:v>
      </x:c>
      <x:c r="G407" t="str">
        <x:v>潜力爆款榜</x:v>
      </x:c>
      <x:c r="H407" t="str">
        <x:v>5338990334</x:v>
      </x:c>
      <x:c r="I407" t="n">
        <x:v>10</x:v>
      </x:c>
      <x:c r="J407" t="n">
        <x:v>3</x:v>
      </x:c>
      <x:c r="K407" t="n">
        <x:v>80</x:v>
      </x:c>
      <x:c r="L407" t="str">
        <x:v>444323757</x:v>
      </x:c>
      <x:c r="M407" t="str">
        <x:v>我想 （正式版）feat.泠风</x:v>
      </x:c>
      <x:c r="N407" t="str">
        <x:v>865007 | 12541056</x:v>
      </x:c>
      <x:c r="O407" t="str">
        <x:v>法老 | 泠风</x:v>
      </x:c>
      <x:c r="P407" t="str">
        <x:v>35021549</x:v>
      </x:c>
      <x:c r="Q407" t="str">
        <x:v>东海岸</x:v>
      </x:c>
      <x:c r="R407" t="str">
        <x:v>2016-12-03</x:v>
      </x:c>
      <x:c r="S407" t="str"/>
      <x:c r="T407" t="n">
        <x:v>19</x:v>
      </x:c>
      <x:c r="U407" t="n">
        <x:v>16</x:v>
      </x:c>
      <x:c r="V407" t="str">
        <x:v>https://music.163.com/song?id=444323757</x:v>
      </x:c>
      <x:c r="W407" t="str">
        <x:v>http://p2.music.126.net/z253qn2_rIiK0NvaD5_btA==/109951162817129061.jpg</x:v>
      </x:c>
      <x:c r="X407" t="str">
        <x:v>https://music.163.com/discover/toplist?id=5338990334</x:v>
      </x:c>
      <x:c r="Y407" t="str">
        <x:v>https://music.163.com/api/playlist/detail?id=5338990334&amp;n=100</x:v>
      </x:c>
      <x:c r="Z407" s="24" t="str">
        <x:f>IFERROR(VLOOKUP(F407,'07_字典与参数'!$A$5:$E$10,3,FALSE),"待映射")</x:f>
        <x:v>网易云音乐</x:v>
      </x:c>
      <x:c r="AA407" s="24" t="str">
        <x:f>IFERROR(VLOOKUP(F407,'07_字典与参数'!$A$5:$E$10,2,FALSE),"待映射")</x:f>
        <x:v>潜力爆款榜</x:v>
      </x:c>
      <x:c r="AB407" s="24" t="str">
        <x:f>IFERROR(VLOOKUP(F407,'07_字典与参数'!$A$5:$E$10,4,FALSE),"待映射")</x:f>
        <x:v>每周二</x:v>
      </x:c>
      <x:c r="AC407" s="24" t="str">
        <x:f>D407&amp;"|"&amp;F407&amp;"|"&amp;L407</x:f>
        <x:v>netease_cloud_music|potential|444323757</x:v>
      </x:c>
      <x:c r="AD407" s="24" t="str">
        <x:f>IF(J407&lt;=10,"是","否")</x:f>
        <x:v>是</x:v>
      </x:c>
      <x:c r="AE407" s="24" t="n">
        <x:f>IFERROR(YEAR(R407),"缺失")</x:f>
        <x:v>2016</x:v>
      </x:c>
    </x:row>
    <x:row r="408">
      <x:c r="A408" t="str">
        <x:v>20260812T132133+0800</x:v>
      </x:c>
      <x:c r="B408" t="n">
        <x:v>46246.22329861111</x:v>
      </x:c>
      <x:c r="C408" t="str">
        <x:v>2026-08-11</x:v>
      </x:c>
      <x:c r="D408" t="str">
        <x:v>netease_cloud_music</x:v>
      </x:c>
      <x:c r="E408" t="str">
        <x:v>CN</x:v>
      </x:c>
      <x:c r="F408" t="str">
        <x:v>potential</x:v>
      </x:c>
      <x:c r="G408" t="str">
        <x:v>潜力爆款榜</x:v>
      </x:c>
      <x:c r="H408" t="str">
        <x:v>5338990334</x:v>
      </x:c>
      <x:c r="I408" t="n">
        <x:v>10</x:v>
      </x:c>
      <x:c r="J408" t="n">
        <x:v>4</x:v>
      </x:c>
      <x:c r="K408" t="n">
        <x:v>70</x:v>
      </x:c>
      <x:c r="L408" t="str">
        <x:v>439121070</x:v>
      </x:c>
      <x:c r="M408" t="str">
        <x:v>梦幻诛仙</x:v>
      </x:c>
      <x:c r="N408" t="str">
        <x:v>5538</x:v>
      </x:c>
      <x:c r="O408" t="str">
        <x:v>汪苏泷</x:v>
      </x:c>
      <x:c r="P408" t="str">
        <x:v>34975031</x:v>
      </x:c>
      <x:c r="Q408" t="str">
        <x:v>梦幻诛仙</x:v>
      </x:c>
      <x:c r="R408" t="str">
        <x:v>2016-11-07</x:v>
      </x:c>
      <x:c r="S408" t="str"/>
      <x:c r="T408"/>
      <x:c r="U408"/>
      <x:c r="V408" t="str">
        <x:v>https://music.163.com/song?id=439121070</x:v>
      </x:c>
      <x:c r="W408" t="str">
        <x:v>http://p2.music.126.net/7-xKJpu0oVB9wCkR5owNXg==/3265549612049272.jpg</x:v>
      </x:c>
      <x:c r="X408" t="str">
        <x:v>https://music.163.com/discover/toplist?id=5338990334</x:v>
      </x:c>
      <x:c r="Y408" t="str">
        <x:v>https://music.163.com/api/playlist/detail?id=5338990334&amp;n=100</x:v>
      </x:c>
      <x:c r="Z408" s="24" t="str">
        <x:f>IFERROR(VLOOKUP(F408,'07_字典与参数'!$A$5:$E$10,3,FALSE),"待映射")</x:f>
        <x:v>网易云音乐</x:v>
      </x:c>
      <x:c r="AA408" s="24" t="str">
        <x:f>IFERROR(VLOOKUP(F408,'07_字典与参数'!$A$5:$E$10,2,FALSE),"待映射")</x:f>
        <x:v>潜力爆款榜</x:v>
      </x:c>
      <x:c r="AB408" s="24" t="str">
        <x:f>IFERROR(VLOOKUP(F408,'07_字典与参数'!$A$5:$E$10,4,FALSE),"待映射")</x:f>
        <x:v>每周二</x:v>
      </x:c>
      <x:c r="AC408" s="24" t="str">
        <x:f>D408&amp;"|"&amp;F408&amp;"|"&amp;L408</x:f>
        <x:v>netease_cloud_music|potential|439121070</x:v>
      </x:c>
      <x:c r="AD408" s="24" t="str">
        <x:f>IF(J408&lt;=10,"是","否")</x:f>
        <x:v>是</x:v>
      </x:c>
      <x:c r="AE408" s="24" t="n">
        <x:f>IFERROR(YEAR(R408),"缺失")</x:f>
        <x:v>2016</x:v>
      </x:c>
    </x:row>
    <x:row r="409">
      <x:c r="A409" t="str">
        <x:v>20260812T132133+0800</x:v>
      </x:c>
      <x:c r="B409" t="n">
        <x:v>46246.22329861111</x:v>
      </x:c>
      <x:c r="C409" t="str">
        <x:v>2026-08-11</x:v>
      </x:c>
      <x:c r="D409" t="str">
        <x:v>netease_cloud_music</x:v>
      </x:c>
      <x:c r="E409" t="str">
        <x:v>CN</x:v>
      </x:c>
      <x:c r="F409" t="str">
        <x:v>potential</x:v>
      </x:c>
      <x:c r="G409" t="str">
        <x:v>潜力爆款榜</x:v>
      </x:c>
      <x:c r="H409" t="str">
        <x:v>5338990334</x:v>
      </x:c>
      <x:c r="I409" t="n">
        <x:v>10</x:v>
      </x:c>
      <x:c r="J409" t="n">
        <x:v>5</x:v>
      </x:c>
      <x:c r="K409" t="n">
        <x:v>60</x:v>
      </x:c>
      <x:c r="L409" t="str">
        <x:v>27867073</x:v>
      </x:c>
      <x:c r="M409" t="str">
        <x:v>연애의 조건 (Love Options)</x:v>
      </x:c>
      <x:c r="N409" t="str">
        <x:v>791553</x:v>
      </x:c>
      <x:c r="O409" t="str">
        <x:v>BESTie</x:v>
      </x:c>
      <x:c r="P409" t="str">
        <x:v>2685301</x:v>
      </x:c>
      <x:c r="Q409" t="str">
        <x:v>연애의 조건 (Love Options)</x:v>
      </x:c>
      <x:c r="R409" t="str">
        <x:v>2013-10-17</x:v>
      </x:c>
      <x:c r="S409" t="str"/>
      <x:c r="T409" t="n">
        <x:v>25</x:v>
      </x:c>
      <x:c r="U409" t="n">
        <x:v>20</x:v>
      </x:c>
      <x:c r="V409" t="str">
        <x:v>https://music.163.com/song?id=27867073</x:v>
      </x:c>
      <x:c r="W409" t="str">
        <x:v>http://p2.music.126.net/6rRfz31BrRX6R3GGl_10kA==/109951169710211584.jpg</x:v>
      </x:c>
      <x:c r="X409" t="str">
        <x:v>https://music.163.com/discover/toplist?id=5338990334</x:v>
      </x:c>
      <x:c r="Y409" t="str">
        <x:v>https://music.163.com/api/playlist/detail?id=5338990334&amp;n=100</x:v>
      </x:c>
      <x:c r="Z409" s="24" t="str">
        <x:f>IFERROR(VLOOKUP(F409,'07_字典与参数'!$A$5:$E$10,3,FALSE),"待映射")</x:f>
        <x:v>网易云音乐</x:v>
      </x:c>
      <x:c r="AA409" s="24" t="str">
        <x:f>IFERROR(VLOOKUP(F409,'07_字典与参数'!$A$5:$E$10,2,FALSE),"待映射")</x:f>
        <x:v>潜力爆款榜</x:v>
      </x:c>
      <x:c r="AB409" s="24" t="str">
        <x:f>IFERROR(VLOOKUP(F409,'07_字典与参数'!$A$5:$E$10,4,FALSE),"待映射")</x:f>
        <x:v>每周二</x:v>
      </x:c>
      <x:c r="AC409" s="24" t="str">
        <x:f>D409&amp;"|"&amp;F409&amp;"|"&amp;L409</x:f>
        <x:v>netease_cloud_music|potential|27867073</x:v>
      </x:c>
      <x:c r="AD409" s="24" t="str">
        <x:f>IF(J409&lt;=10,"是","否")</x:f>
        <x:v>是</x:v>
      </x:c>
      <x:c r="AE409" s="24" t="n">
        <x:f>IFERROR(YEAR(R409),"缺失")</x:f>
        <x:v>2013</x:v>
      </x:c>
    </x:row>
    <x:row r="410">
      <x:c r="A410" t="str">
        <x:v>20260812T132133+0800</x:v>
      </x:c>
      <x:c r="B410" t="n">
        <x:v>46246.22329861111</x:v>
      </x:c>
      <x:c r="C410" t="str">
        <x:v>2026-08-11</x:v>
      </x:c>
      <x:c r="D410" t="str">
        <x:v>netease_cloud_music</x:v>
      </x:c>
      <x:c r="E410" t="str">
        <x:v>CN</x:v>
      </x:c>
      <x:c r="F410" t="str">
        <x:v>potential</x:v>
      </x:c>
      <x:c r="G410" t="str">
        <x:v>潜力爆款榜</x:v>
      </x:c>
      <x:c r="H410" t="str">
        <x:v>5338990334</x:v>
      </x:c>
      <x:c r="I410" t="n">
        <x:v>10</x:v>
      </x:c>
      <x:c r="J410" t="n">
        <x:v>6</x:v>
      </x:c>
      <x:c r="K410" t="n">
        <x:v>50</x:v>
      </x:c>
      <x:c r="L410" t="str">
        <x:v>70713</x:v>
      </x:c>
      <x:c r="M410" t="str">
        <x:v>Love U 2</x:v>
      </x:c>
      <x:c r="N410" t="str">
        <x:v>2164</x:v>
      </x:c>
      <x:c r="O410" t="str">
        <x:v>陈伟霆</x:v>
      </x:c>
      <x:c r="P410" t="str">
        <x:v>6874</x:v>
      </x:c>
      <x:c r="Q410" t="str">
        <x:v>WOW</x:v>
      </x:c>
      <x:c r="R410" t="str">
        <x:v>2011-08-26</x:v>
      </x:c>
      <x:c r="S410" t="str"/>
      <x:c r="T410"/>
      <x:c r="U410"/>
      <x:c r="V410" t="str">
        <x:v>https://music.163.com/song?id=70713</x:v>
      </x:c>
      <x:c r="W410" t="str">
        <x:v>http://p2.music.126.net/ojCbbM9Q9r2_QkKSJhVAwA==/109951165674704515.jpg</x:v>
      </x:c>
      <x:c r="X410" t="str">
        <x:v>https://music.163.com/discover/toplist?id=5338990334</x:v>
      </x:c>
      <x:c r="Y410" t="str">
        <x:v>https://music.163.com/api/playlist/detail?id=5338990334&amp;n=100</x:v>
      </x:c>
      <x:c r="Z410" s="24" t="str">
        <x:f>IFERROR(VLOOKUP(F410,'07_字典与参数'!$A$5:$E$10,3,FALSE),"待映射")</x:f>
        <x:v>网易云音乐</x:v>
      </x:c>
      <x:c r="AA410" s="24" t="str">
        <x:f>IFERROR(VLOOKUP(F410,'07_字典与参数'!$A$5:$E$10,2,FALSE),"待映射")</x:f>
        <x:v>潜力爆款榜</x:v>
      </x:c>
      <x:c r="AB410" s="24" t="str">
        <x:f>IFERROR(VLOOKUP(F410,'07_字典与参数'!$A$5:$E$10,4,FALSE),"待映射")</x:f>
        <x:v>每周二</x:v>
      </x:c>
      <x:c r="AC410" s="24" t="str">
        <x:f>D410&amp;"|"&amp;F410&amp;"|"&amp;L410</x:f>
        <x:v>netease_cloud_music|potential|70713</x:v>
      </x:c>
      <x:c r="AD410" s="24" t="str">
        <x:f>IF(J410&lt;=10,"是","否")</x:f>
        <x:v>是</x:v>
      </x:c>
      <x:c r="AE410" s="24" t="n">
        <x:f>IFERROR(YEAR(R410),"缺失")</x:f>
        <x:v>2011</x:v>
      </x:c>
    </x:row>
    <x:row r="411">
      <x:c r="A411" t="str">
        <x:v>20260812T132133+0800</x:v>
      </x:c>
      <x:c r="B411" t="n">
        <x:v>46246.22329861111</x:v>
      </x:c>
      <x:c r="C411" t="str">
        <x:v>2026-08-11</x:v>
      </x:c>
      <x:c r="D411" t="str">
        <x:v>netease_cloud_music</x:v>
      </x:c>
      <x:c r="E411" t="str">
        <x:v>CN</x:v>
      </x:c>
      <x:c r="F411" t="str">
        <x:v>potential</x:v>
      </x:c>
      <x:c r="G411" t="str">
        <x:v>潜力爆款榜</x:v>
      </x:c>
      <x:c r="H411" t="str">
        <x:v>5338990334</x:v>
      </x:c>
      <x:c r="I411" t="n">
        <x:v>10</x:v>
      </x:c>
      <x:c r="J411" t="n">
        <x:v>7</x:v>
      </x:c>
      <x:c r="K411" t="n">
        <x:v>40</x:v>
      </x:c>
      <x:c r="L411" t="str">
        <x:v>2150300403</x:v>
      </x:c>
      <x:c r="M411" t="str">
        <x:v>在你心中那毫不起眼模糊界限的</x:v>
      </x:c>
      <x:c r="N411" t="str">
        <x:v>33440585</x:v>
      </x:c>
      <x:c r="O411" t="str">
        <x:v>王唯灿</x:v>
      </x:c>
      <x:c r="P411" t="str">
        <x:v>193857195</x:v>
      </x:c>
      <x:c r="Q411" t="str">
        <x:v>在你心中那毫不起眼模糊界限的</x:v>
      </x:c>
      <x:c r="R411" t="str"/>
      <x:c r="S411" t="str"/>
      <x:c r="T411"/>
      <x:c r="U411"/>
      <x:c r="V411" t="str">
        <x:v>https://music.163.com/song?id=2150300403</x:v>
      </x:c>
      <x:c r="W411" t="str">
        <x:v>http://p2.music.126.net/O7_T0EUROwELcEitjrVUJQ==/109951169539006942.jpg</x:v>
      </x:c>
      <x:c r="X411" t="str">
        <x:v>https://music.163.com/discover/toplist?id=5338990334</x:v>
      </x:c>
      <x:c r="Y411" t="str">
        <x:v>https://music.163.com/api/playlist/detail?id=5338990334&amp;n=100</x:v>
      </x:c>
      <x:c r="Z411" s="24" t="str">
        <x:f>IFERROR(VLOOKUP(F411,'07_字典与参数'!$A$5:$E$10,3,FALSE),"待映射")</x:f>
        <x:v>网易云音乐</x:v>
      </x:c>
      <x:c r="AA411" s="24" t="str">
        <x:f>IFERROR(VLOOKUP(F411,'07_字典与参数'!$A$5:$E$10,2,FALSE),"待映射")</x:f>
        <x:v>潜力爆款榜</x:v>
      </x:c>
      <x:c r="AB411" s="24" t="str">
        <x:f>IFERROR(VLOOKUP(F411,'07_字典与参数'!$A$5:$E$10,4,FALSE),"待映射")</x:f>
        <x:v>每周二</x:v>
      </x:c>
      <x:c r="AC411" s="24" t="str">
        <x:f>D411&amp;"|"&amp;F411&amp;"|"&amp;L411</x:f>
        <x:v>netease_cloud_music|potential|2150300403</x:v>
      </x:c>
      <x:c r="AD411" s="24" t="str">
        <x:f>IF(J411&lt;=10,"是","否")</x:f>
        <x:v>是</x:v>
      </x:c>
      <x:c r="AE411" s="24" t="str">
        <x:f>IFERROR(YEAR(R411),"缺失")</x:f>
        <x:v>缺失</x:v>
      </x:c>
    </x:row>
    <x:row r="412">
      <x:c r="A412" t="str">
        <x:v>20260812T132133+0800</x:v>
      </x:c>
      <x:c r="B412" t="n">
        <x:v>46246.22329861111</x:v>
      </x:c>
      <x:c r="C412" t="str">
        <x:v>2026-08-11</x:v>
      </x:c>
      <x:c r="D412" t="str">
        <x:v>netease_cloud_music</x:v>
      </x:c>
      <x:c r="E412" t="str">
        <x:v>CN</x:v>
      </x:c>
      <x:c r="F412" t="str">
        <x:v>potential</x:v>
      </x:c>
      <x:c r="G412" t="str">
        <x:v>潜力爆款榜</x:v>
      </x:c>
      <x:c r="H412" t="str">
        <x:v>5338990334</x:v>
      </x:c>
      <x:c r="I412" t="n">
        <x:v>10</x:v>
      </x:c>
      <x:c r="J412" t="n">
        <x:v>8</x:v>
      </x:c>
      <x:c r="K412" t="n">
        <x:v>30</x:v>
      </x:c>
      <x:c r="L412" t="str">
        <x:v>32507737</x:v>
      </x:c>
      <x:c r="M412" t="str">
        <x:v>不要忘记我爱你</x:v>
      </x:c>
      <x:c r="N412" t="str">
        <x:v>1024308</x:v>
      </x:c>
      <x:c r="O412" t="str">
        <x:v>张碧晨</x:v>
      </x:c>
      <x:c r="P412" t="str">
        <x:v>3162391</x:v>
      </x:c>
      <x:c r="Q412" t="str">
        <x:v>不要忘记我爱你</x:v>
      </x:c>
      <x:c r="R412" t="str">
        <x:v>2015-06-09</x:v>
      </x:c>
      <x:c r="S412" t="str"/>
      <x:c r="T412" t="n">
        <x:v>52</x:v>
      </x:c>
      <x:c r="U412" t="n">
        <x:v>44</x:v>
      </x:c>
      <x:c r="V412" t="str">
        <x:v>https://music.163.com/song?id=32507737</x:v>
      </x:c>
      <x:c r="W412" t="str">
        <x:v>http://p2.music.126.net/OFiXw-QakOoUHqMzcSF-GQ==/109951172626052373.jpg</x:v>
      </x:c>
      <x:c r="X412" t="str">
        <x:v>https://music.163.com/discover/toplist?id=5338990334</x:v>
      </x:c>
      <x:c r="Y412" t="str">
        <x:v>https://music.163.com/api/playlist/detail?id=5338990334&amp;n=100</x:v>
      </x:c>
      <x:c r="Z412" s="24" t="str">
        <x:f>IFERROR(VLOOKUP(F412,'07_字典与参数'!$A$5:$E$10,3,FALSE),"待映射")</x:f>
        <x:v>网易云音乐</x:v>
      </x:c>
      <x:c r="AA412" s="24" t="str">
        <x:f>IFERROR(VLOOKUP(F412,'07_字典与参数'!$A$5:$E$10,2,FALSE),"待映射")</x:f>
        <x:v>潜力爆款榜</x:v>
      </x:c>
      <x:c r="AB412" s="24" t="str">
        <x:f>IFERROR(VLOOKUP(F412,'07_字典与参数'!$A$5:$E$10,4,FALSE),"待映射")</x:f>
        <x:v>每周二</x:v>
      </x:c>
      <x:c r="AC412" s="24" t="str">
        <x:f>D412&amp;"|"&amp;F412&amp;"|"&amp;L412</x:f>
        <x:v>netease_cloud_music|potential|32507737</x:v>
      </x:c>
      <x:c r="AD412" s="24" t="str">
        <x:f>IF(J412&lt;=10,"是","否")</x:f>
        <x:v>是</x:v>
      </x:c>
      <x:c r="AE412" s="24" t="n">
        <x:f>IFERROR(YEAR(R412),"缺失")</x:f>
        <x:v>2015</x:v>
      </x:c>
    </x:row>
    <x:row r="413">
      <x:c r="A413" t="str">
        <x:v>20260812T132133+0800</x:v>
      </x:c>
      <x:c r="B413" t="n">
        <x:v>46246.22329861111</x:v>
      </x:c>
      <x:c r="C413" t="str">
        <x:v>2026-08-11</x:v>
      </x:c>
      <x:c r="D413" t="str">
        <x:v>netease_cloud_music</x:v>
      </x:c>
      <x:c r="E413" t="str">
        <x:v>CN</x:v>
      </x:c>
      <x:c r="F413" t="str">
        <x:v>potential</x:v>
      </x:c>
      <x:c r="G413" t="str">
        <x:v>潜力爆款榜</x:v>
      </x:c>
      <x:c r="H413" t="str">
        <x:v>5338990334</x:v>
      </x:c>
      <x:c r="I413" t="n">
        <x:v>10</x:v>
      </x:c>
      <x:c r="J413" t="n">
        <x:v>9</x:v>
      </x:c>
      <x:c r="K413" t="n">
        <x:v>20</x:v>
      </x:c>
      <x:c r="L413" t="str">
        <x:v>1376142151</x:v>
      </x:c>
      <x:c r="M413" t="str">
        <x:v>无名之辈</x:v>
      </x:c>
      <x:c r="N413" t="str">
        <x:v>14420803</x:v>
      </x:c>
      <x:c r="O413" t="str">
        <x:v>陈雪燃</x:v>
      </x:c>
      <x:c r="P413" t="str">
        <x:v>80419340</x:v>
      </x:c>
      <x:c r="Q413" t="str">
        <x:v>亲爱的，热爱的 影视原声带</x:v>
      </x:c>
      <x:c r="R413" t="str"/>
      <x:c r="S413" t="str"/>
      <x:c r="T413" t="n">
        <x:v>50</x:v>
      </x:c>
      <x:c r="U413" t="n">
        <x:v>41</x:v>
      </x:c>
      <x:c r="V413" t="str">
        <x:v>https://music.163.com/song?id=1376142151</x:v>
      </x:c>
      <x:c r="W413" t="str">
        <x:v>http://p2.music.126.net/wRrT0pLk_6gFODEwo-A-wg==/109951164217552025.jpg</x:v>
      </x:c>
      <x:c r="X413" t="str">
        <x:v>https://music.163.com/discover/toplist?id=5338990334</x:v>
      </x:c>
      <x:c r="Y413" t="str">
        <x:v>https://music.163.com/api/playlist/detail?id=5338990334&amp;n=100</x:v>
      </x:c>
      <x:c r="Z413" s="24" t="str">
        <x:f>IFERROR(VLOOKUP(F413,'07_字典与参数'!$A$5:$E$10,3,FALSE),"待映射")</x:f>
        <x:v>网易云音乐</x:v>
      </x:c>
      <x:c r="AA413" s="24" t="str">
        <x:f>IFERROR(VLOOKUP(F413,'07_字典与参数'!$A$5:$E$10,2,FALSE),"待映射")</x:f>
        <x:v>潜力爆款榜</x:v>
      </x:c>
      <x:c r="AB413" s="24" t="str">
        <x:f>IFERROR(VLOOKUP(F413,'07_字典与参数'!$A$5:$E$10,4,FALSE),"待映射")</x:f>
        <x:v>每周二</x:v>
      </x:c>
      <x:c r="AC413" s="24" t="str">
        <x:f>D413&amp;"|"&amp;F413&amp;"|"&amp;L413</x:f>
        <x:v>netease_cloud_music|potential|1376142151</x:v>
      </x:c>
      <x:c r="AD413" s="24" t="str">
        <x:f>IF(J413&lt;=10,"是","否")</x:f>
        <x:v>是</x:v>
      </x:c>
      <x:c r="AE413" s="24" t="str">
        <x:f>IFERROR(YEAR(R413),"缺失")</x:f>
        <x:v>缺失</x:v>
      </x:c>
    </x:row>
    <x:row r="414">
      <x:c r="A414" t="str">
        <x:v>20260812T132133+0800</x:v>
      </x:c>
      <x:c r="B414" t="n">
        <x:v>46246.22329861111</x:v>
      </x:c>
      <x:c r="C414" t="str">
        <x:v>2026-08-11</x:v>
      </x:c>
      <x:c r="D414" t="str">
        <x:v>netease_cloud_music</x:v>
      </x:c>
      <x:c r="E414" t="str">
        <x:v>CN</x:v>
      </x:c>
      <x:c r="F414" t="str">
        <x:v>potential</x:v>
      </x:c>
      <x:c r="G414" t="str">
        <x:v>潜力爆款榜</x:v>
      </x:c>
      <x:c r="H414" t="str">
        <x:v>5338990334</x:v>
      </x:c>
      <x:c r="I414" t="n">
        <x:v>10</x:v>
      </x:c>
      <x:c r="J414" t="n">
        <x:v>10</x:v>
      </x:c>
      <x:c r="K414" t="n">
        <x:v>10</x:v>
      </x:c>
      <x:c r="L414" t="str">
        <x:v>1865902042</x:v>
      </x:c>
      <x:c r="M414" t="str">
        <x:v>什么是逍遥</x:v>
      </x:c>
      <x:c r="N414" t="str">
        <x:v>34469478</x:v>
      </x:c>
      <x:c r="O414" t="str">
        <x:v>王同学Able</x:v>
      </x:c>
      <x:c r="P414" t="str">
        <x:v>131175618</x:v>
      </x:c>
      <x:c r="Q414" t="str">
        <x:v>什么是逍遥</x:v>
      </x:c>
      <x:c r="R414" t="str">
        <x:v>2021-08-02</x:v>
      </x:c>
      <x:c r="S414" t="str"/>
      <x:c r="T414" t="n">
        <x:v>42</x:v>
      </x:c>
      <x:c r="U414" t="n">
        <x:v>32</x:v>
      </x:c>
      <x:c r="V414" t="str">
        <x:v>https://music.163.com/song?id=1865902042</x:v>
      </x:c>
      <x:c r="W414" t="str">
        <x:v>http://p2.music.126.net/oayzb1MKLrKXmrFbw6WB7A==/109951166239668143.jpg</x:v>
      </x:c>
      <x:c r="X414" t="str">
        <x:v>https://music.163.com/discover/toplist?id=5338990334</x:v>
      </x:c>
      <x:c r="Y414" t="str">
        <x:v>https://music.163.com/api/playlist/detail?id=5338990334&amp;n=100</x:v>
      </x:c>
      <x:c r="Z414" s="24" t="str">
        <x:f>IFERROR(VLOOKUP(F414,'07_字典与参数'!$A$5:$E$10,3,FALSE),"待映射")</x:f>
        <x:v>网易云音乐</x:v>
      </x:c>
      <x:c r="AA414" s="24" t="str">
        <x:f>IFERROR(VLOOKUP(F414,'07_字典与参数'!$A$5:$E$10,2,FALSE),"待映射")</x:f>
        <x:v>潜力爆款榜</x:v>
      </x:c>
      <x:c r="AB414" s="24" t="str">
        <x:f>IFERROR(VLOOKUP(F414,'07_字典与参数'!$A$5:$E$10,4,FALSE),"待映射")</x:f>
        <x:v>每周二</x:v>
      </x:c>
      <x:c r="AC414" s="24" t="str">
        <x:f>D414&amp;"|"&amp;F414&amp;"|"&amp;L414</x:f>
        <x:v>netease_cloud_music|potential|1865902042</x:v>
      </x:c>
      <x:c r="AD414" s="24" t="str">
        <x:f>IF(J414&lt;=10,"是","否")</x:f>
        <x:v>是</x:v>
      </x:c>
      <x:c r="AE414" s="24" t="n">
        <x:f>IFERROR(YEAR(R414),"缺失")</x:f>
        <x:v>2021</x:v>
      </x:c>
    </x:row>
    <x:row r="415">
      <x:c r="A415" t="str">
        <x:v>20260812T132133+0800</x:v>
      </x:c>
      <x:c r="B415" t="n">
        <x:v>46246.22329861111</x:v>
      </x:c>
      <x:c r="C415" t="str">
        <x:v>2026-08-12</x:v>
      </x:c>
      <x:c r="D415" t="str">
        <x:v>netease_cloud_music</x:v>
      </x:c>
      <x:c r="E415" t="str">
        <x:v>CN</x:v>
      </x:c>
      <x:c r="F415" t="str">
        <x:v>realtime_share</x:v>
      </x:c>
      <x:c r="G415" t="str">
        <x:v>实时分享榜</x:v>
      </x:c>
      <x:c r="H415" t="str">
        <x:v>18176153161</x:v>
      </x:c>
      <x:c r="I415" t="n">
        <x:v>10</x:v>
      </x:c>
      <x:c r="J415" t="n">
        <x:v>1</x:v>
      </x:c>
      <x:c r="K415" t="n">
        <x:v>100</x:v>
      </x:c>
      <x:c r="L415" t="str">
        <x:v>2080324987</x:v>
      </x:c>
      <x:c r="M415" t="str">
        <x:v>Love Me</x:v>
      </x:c>
      <x:c r="N415" t="str">
        <x:v>37263</x:v>
      </x:c>
      <x:c r="O415" t="str">
        <x:v>JMSN</x:v>
      </x:c>
      <x:c r="P415" t="str">
        <x:v>174285450</x:v>
      </x:c>
      <x:c r="Q415" t="str">
        <x:v>Soft Spot</x:v>
      </x:c>
      <x:c r="R415" t="str">
        <x:v>2023-10-11</x:v>
      </x:c>
      <x:c r="S415" t="str"/>
      <x:c r="T415"/>
      <x:c r="U415"/>
      <x:c r="V415" t="str">
        <x:v>https://music.163.com/song?id=2080324987</x:v>
      </x:c>
      <x:c r="W415" t="str">
        <x:v>http://p2.music.126.net/1YV5JGnq3zfddKH6IE1Z3Q==/109951172418838714.jpg</x:v>
      </x:c>
      <x:c r="X415" t="str">
        <x:v>https://music.163.com/discover/toplist?id=18176153161</x:v>
      </x:c>
      <x:c r="Y415" t="str">
        <x:v>https://music.163.com/api/playlist/detail?id=18176153161&amp;n=100</x:v>
      </x:c>
      <x:c r="Z415" s="24" t="str">
        <x:f>IFERROR(VLOOKUP(F415,'07_字典与参数'!$A$5:$E$10,3,FALSE),"待映射")</x:f>
        <x:v>网易云音乐</x:v>
      </x:c>
      <x:c r="AA415" s="24" t="str">
        <x:f>IFERROR(VLOOKUP(F415,'07_字典与参数'!$A$5:$E$10,2,FALSE),"待映射")</x:f>
        <x:v>实时分享榜</x:v>
      </x:c>
      <x:c r="AB415" s="24" t="str">
        <x:f>IFERROR(VLOOKUP(F415,'07_字典与参数'!$A$5:$E$10,4,FALSE),"待映射")</x:f>
        <x:v>每小时</x:v>
      </x:c>
      <x:c r="AC415" s="24" t="str">
        <x:f>D415&amp;"|"&amp;F415&amp;"|"&amp;L415</x:f>
        <x:v>netease_cloud_music|realtime_share|2080324987</x:v>
      </x:c>
      <x:c r="AD415" s="24" t="str">
        <x:f>IF(J415&lt;=10,"是","否")</x:f>
        <x:v>是</x:v>
      </x:c>
      <x:c r="AE415" s="24" t="n">
        <x:f>IFERROR(YEAR(R415),"缺失")</x:f>
        <x:v>2023</x:v>
      </x:c>
    </x:row>
    <x:row r="416">
      <x:c r="A416" t="str">
        <x:v>20260812T132133+0800</x:v>
      </x:c>
      <x:c r="B416" t="n">
        <x:v>46246.22329861111</x:v>
      </x:c>
      <x:c r="C416" t="str">
        <x:v>2026-08-12</x:v>
      </x:c>
      <x:c r="D416" t="str">
        <x:v>netease_cloud_music</x:v>
      </x:c>
      <x:c r="E416" t="str">
        <x:v>CN</x:v>
      </x:c>
      <x:c r="F416" t="str">
        <x:v>realtime_share</x:v>
      </x:c>
      <x:c r="G416" t="str">
        <x:v>实时分享榜</x:v>
      </x:c>
      <x:c r="H416" t="str">
        <x:v>18176153161</x:v>
      </x:c>
      <x:c r="I416" t="n">
        <x:v>10</x:v>
      </x:c>
      <x:c r="J416" t="n">
        <x:v>2</x:v>
      </x:c>
      <x:c r="K416" t="n">
        <x:v>90</x:v>
      </x:c>
      <x:c r="L416" t="str">
        <x:v>287398</x:v>
      </x:c>
      <x:c r="M416" t="str">
        <x:v>我不难过</x:v>
      </x:c>
      <x:c r="N416" t="str">
        <x:v>9272</x:v>
      </x:c>
      <x:c r="O416" t="str">
        <x:v>孙燕姿</x:v>
      </x:c>
      <x:c r="P416" t="str">
        <x:v>28539</x:v>
      </x:c>
      <x:c r="Q416" t="str">
        <x:v>未完成</x:v>
      </x:c>
      <x:c r="R416" t="str">
        <x:v>2003-01-10</x:v>
      </x:c>
      <x:c r="S416" t="str"/>
      <x:c r="T416" t="n">
        <x:v>1</x:v>
      </x:c>
      <x:c r="U416" t="n">
        <x:v>-1</x:v>
      </x:c>
      <x:c r="V416" t="str">
        <x:v>https://music.163.com/song?id=287398</x:v>
      </x:c>
      <x:c r="W416" t="str">
        <x:v>http://p2.music.126.net/Pzxy6py26NgNmhJjYMf2RQ==/109951169724216323.jpg</x:v>
      </x:c>
      <x:c r="X416" t="str">
        <x:v>https://music.163.com/discover/toplist?id=18176153161</x:v>
      </x:c>
      <x:c r="Y416" t="str">
        <x:v>https://music.163.com/api/playlist/detail?id=18176153161&amp;n=100</x:v>
      </x:c>
      <x:c r="Z416" s="24" t="str">
        <x:f>IFERROR(VLOOKUP(F416,'07_字典与参数'!$A$5:$E$10,3,FALSE),"待映射")</x:f>
        <x:v>网易云音乐</x:v>
      </x:c>
      <x:c r="AA416" s="24" t="str">
        <x:f>IFERROR(VLOOKUP(F416,'07_字典与参数'!$A$5:$E$10,2,FALSE),"待映射")</x:f>
        <x:v>实时分享榜</x:v>
      </x:c>
      <x:c r="AB416" s="24" t="str">
        <x:f>IFERROR(VLOOKUP(F416,'07_字典与参数'!$A$5:$E$10,4,FALSE),"待映射")</x:f>
        <x:v>每小时</x:v>
      </x:c>
      <x:c r="AC416" s="24" t="str">
        <x:f>D416&amp;"|"&amp;F416&amp;"|"&amp;L416</x:f>
        <x:v>netease_cloud_music|realtime_share|287398</x:v>
      </x:c>
      <x:c r="AD416" s="24" t="str">
        <x:f>IF(J416&lt;=10,"是","否")</x:f>
        <x:v>是</x:v>
      </x:c>
      <x:c r="AE416" s="24" t="n">
        <x:f>IFERROR(YEAR(R416),"缺失")</x:f>
        <x:v>2003</x:v>
      </x:c>
    </x:row>
    <x:row r="417">
      <x:c r="A417" t="str">
        <x:v>20260812T132133+0800</x:v>
      </x:c>
      <x:c r="B417" t="n">
        <x:v>46246.22329861111</x:v>
      </x:c>
      <x:c r="C417" t="str">
        <x:v>2026-08-12</x:v>
      </x:c>
      <x:c r="D417" t="str">
        <x:v>netease_cloud_music</x:v>
      </x:c>
      <x:c r="E417" t="str">
        <x:v>CN</x:v>
      </x:c>
      <x:c r="F417" t="str">
        <x:v>realtime_share</x:v>
      </x:c>
      <x:c r="G417" t="str">
        <x:v>实时分享榜</x:v>
      </x:c>
      <x:c r="H417" t="str">
        <x:v>18176153161</x:v>
      </x:c>
      <x:c r="I417" t="n">
        <x:v>10</x:v>
      </x:c>
      <x:c r="J417" t="n">
        <x:v>3</x:v>
      </x:c>
      <x:c r="K417" t="n">
        <x:v>80</x:v>
      </x:c>
      <x:c r="L417" t="str">
        <x:v>2097443876</x:v>
      </x:c>
      <x:c r="M417" t="str">
        <x:v>碎碎念</x:v>
      </x:c>
      <x:c r="N417" t="str">
        <x:v>1143033</x:v>
      </x:c>
      <x:c r="O417" t="str">
        <x:v>队长</x:v>
      </x:c>
      <x:c r="P417" t="str">
        <x:v>177709425</x:v>
      </x:c>
      <x:c r="Q417" t="str">
        <x:v>碎碎念</x:v>
      </x:c>
      <x:c r="R417" t="str">
        <x:v>2023-11-15</x:v>
      </x:c>
      <x:c r="S417" t="str"/>
      <x:c r="T417" t="n">
        <x:v>7</x:v>
      </x:c>
      <x:c r="U417" t="n">
        <x:v>4</x:v>
      </x:c>
      <x:c r="V417" t="str">
        <x:v>https://music.163.com/song?id=2097443876</x:v>
      </x:c>
      <x:c r="W417" t="str">
        <x:v>http://p2.music.126.net/RYIrCEYzgeAD85DJ0rgOQA==/109951169256300966.jpg</x:v>
      </x:c>
      <x:c r="X417" t="str">
        <x:v>https://music.163.com/discover/toplist?id=18176153161</x:v>
      </x:c>
      <x:c r="Y417" t="str">
        <x:v>https://music.163.com/api/playlist/detail?id=18176153161&amp;n=100</x:v>
      </x:c>
      <x:c r="Z417" s="24" t="str">
        <x:f>IFERROR(VLOOKUP(F417,'07_字典与参数'!$A$5:$E$10,3,FALSE),"待映射")</x:f>
        <x:v>网易云音乐</x:v>
      </x:c>
      <x:c r="AA417" s="24" t="str">
        <x:f>IFERROR(VLOOKUP(F417,'07_字典与参数'!$A$5:$E$10,2,FALSE),"待映射")</x:f>
        <x:v>实时分享榜</x:v>
      </x:c>
      <x:c r="AB417" s="24" t="str">
        <x:f>IFERROR(VLOOKUP(F417,'07_字典与参数'!$A$5:$E$10,4,FALSE),"待映射")</x:f>
        <x:v>每小时</x:v>
      </x:c>
      <x:c r="AC417" s="24" t="str">
        <x:f>D417&amp;"|"&amp;F417&amp;"|"&amp;L417</x:f>
        <x:v>netease_cloud_music|realtime_share|2097443876</x:v>
      </x:c>
      <x:c r="AD417" s="24" t="str">
        <x:f>IF(J417&lt;=10,"是","否")</x:f>
        <x:v>是</x:v>
      </x:c>
      <x:c r="AE417" s="24" t="n">
        <x:f>IFERROR(YEAR(R417),"缺失")</x:f>
        <x:v>2023</x:v>
      </x:c>
    </x:row>
    <x:row r="418">
      <x:c r="A418" t="str">
        <x:v>20260812T132133+0800</x:v>
      </x:c>
      <x:c r="B418" t="n">
        <x:v>46246.22329861111</x:v>
      </x:c>
      <x:c r="C418" t="str">
        <x:v>2026-08-12</x:v>
      </x:c>
      <x:c r="D418" t="str">
        <x:v>netease_cloud_music</x:v>
      </x:c>
      <x:c r="E418" t="str">
        <x:v>CN</x:v>
      </x:c>
      <x:c r="F418" t="str">
        <x:v>realtime_share</x:v>
      </x:c>
      <x:c r="G418" t="str">
        <x:v>实时分享榜</x:v>
      </x:c>
      <x:c r="H418" t="str">
        <x:v>18176153161</x:v>
      </x:c>
      <x:c r="I418" t="n">
        <x:v>10</x:v>
      </x:c>
      <x:c r="J418" t="n">
        <x:v>4</x:v>
      </x:c>
      <x:c r="K418" t="n">
        <x:v>70</x:v>
      </x:c>
      <x:c r="L418" t="str">
        <x:v>1951500280</x:v>
      </x:c>
      <x:c r="M418" t="str">
        <x:v>我的祖国</x:v>
      </x:c>
      <x:c r="N418" t="str">
        <x:v>7781</x:v>
      </x:c>
      <x:c r="O418" t="str">
        <x:v>郭兰英</x:v>
      </x:c>
      <x:c r="P418" t="str">
        <x:v>145692744</x:v>
      </x:c>
      <x:c r="Q418" t="str">
        <x:v>郭兰英个人专辑</x:v>
      </x:c>
      <x:c r="R418" t="str">
        <x:v>1999-05-18</x:v>
      </x:c>
      <x:c r="S418" t="str"/>
      <x:c r="T418" t="n">
        <x:v>2</x:v>
      </x:c>
      <x:c r="U418" t="n">
        <x:v>-2</x:v>
      </x:c>
      <x:c r="V418" t="str">
        <x:v>https://music.163.com/song?id=1951500280</x:v>
      </x:c>
      <x:c r="W418" t="str">
        <x:v>http://p2.music.126.net/qoQiHci-OWd4c4Ufg0rpTg==/109951167486544221.jpg</x:v>
      </x:c>
      <x:c r="X418" t="str">
        <x:v>https://music.163.com/discover/toplist?id=18176153161</x:v>
      </x:c>
      <x:c r="Y418" t="str">
        <x:v>https://music.163.com/api/playlist/detail?id=18176153161&amp;n=100</x:v>
      </x:c>
      <x:c r="Z418" s="24" t="str">
        <x:f>IFERROR(VLOOKUP(F418,'07_字典与参数'!$A$5:$E$10,3,FALSE),"待映射")</x:f>
        <x:v>网易云音乐</x:v>
      </x:c>
      <x:c r="AA418" s="24" t="str">
        <x:f>IFERROR(VLOOKUP(F418,'07_字典与参数'!$A$5:$E$10,2,FALSE),"待映射")</x:f>
        <x:v>实时分享榜</x:v>
      </x:c>
      <x:c r="AB418" s="24" t="str">
        <x:f>IFERROR(VLOOKUP(F418,'07_字典与参数'!$A$5:$E$10,4,FALSE),"待映射")</x:f>
        <x:v>每小时</x:v>
      </x:c>
      <x:c r="AC418" s="24" t="str">
        <x:f>D418&amp;"|"&amp;F418&amp;"|"&amp;L418</x:f>
        <x:v>netease_cloud_music|realtime_share|1951500280</x:v>
      </x:c>
      <x:c r="AD418" s="24" t="str">
        <x:f>IF(J418&lt;=10,"是","否")</x:f>
        <x:v>是</x:v>
      </x:c>
      <x:c r="AE418" s="24" t="n">
        <x:f>IFERROR(YEAR(R418),"缺失")</x:f>
        <x:v>1999</x:v>
      </x:c>
    </x:row>
    <x:row r="419">
      <x:c r="A419" t="str">
        <x:v>20260812T132133+0800</x:v>
      </x:c>
      <x:c r="B419" t="n">
        <x:v>46246.22329861111</x:v>
      </x:c>
      <x:c r="C419" t="str">
        <x:v>2026-08-12</x:v>
      </x:c>
      <x:c r="D419" t="str">
        <x:v>netease_cloud_music</x:v>
      </x:c>
      <x:c r="E419" t="str">
        <x:v>CN</x:v>
      </x:c>
      <x:c r="F419" t="str">
        <x:v>realtime_share</x:v>
      </x:c>
      <x:c r="G419" t="str">
        <x:v>实时分享榜</x:v>
      </x:c>
      <x:c r="H419" t="str">
        <x:v>18176153161</x:v>
      </x:c>
      <x:c r="I419" t="n">
        <x:v>10</x:v>
      </x:c>
      <x:c r="J419" t="n">
        <x:v>5</x:v>
      </x:c>
      <x:c r="K419" t="n">
        <x:v>60</x:v>
      </x:c>
      <x:c r="L419" t="str">
        <x:v>1472921626</x:v>
      </x:c>
      <x:c r="M419" t="str">
        <x:v>刻在我心底的名字</x:v>
      </x:c>
      <x:c r="N419" t="str">
        <x:v>3690</x:v>
      </x:c>
      <x:c r="O419" t="str">
        <x:v>卢广仲</x:v>
      </x:c>
      <x:c r="P419" t="str">
        <x:v>94304499</x:v>
      </x:c>
      <x:c r="Q419" t="str">
        <x:v>刻在我心底的名字</x:v>
      </x:c>
      <x:c r="R419" t="str">
        <x:v>2020-08-25</x:v>
      </x:c>
      <x:c r="S419" t="str"/>
      <x:c r="T419" t="n">
        <x:v>4</x:v>
      </x:c>
      <x:c r="U419" t="n">
        <x:v>-1</x:v>
      </x:c>
      <x:c r="V419" t="str">
        <x:v>https://music.163.com/song?id=1472921626</x:v>
      </x:c>
      <x:c r="W419" t="str">
        <x:v>http://p2.music.126.net/hP30WVUoRy-wE3c-prxr0g==/109951165256630492.jpg</x:v>
      </x:c>
      <x:c r="X419" t="str">
        <x:v>https://music.163.com/discover/toplist?id=18176153161</x:v>
      </x:c>
      <x:c r="Y419" t="str">
        <x:v>https://music.163.com/api/playlist/detail?id=18176153161&amp;n=100</x:v>
      </x:c>
      <x:c r="Z419" s="24" t="str">
        <x:f>IFERROR(VLOOKUP(F419,'07_字典与参数'!$A$5:$E$10,3,FALSE),"待映射")</x:f>
        <x:v>网易云音乐</x:v>
      </x:c>
      <x:c r="AA419" s="24" t="str">
        <x:f>IFERROR(VLOOKUP(F419,'07_字典与参数'!$A$5:$E$10,2,FALSE),"待映射")</x:f>
        <x:v>实时分享榜</x:v>
      </x:c>
      <x:c r="AB419" s="24" t="str">
        <x:f>IFERROR(VLOOKUP(F419,'07_字典与参数'!$A$5:$E$10,4,FALSE),"待映射")</x:f>
        <x:v>每小时</x:v>
      </x:c>
      <x:c r="AC419" s="24" t="str">
        <x:f>D419&amp;"|"&amp;F419&amp;"|"&amp;L419</x:f>
        <x:v>netease_cloud_music|realtime_share|1472921626</x:v>
      </x:c>
      <x:c r="AD419" s="24" t="str">
        <x:f>IF(J419&lt;=10,"是","否")</x:f>
        <x:v>是</x:v>
      </x:c>
      <x:c r="AE419" s="24" t="n">
        <x:f>IFERROR(YEAR(R419),"缺失")</x:f>
        <x:v>2020</x:v>
      </x:c>
    </x:row>
    <x:row r="420">
      <x:c r="A420" t="str">
        <x:v>20260812T132133+0800</x:v>
      </x:c>
      <x:c r="B420" t="n">
        <x:v>46246.22329861111</x:v>
      </x:c>
      <x:c r="C420" t="str">
        <x:v>2026-08-12</x:v>
      </x:c>
      <x:c r="D420" t="str">
        <x:v>netease_cloud_music</x:v>
      </x:c>
      <x:c r="E420" t="str">
        <x:v>CN</x:v>
      </x:c>
      <x:c r="F420" t="str">
        <x:v>realtime_share</x:v>
      </x:c>
      <x:c r="G420" t="str">
        <x:v>实时分享榜</x:v>
      </x:c>
      <x:c r="H420" t="str">
        <x:v>18176153161</x:v>
      </x:c>
      <x:c r="I420" t="n">
        <x:v>10</x:v>
      </x:c>
      <x:c r="J420" t="n">
        <x:v>6</x:v>
      </x:c>
      <x:c r="K420" t="n">
        <x:v>50</x:v>
      </x:c>
      <x:c r="L420" t="str">
        <x:v>3399839173</x:v>
      </x:c>
      <x:c r="M420" t="str">
        <x:v>甲乙丙丁 (你我怎么两清)</x:v>
      </x:c>
      <x:c r="N420" t="str">
        <x:v>8753</x:v>
      </x:c>
      <x:c r="O420" t="str">
        <x:v>李佳薇</x:v>
      </x:c>
      <x:c r="P420" t="str">
        <x:v>384452271</x:v>
      </x:c>
      <x:c r="Q420" t="str">
        <x:v>甲乙丙丁</x:v>
      </x:c>
      <x:c r="R420" t="str">
        <x:v>2026-07-02</x:v>
      </x:c>
      <x:c r="S420" t="str"/>
      <x:c r="T420" t="n">
        <x:v>5</x:v>
      </x:c>
      <x:c r="U420" t="n">
        <x:v>-1</x:v>
      </x:c>
      <x:c r="V420" t="str">
        <x:v>https://music.163.com/song?id=3399839173</x:v>
      </x:c>
      <x:c r="W420" t="str">
        <x:v>http://p2.music.126.net/H9iDvukTit_jx-fmhhvXUQ==/109951173482378749.jpg</x:v>
      </x:c>
      <x:c r="X420" t="str">
        <x:v>https://music.163.com/discover/toplist?id=18176153161</x:v>
      </x:c>
      <x:c r="Y420" t="str">
        <x:v>https://music.163.com/api/playlist/detail?id=18176153161&amp;n=100</x:v>
      </x:c>
      <x:c r="Z420" s="24" t="str">
        <x:f>IFERROR(VLOOKUP(F420,'07_字典与参数'!$A$5:$E$10,3,FALSE),"待映射")</x:f>
        <x:v>网易云音乐</x:v>
      </x:c>
      <x:c r="AA420" s="24" t="str">
        <x:f>IFERROR(VLOOKUP(F420,'07_字典与参数'!$A$5:$E$10,2,FALSE),"待映射")</x:f>
        <x:v>实时分享榜</x:v>
      </x:c>
      <x:c r="AB420" s="24" t="str">
        <x:f>IFERROR(VLOOKUP(F420,'07_字典与参数'!$A$5:$E$10,4,FALSE),"待映射")</x:f>
        <x:v>每小时</x:v>
      </x:c>
      <x:c r="AC420" s="24" t="str">
        <x:f>D420&amp;"|"&amp;F420&amp;"|"&amp;L420</x:f>
        <x:v>netease_cloud_music|realtime_share|3399839173</x:v>
      </x:c>
      <x:c r="AD420" s="24" t="str">
        <x:f>IF(J420&lt;=10,"是","否")</x:f>
        <x:v>是</x:v>
      </x:c>
      <x:c r="AE420" s="24" t="n">
        <x:f>IFERROR(YEAR(R420),"缺失")</x:f>
        <x:v>2026</x:v>
      </x:c>
    </x:row>
    <x:row r="421">
      <x:c r="A421" t="str">
        <x:v>20260812T132133+0800</x:v>
      </x:c>
      <x:c r="B421" t="n">
        <x:v>46246.22329861111</x:v>
      </x:c>
      <x:c r="C421" t="str">
        <x:v>2026-08-12</x:v>
      </x:c>
      <x:c r="D421" t="str">
        <x:v>netease_cloud_music</x:v>
      </x:c>
      <x:c r="E421" t="str">
        <x:v>CN</x:v>
      </x:c>
      <x:c r="F421" t="str">
        <x:v>realtime_share</x:v>
      </x:c>
      <x:c r="G421" t="str">
        <x:v>实时分享榜</x:v>
      </x:c>
      <x:c r="H421" t="str">
        <x:v>18176153161</x:v>
      </x:c>
      <x:c r="I421" t="n">
        <x:v>10</x:v>
      </x:c>
      <x:c r="J421" t="n">
        <x:v>7</x:v>
      </x:c>
      <x:c r="K421" t="n">
        <x:v>40</x:v>
      </x:c>
      <x:c r="L421" t="str">
        <x:v>3404238777</x:v>
      </x:c>
      <x:c r="M421" t="str">
        <x:v>周旋</x:v>
      </x:c>
      <x:c r="N421" t="str">
        <x:v>12236125 | 1203045</x:v>
      </x:c>
      <x:c r="O421" t="str">
        <x:v>王以太 | 艾热 AIR</x:v>
      </x:c>
      <x:c r="P421" t="str">
        <x:v>386145067</x:v>
      </x:c>
      <x:c r="Q421" t="str">
        <x:v>太热爱</x:v>
      </x:c>
      <x:c r="R421" t="str">
        <x:v>2026-07-12</x:v>
      </x:c>
      <x:c r="S421" t="str"/>
      <x:c r="T421" t="n">
        <x:v>3</x:v>
      </x:c>
      <x:c r="U421" t="n">
        <x:v>-4</x:v>
      </x:c>
      <x:c r="V421" t="str">
        <x:v>https://music.163.com/song?id=3404238777</x:v>
      </x:c>
      <x:c r="W421" t="str">
        <x:v>http://p2.music.126.net/rDv1qod6MDsYcEHKtxCdAA==/109951173532089932.jpg</x:v>
      </x:c>
      <x:c r="X421" t="str">
        <x:v>https://music.163.com/discover/toplist?id=18176153161</x:v>
      </x:c>
      <x:c r="Y421" t="str">
        <x:v>https://music.163.com/api/playlist/detail?id=18176153161&amp;n=100</x:v>
      </x:c>
      <x:c r="Z421" s="24" t="str">
        <x:f>IFERROR(VLOOKUP(F421,'07_字典与参数'!$A$5:$E$10,3,FALSE),"待映射")</x:f>
        <x:v>网易云音乐</x:v>
      </x:c>
      <x:c r="AA421" s="24" t="str">
        <x:f>IFERROR(VLOOKUP(F421,'07_字典与参数'!$A$5:$E$10,2,FALSE),"待映射")</x:f>
        <x:v>实时分享榜</x:v>
      </x:c>
      <x:c r="AB421" s="24" t="str">
        <x:f>IFERROR(VLOOKUP(F421,'07_字典与参数'!$A$5:$E$10,4,FALSE),"待映射")</x:f>
        <x:v>每小时</x:v>
      </x:c>
      <x:c r="AC421" s="24" t="str">
        <x:f>D421&amp;"|"&amp;F421&amp;"|"&amp;L421</x:f>
        <x:v>netease_cloud_music|realtime_share|3404238777</x:v>
      </x:c>
      <x:c r="AD421" s="24" t="str">
        <x:f>IF(J421&lt;=10,"是","否")</x:f>
        <x:v>是</x:v>
      </x:c>
      <x:c r="AE421" s="24" t="n">
        <x:f>IFERROR(YEAR(R421),"缺失")</x:f>
        <x:v>2026</x:v>
      </x:c>
    </x:row>
    <x:row r="422">
      <x:c r="A422" t="str">
        <x:v>20260812T132133+0800</x:v>
      </x:c>
      <x:c r="B422" t="n">
        <x:v>46246.22329861111</x:v>
      </x:c>
      <x:c r="C422" t="str">
        <x:v>2026-08-12</x:v>
      </x:c>
      <x:c r="D422" t="str">
        <x:v>netease_cloud_music</x:v>
      </x:c>
      <x:c r="E422" t="str">
        <x:v>CN</x:v>
      </x:c>
      <x:c r="F422" t="str">
        <x:v>realtime_share</x:v>
      </x:c>
      <x:c r="G422" t="str">
        <x:v>实时分享榜</x:v>
      </x:c>
      <x:c r="H422" t="str">
        <x:v>18176153161</x:v>
      </x:c>
      <x:c r="I422" t="n">
        <x:v>10</x:v>
      </x:c>
      <x:c r="J422" t="n">
        <x:v>8</x:v>
      </x:c>
      <x:c r="K422" t="n">
        <x:v>30</x:v>
      </x:c>
      <x:c r="L422" t="str">
        <x:v>277382</x:v>
      </x:c>
      <x:c r="M422" t="str">
        <x:v>盛夏的果实</x:v>
      </x:c>
      <x:c r="N422" t="str">
        <x:v>8926</x:v>
      </x:c>
      <x:c r="O422" t="str">
        <x:v>莫文蔚</x:v>
      </x:c>
      <x:c r="P422" t="str">
        <x:v>27539</x:v>
      </x:c>
      <x:c r="Q422" t="str">
        <x:v>含情莫莫 莫文蔚全精选辑</x:v>
      </x:c>
      <x:c r="R422" t="str">
        <x:v>2002-03-01</x:v>
      </x:c>
      <x:c r="S422" t="str"/>
      <x:c r="T422" t="n">
        <x:v>11</x:v>
      </x:c>
      <x:c r="U422" t="n">
        <x:v>3</x:v>
      </x:c>
      <x:c r="V422" t="str">
        <x:v>https://music.163.com/song?id=277382</x:v>
      </x:c>
      <x:c r="W422" t="str">
        <x:v>http://p1.music.126.net/3eVhNBf4fv133FRgMj4IPQ==/109951164628978750.jpg</x:v>
      </x:c>
      <x:c r="X422" t="str">
        <x:v>https://music.163.com/discover/toplist?id=18176153161</x:v>
      </x:c>
      <x:c r="Y422" t="str">
        <x:v>https://music.163.com/api/playlist/detail?id=18176153161&amp;n=100</x:v>
      </x:c>
      <x:c r="Z422" s="24" t="str">
        <x:f>IFERROR(VLOOKUP(F422,'07_字典与参数'!$A$5:$E$10,3,FALSE),"待映射")</x:f>
        <x:v>网易云音乐</x:v>
      </x:c>
      <x:c r="AA422" s="24" t="str">
        <x:f>IFERROR(VLOOKUP(F422,'07_字典与参数'!$A$5:$E$10,2,FALSE),"待映射")</x:f>
        <x:v>实时分享榜</x:v>
      </x:c>
      <x:c r="AB422" s="24" t="str">
        <x:f>IFERROR(VLOOKUP(F422,'07_字典与参数'!$A$5:$E$10,4,FALSE),"待映射")</x:f>
        <x:v>每小时</x:v>
      </x:c>
      <x:c r="AC422" s="24" t="str">
        <x:f>D422&amp;"|"&amp;F422&amp;"|"&amp;L422</x:f>
        <x:v>netease_cloud_music|realtime_share|277382</x:v>
      </x:c>
      <x:c r="AD422" s="24" t="str">
        <x:f>IF(J422&lt;=10,"是","否")</x:f>
        <x:v>是</x:v>
      </x:c>
      <x:c r="AE422" s="24" t="n">
        <x:f>IFERROR(YEAR(R422),"缺失")</x:f>
        <x:v>2002</x:v>
      </x:c>
    </x:row>
    <x:row r="423">
      <x:c r="A423" t="str">
        <x:v>20260812T132133+0800</x:v>
      </x:c>
      <x:c r="B423" t="n">
        <x:v>46246.22329861111</x:v>
      </x:c>
      <x:c r="C423" t="str">
        <x:v>2026-08-12</x:v>
      </x:c>
      <x:c r="D423" t="str">
        <x:v>netease_cloud_music</x:v>
      </x:c>
      <x:c r="E423" t="str">
        <x:v>CN</x:v>
      </x:c>
      <x:c r="F423" t="str">
        <x:v>realtime_share</x:v>
      </x:c>
      <x:c r="G423" t="str">
        <x:v>实时分享榜</x:v>
      </x:c>
      <x:c r="H423" t="str">
        <x:v>18176153161</x:v>
      </x:c>
      <x:c r="I423" t="n">
        <x:v>10</x:v>
      </x:c>
      <x:c r="J423" t="n">
        <x:v>9</x:v>
      </x:c>
      <x:c r="K423" t="n">
        <x:v>20</x:v>
      </x:c>
      <x:c r="L423" t="str">
        <x:v>2136806746</x:v>
      </x:c>
      <x:c r="M423" t="str">
        <x:v>狗狗</x:v>
      </x:c>
      <x:c r="N423" t="str">
        <x:v>12277473</x:v>
      </x:c>
      <x:c r="O423" t="str">
        <x:v>李大奔BENZO</x:v>
      </x:c>
      <x:c r="P423" t="str">
        <x:v>189277354</x:v>
      </x:c>
      <x:c r="Q423" t="str">
        <x:v>STAY STRONG</x:v>
      </x:c>
      <x:c r="R423" t="str"/>
      <x:c r="S423" t="str"/>
      <x:c r="T423" t="n">
        <x:v>16</x:v>
      </x:c>
      <x:c r="U423" t="n">
        <x:v>7</x:v>
      </x:c>
      <x:c r="V423" t="str">
        <x:v>https://music.163.com/song?id=2136806746</x:v>
      </x:c>
      <x:c r="W423" t="str">
        <x:v>http://p1.music.126.net/08gifTiSLnI2pEUd_6Gtdw==/109951169421977365.jpg</x:v>
      </x:c>
      <x:c r="X423" t="str">
        <x:v>https://music.163.com/discover/toplist?id=18176153161</x:v>
      </x:c>
      <x:c r="Y423" t="str">
        <x:v>https://music.163.com/api/playlist/detail?id=18176153161&amp;n=100</x:v>
      </x:c>
      <x:c r="Z423" s="24" t="str">
        <x:f>IFERROR(VLOOKUP(F423,'07_字典与参数'!$A$5:$E$10,3,FALSE),"待映射")</x:f>
        <x:v>网易云音乐</x:v>
      </x:c>
      <x:c r="AA423" s="24" t="str">
        <x:f>IFERROR(VLOOKUP(F423,'07_字典与参数'!$A$5:$E$10,2,FALSE),"待映射")</x:f>
        <x:v>实时分享榜</x:v>
      </x:c>
      <x:c r="AB423" s="24" t="str">
        <x:f>IFERROR(VLOOKUP(F423,'07_字典与参数'!$A$5:$E$10,4,FALSE),"待映射")</x:f>
        <x:v>每小时</x:v>
      </x:c>
      <x:c r="AC423" s="24" t="str">
        <x:f>D423&amp;"|"&amp;F423&amp;"|"&amp;L423</x:f>
        <x:v>netease_cloud_music|realtime_share|2136806746</x:v>
      </x:c>
      <x:c r="AD423" s="24" t="str">
        <x:f>IF(J423&lt;=10,"是","否")</x:f>
        <x:v>是</x:v>
      </x:c>
      <x:c r="AE423" s="24" t="str">
        <x:f>IFERROR(YEAR(R423),"缺失")</x:f>
        <x:v>缺失</x:v>
      </x:c>
    </x:row>
    <x:row r="424">
      <x:c r="A424" t="str">
        <x:v>20260812T132133+0800</x:v>
      </x:c>
      <x:c r="B424" t="n">
        <x:v>46246.22329861111</x:v>
      </x:c>
      <x:c r="C424" t="str">
        <x:v>2026-08-12</x:v>
      </x:c>
      <x:c r="D424" t="str">
        <x:v>netease_cloud_music</x:v>
      </x:c>
      <x:c r="E424" t="str">
        <x:v>CN</x:v>
      </x:c>
      <x:c r="F424" t="str">
        <x:v>realtime_share</x:v>
      </x:c>
      <x:c r="G424" t="str">
        <x:v>实时分享榜</x:v>
      </x:c>
      <x:c r="H424" t="str">
        <x:v>18176153161</x:v>
      </x:c>
      <x:c r="I424" t="n">
        <x:v>10</x:v>
      </x:c>
      <x:c r="J424" t="n">
        <x:v>10</x:v>
      </x:c>
      <x:c r="K424" t="n">
        <x:v>10</x:v>
      </x:c>
      <x:c r="L424" t="str">
        <x:v>108965</x:v>
      </x:c>
      <x:c r="M424" t="str">
        <x:v>冻结</x:v>
      </x:c>
      <x:c r="N424" t="str">
        <x:v>3684</x:v>
      </x:c>
      <x:c r="O424" t="str">
        <x:v>林俊杰</x:v>
      </x:c>
      <x:c r="P424" t="str">
        <x:v>10808</x:v>
      </x:c>
      <x:c r="Q424" t="str">
        <x:v>乐行者</x:v>
      </x:c>
      <x:c r="R424" t="str">
        <x:v>2003-04-01</x:v>
      </x:c>
      <x:c r="S424" t="str"/>
      <x:c r="T424" t="n">
        <x:v>9</x:v>
      </x:c>
      <x:c r="U424" t="n">
        <x:v>-1</x:v>
      </x:c>
      <x:c r="V424" t="str">
        <x:v>https://music.163.com/song?id=108965</x:v>
      </x:c>
      <x:c r="W424" t="str">
        <x:v>http://p1.music.126.net/BU26yl8XSsV4g1_eYYTCWg==/109951172002804127.jpg</x:v>
      </x:c>
      <x:c r="X424" t="str">
        <x:v>https://music.163.com/discover/toplist?id=18176153161</x:v>
      </x:c>
      <x:c r="Y424" t="str">
        <x:v>https://music.163.com/api/playlist/detail?id=18176153161&amp;n=100</x:v>
      </x:c>
      <x:c r="Z424" s="24" t="str">
        <x:f>IFERROR(VLOOKUP(F424,'07_字典与参数'!$A$5:$E$10,3,FALSE),"待映射")</x:f>
        <x:v>网易云音乐</x:v>
      </x:c>
      <x:c r="AA424" s="24" t="str">
        <x:f>IFERROR(VLOOKUP(F424,'07_字典与参数'!$A$5:$E$10,2,FALSE),"待映射")</x:f>
        <x:v>实时分享榜</x:v>
      </x:c>
      <x:c r="AB424" s="24" t="str">
        <x:f>IFERROR(VLOOKUP(F424,'07_字典与参数'!$A$5:$E$10,4,FALSE),"待映射")</x:f>
        <x:v>每小时</x:v>
      </x:c>
      <x:c r="AC424" s="24" t="str">
        <x:f>D424&amp;"|"&amp;F424&amp;"|"&amp;L424</x:f>
        <x:v>netease_cloud_music|realtime_share|108965</x:v>
      </x:c>
      <x:c r="AD424" s="24" t="str">
        <x:f>IF(J424&lt;=10,"是","否")</x:f>
        <x:v>是</x:v>
      </x:c>
      <x:c r="AE424" s="24" t="n">
        <x:f>IFERROR(YEAR(R424),"缺失")</x:f>
        <x:v>2003</x:v>
      </x:c>
    </x:row>
  </x:sheetData>
  <x:mergeCells>
    <x:mergeCell ref="A1:AE1"/>
    <x:mergeCell ref="A2:AE2"/>
  </x:mergeCells>
  <x:conditionalFormatting sqref="J5:J424">
    <x:cfRule type="cellIs" dxfId="0" priority="1" operator="lessThanOrEqual">
      <x:formula>10</x:formula>
    </x:cfRule>
  </x:conditionalFormatting>
  <x:conditionalFormatting sqref="K5:K424">
    <x:cfRule type="colorScale" priority="2">
      <x:colorScale>
        <x:cfvo type="min"/>
        <x:cfvo type="percentile" val="50"/>
        <x:cfvo type="max"/>
        <x:color rgb="FFEFE9DD"/>
        <x:color rgb="FFD7BC83"/>
        <x:color rgb="FF9A6A25"/>
      </x:colorScale>
    </x:cfRule>
  </x:conditionalFormatting>
  <x:conditionalFormatting sqref="AC5:AC424">
    <x:cfRule type="duplicateValues" dxfId="1" priority="3"/>
  </x:conditionalFormatting>
  <x:conditionalFormatting sqref="Z5:AB424">
    <x:cfRule type="containsText" dxfId="2" priority="4" operator="containsText" text="待映射"/>
  </x:conditionalFormatting>
  <x:pageMargins left="0.7" right="0.7" top="0.75" bottom="0.75" header="0.3" footer="0.3"/>
  <x:tableParts count="1">
    <x:tablePart xmlns:r="http://schemas.openxmlformats.org/officeDocument/2006/relationships" r:id="R0679f10fda83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8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3" t="str">
        <x:v>腾讯音乐由你榜原始数据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>
      <x:c r="A2" s="5" t="str">
        <x:v>第28—31期共800条｜VLOOKUP 按 qq_track_mid 标记候选综合分与名称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4">
      <x:c r="A4" s="12" t="str">
        <x:v>issue</x:v>
      </x:c>
      <x:c r="B4" s="12" t="str">
        <x:v>issue_title</x:v>
      </x:c>
      <x:c r="C4" s="12" t="str">
        <x:v>start_date</x:v>
      </x:c>
      <x:c r="D4" s="12" t="str">
        <x:v>end_date</x:v>
      </x:c>
      <x:c r="E4" s="12" t="str">
        <x:v>rank</x:v>
      </x:c>
      <x:c r="F4" s="12" t="str">
        <x:v>track_id</x:v>
      </x:c>
      <x:c r="G4" s="12" t="str">
        <x:v>song_name</x:v>
      </x:c>
      <x:c r="H4" s="12" t="str">
        <x:v>artist_name</x:v>
      </x:c>
      <x:c r="I4" s="12" t="str">
        <x:v>qq_track_mid</x:v>
      </x:c>
      <x:c r="J4" s="12" t="str">
        <x:v>new_flag</x:v>
      </x:c>
      <x:c r="K4" s="12" t="str">
        <x:v>last_week_rank</x:v>
      </x:c>
      <x:c r="L4" s="12" t="str">
        <x:v>on_chart_weeks</x:v>
      </x:c>
      <x:c r="M4" s="12" t="str">
        <x:v>history_highest_rank</x:v>
      </x:c>
      <x:c r="N4" s="12" t="str">
        <x:v>uni_index</x:v>
      </x:c>
      <x:c r="O4" s="12" t="str">
        <x:v>play_heat</x:v>
      </x:c>
      <x:c r="P4" s="12" t="str">
        <x:v>spread</x:v>
      </x:c>
      <x:c r="Q4" s="12" t="str">
        <x:v>preference</x:v>
      </x:c>
      <x:c r="R4" s="12" t="str">
        <x:v>sales</x:v>
      </x:c>
      <x:c r="S4" s="12" t="str">
        <x:v>recommendation</x:v>
      </x:c>
      <x:c r="T4" s="12" t="str">
        <x:v>cover_url</x:v>
      </x:c>
      <x:c r="U4" s="12" t="str">
        <x:v>候选综合分_VLOOKUP</x:v>
      </x:c>
      <x:c r="V4" s="12" t="str">
        <x:v>候选歌名_VLOOKUP</x:v>
      </x:c>
      <x:c r="W4" s="12" t="str">
        <x:v>入选状态</x:v>
      </x:c>
    </x:row>
    <x:row r="5">
      <x:c r="A5" t="n">
        <x:v>202628</x:v>
      </x:c>
      <x:c r="B5" t="str">
        <x:v>第28期（07.13-07.19）</x:v>
      </x:c>
      <x:c r="C5" t="str">
        <x:v>2026-07-13</x:v>
      </x:c>
      <x:c r="D5" t="str">
        <x:v>2026-07-19</x:v>
      </x:c>
      <x:c r="E5" t="n">
        <x:v>1</x:v>
      </x:c>
      <x:c r="F5" t="n">
        <x:v>530004147</x:v>
      </x:c>
      <x:c r="G5" t="str">
        <x:v>红尘慌慌</x:v>
      </x:c>
      <x:c r="H5" t="str">
        <x:v>周深</x:v>
      </x:c>
      <x:c r="I5" t="str">
        <x:v>003ARFyH2himMe</x:v>
      </x:c>
      <x:c r="J5" t="str">
        <x:v>False</x:v>
      </x:c>
      <x:c r="K5" t="n">
        <x:v>5</x:v>
      </x:c>
      <x:c r="L5" t="n">
        <x:v>2</x:v>
      </x:c>
      <x:c r="M5" t="n">
        <x:v>1</x:v>
      </x:c>
      <x:c r="N5" t="n">
        <x:v>96.97699</x:v>
      </x:c>
      <x:c r="O5" t="n">
        <x:v>74.58</x:v>
      </x:c>
      <x:c r="P5" t="n">
        <x:v>0</x:v>
      </x:c>
      <x:c r="Q5" t="n">
        <x:v>0</x:v>
      </x:c>
      <x:c r="R5" t="n">
        <x:v>72.17</x:v>
      </x:c>
      <x:c r="S5" t="n">
        <x:v>90.44</x:v>
      </x:c>
      <x:c r="T5" t="str">
        <x:v>https://y.qq.com/music/photo_new/T062R500x500M000002P5PQ93Mb5a2.jpg</x:v>
      </x:c>
      <x:c r="U5" s="24" t="str">
        <x:f>IFERROR(VLOOKUP(I5,'07_字典与参数'!$G$5:$J$9,2,FALSE),"未入选")</x:f>
        <x:v>未入选</x:v>
      </x:c>
      <x:c r="V5" s="24" t="str">
        <x:f>IFERROR(VLOOKUP(I5,'07_字典与参数'!$G$5:$J$9,3,FALSE),"—")</x:f>
        <x:v>—</x:v>
      </x:c>
      <x:c r="W5" s="24" t="str">
        <x:f>IF(U5="未入选","否","是")</x:f>
        <x:v>否</x:v>
      </x:c>
    </x:row>
    <x:row r="6">
      <x:c r="A6" t="n">
        <x:v>202628</x:v>
      </x:c>
      <x:c r="B6" t="str">
        <x:v>第28期（07.13-07.19）</x:v>
      </x:c>
      <x:c r="C6" t="str">
        <x:v>2026-07-13</x:v>
      </x:c>
      <x:c r="D6" t="str">
        <x:v>2026-07-19</x:v>
      </x:c>
      <x:c r="E6" t="n">
        <x:v>2</x:v>
      </x:c>
      <x:c r="F6" t="n">
        <x:v>495731462</x:v>
      </x:c>
      <x:c r="G6" t="str">
        <x:v>宇宙游乐场</x:v>
      </x:c>
      <x:c r="H6" t="str">
        <x:v>梓渝</x:v>
      </x:c>
      <x:c r="I6" t="str">
        <x:v>003xi4dG0HPhN3</x:v>
      </x:c>
      <x:c r="J6" t="str">
        <x:v>False</x:v>
      </x:c>
      <x:c r="K6" t="n">
        <x:v>3</x:v>
      </x:c>
      <x:c r="L6" t="n">
        <x:v>7</x:v>
      </x:c>
      <x:c r="M6" t="n">
        <x:v>1</x:v>
      </x:c>
      <x:c r="N6" t="n">
        <x:v>96.50227</x:v>
      </x:c>
      <x:c r="O6" t="n">
        <x:v>71.29</x:v>
      </x:c>
      <x:c r="P6" t="n">
        <x:v>0</x:v>
      </x:c>
      <x:c r="Q6" t="n">
        <x:v>0</x:v>
      </x:c>
      <x:c r="R6" t="n">
        <x:v>59.45</x:v>
      </x:c>
      <x:c r="S6" t="n">
        <x:v>87.39</x:v>
      </x:c>
      <x:c r="T6" t="str">
        <x:v>https://y.gtimg.cn/music/photo_new/T002R500x500M000001YF9mT23fsBQ_1.jpg</x:v>
      </x:c>
      <x:c r="U6" s="24" t="str">
        <x:f>IFERROR(VLOOKUP(I6,'07_字典与参数'!$G$5:$J$9,2,FALSE),"未入选")</x:f>
        <x:v>未入选</x:v>
      </x:c>
      <x:c r="V6" s="24" t="str">
        <x:f>IFERROR(VLOOKUP(I6,'07_字典与参数'!$G$5:$J$9,3,FALSE),"—")</x:f>
        <x:v>—</x:v>
      </x:c>
      <x:c r="W6" s="24" t="str">
        <x:f>IF(U6="未入选","否","是")</x:f>
        <x:v>否</x:v>
      </x:c>
    </x:row>
    <x:row r="7">
      <x:c r="A7" t="n">
        <x:v>202628</x:v>
      </x:c>
      <x:c r="B7" t="str">
        <x:v>第28期（07.13-07.19）</x:v>
      </x:c>
      <x:c r="C7" t="str">
        <x:v>2026-07-13</x:v>
      </x:c>
      <x:c r="D7" t="str">
        <x:v>2026-07-19</x:v>
      </x:c>
      <x:c r="E7" t="n">
        <x:v>3</x:v>
      </x:c>
      <x:c r="F7" t="n">
        <x:v>509534822</x:v>
      </x:c>
      <x:c r="G7" t="str">
        <x:v>我想</x:v>
      </x:c>
      <x:c r="H7" t="str">
        <x:v>刘宇宁</x:v>
      </x:c>
      <x:c r="I7" t="str">
        <x:v>004BV00w11Ysvm</x:v>
      </x:c>
      <x:c r="J7" t="str">
        <x:v>False</x:v>
      </x:c>
      <x:c r="K7" t="n">
        <x:v>4</x:v>
      </x:c>
      <x:c r="L7" t="n">
        <x:v>6</x:v>
      </x:c>
      <x:c r="M7" t="n">
        <x:v>3</x:v>
      </x:c>
      <x:c r="N7" t="n">
        <x:v>96.36423</x:v>
      </x:c>
      <x:c r="O7" t="n">
        <x:v>70.72</x:v>
      </x:c>
      <x:c r="P7" t="n">
        <x:v>0</x:v>
      </x:c>
      <x:c r="Q7" t="n">
        <x:v>0</x:v>
      </x:c>
      <x:c r="R7" t="n">
        <x:v>38.66</x:v>
      </x:c>
      <x:c r="S7" t="n">
        <x:v>86.64</x:v>
      </x:c>
      <x:c r="T7" t="str">
        <x:v>https://y.gtimg.cn/music/photo_new/T002R500x500M000002lkcEK0ztfwR_1.jpg</x:v>
      </x:c>
      <x:c r="U7" s="24" t="str">
        <x:f>IFERROR(VLOOKUP(I7,'07_字典与参数'!$G$5:$J$9,2,FALSE),"未入选")</x:f>
        <x:v>未入选</x:v>
      </x:c>
      <x:c r="V7" s="24" t="str">
        <x:f>IFERROR(VLOOKUP(I7,'07_字典与参数'!$G$5:$J$9,3,FALSE),"—")</x:f>
        <x:v>—</x:v>
      </x:c>
      <x:c r="W7" s="24" t="str">
        <x:f>IF(U7="未入选","否","是")</x:f>
        <x:v>否</x:v>
      </x:c>
    </x:row>
    <x:row r="8">
      <x:c r="A8" t="n">
        <x:v>202628</x:v>
      </x:c>
      <x:c r="B8" t="str">
        <x:v>第28期（07.13-07.19）</x:v>
      </x:c>
      <x:c r="C8" t="str">
        <x:v>2026-07-13</x:v>
      </x:c>
      <x:c r="D8" t="str">
        <x:v>2026-07-19</x:v>
      </x:c>
      <x:c r="E8" t="n">
        <x:v>4</x:v>
      </x:c>
      <x:c r="F8" t="n">
        <x:v>531359848</x:v>
      </x:c>
      <x:c r="G8" t="str">
        <x:v>我只要我开心</x:v>
      </x:c>
      <x:c r="H8" t="str">
        <x:v>时代少年团</x:v>
      </x:c>
      <x:c r="I8" t="str">
        <x:v>0047kieu3p1Zrf</x:v>
      </x:c>
      <x:c r="J8" t="str">
        <x:v>True</x:v>
      </x:c>
      <x:c r="K8" t="n">
        <x:v>0</x:v>
      </x:c>
      <x:c r="L8" t="n">
        <x:v>1</x:v>
      </x:c>
      <x:c r="M8" t="n">
        <x:v>4</x:v>
      </x:c>
      <x:c r="N8" t="n">
        <x:v>96.2633</x:v>
      </x:c>
      <x:c r="O8" t="n">
        <x:v>80.41</x:v>
      </x:c>
      <x:c r="P8" t="n">
        <x:v>0</x:v>
      </x:c>
      <x:c r="Q8" t="n">
        <x:v>0</x:v>
      </x:c>
      <x:c r="R8" t="n">
        <x:v>80.59</x:v>
      </x:c>
      <x:c r="S8" t="n">
        <x:v>80.45</x:v>
      </x:c>
      <x:c r="T8" t="str">
        <x:v>https://y.gtimg.cn/music/photo_new/T002R500x500M000002zvO7r0gSXWZ_1.jpg</x:v>
      </x:c>
      <x:c r="U8" s="24" t="str">
        <x:f>IFERROR(VLOOKUP(I8,'07_字典与参数'!$G$5:$J$9,2,FALSE),"未入选")</x:f>
        <x:v>未入选</x:v>
      </x:c>
      <x:c r="V8" s="24" t="str">
        <x:f>IFERROR(VLOOKUP(I8,'07_字典与参数'!$G$5:$J$9,3,FALSE),"—")</x:f>
        <x:v>—</x:v>
      </x:c>
      <x:c r="W8" s="24" t="str">
        <x:f>IF(U8="未入选","否","是")</x:f>
        <x:v>否</x:v>
      </x:c>
    </x:row>
    <x:row r="9">
      <x:c r="A9" t="n">
        <x:v>202628</x:v>
      </x:c>
      <x:c r="B9" t="str">
        <x:v>第28期（07.13-07.19）</x:v>
      </x:c>
      <x:c r="C9" t="str">
        <x:v>2026-07-13</x:v>
      </x:c>
      <x:c r="D9" t="str">
        <x:v>2026-07-19</x:v>
      </x:c>
      <x:c r="E9" t="n">
        <x:v>5</x:v>
      </x:c>
      <x:c r="F9" t="n">
        <x:v>515779632</x:v>
      </x:c>
      <x:c r="G9" t="str">
        <x:v>Steal The Moon</x:v>
      </x:c>
      <x:c r="H9" t="str">
        <x:v>王俊凯</x:v>
      </x:c>
      <x:c r="I9" t="str">
        <x:v>0041rMW52UcUDL</x:v>
      </x:c>
      <x:c r="J9" t="str">
        <x:v>False</x:v>
      </x:c>
      <x:c r="K9" t="n">
        <x:v>10</x:v>
      </x:c>
      <x:c r="L9" t="n">
        <x:v>4</x:v>
      </x:c>
      <x:c r="M9" t="n">
        <x:v>1</x:v>
      </x:c>
      <x:c r="N9" t="n">
        <x:v>96.19317</x:v>
      </x:c>
      <x:c r="O9" t="n">
        <x:v>75.1</x:v>
      </x:c>
      <x:c r="P9" t="n">
        <x:v>0</x:v>
      </x:c>
      <x:c r="Q9" t="n">
        <x:v>0</x:v>
      </x:c>
      <x:c r="R9" t="n">
        <x:v>50.62</x:v>
      </x:c>
      <x:c r="S9" t="n">
        <x:v>85.24</x:v>
      </x:c>
      <x:c r="T9" t="str">
        <x:v>https://y.qq.com/music/photo_new/T062R500x500M000002Z67Ce1Dtijs.jpg</x:v>
      </x:c>
      <x:c r="U9" s="24" t="str">
        <x:f>IFERROR(VLOOKUP(I9,'07_字典与参数'!$G$5:$J$9,2,FALSE),"未入选")</x:f>
        <x:v>未入选</x:v>
      </x:c>
      <x:c r="V9" s="24" t="str">
        <x:f>IFERROR(VLOOKUP(I9,'07_字典与参数'!$G$5:$J$9,3,FALSE),"—")</x:f>
        <x:v>—</x:v>
      </x:c>
      <x:c r="W9" s="24" t="str">
        <x:f>IF(U9="未入选","否","是")</x:f>
        <x:v>否</x:v>
      </x:c>
    </x:row>
    <x:row r="10">
      <x:c r="A10" t="n">
        <x:v>202628</x:v>
      </x:c>
      <x:c r="B10" t="str">
        <x:v>第28期（07.13-07.19）</x:v>
      </x:c>
      <x:c r="C10" t="str">
        <x:v>2026-07-13</x:v>
      </x:c>
      <x:c r="D10" t="str">
        <x:v>2026-07-19</x:v>
      </x:c>
      <x:c r="E10" t="n">
        <x:v>6</x:v>
      </x:c>
      <x:c r="F10" t="n">
        <x:v>532831826</x:v>
      </x:c>
      <x:c r="G10" t="str">
        <x:v>ZESTY</x:v>
      </x:c>
      <x:c r="H10" t="str">
        <x:v>袁一琦</x:v>
      </x:c>
      <x:c r="I10" t="str">
        <x:v>004Ymb8G1GWzPk</x:v>
      </x:c>
      <x:c r="J10" t="str">
        <x:v>True</x:v>
      </x:c>
      <x:c r="K10" t="n">
        <x:v>0</x:v>
      </x:c>
      <x:c r="L10" t="n">
        <x:v>1</x:v>
      </x:c>
      <x:c r="M10" t="n">
        <x:v>6</x:v>
      </x:c>
      <x:c r="N10" t="n">
        <x:v>96.06111</x:v>
      </x:c>
      <x:c r="O10" t="n">
        <x:v>71.34</x:v>
      </x:c>
      <x:c r="P10" t="n">
        <x:v>0</x:v>
      </x:c>
      <x:c r="Q10" t="n">
        <x:v>0</x:v>
      </x:c>
      <x:c r="R10" t="n">
        <x:v>79.01</x:v>
      </x:c>
      <x:c r="S10" t="n">
        <x:v>79.29</x:v>
      </x:c>
      <x:c r="T10" t="str">
        <x:v>https://y.gtimg.cn/music/photo_new/T002R500x500M000003qltM2469LMm_2.jpg</x:v>
      </x:c>
      <x:c r="U10" s="24" t="str">
        <x:f>IFERROR(VLOOKUP(I10,'07_字典与参数'!$G$5:$J$9,2,FALSE),"未入选")</x:f>
        <x:v>未入选</x:v>
      </x:c>
      <x:c r="V10" s="24" t="str">
        <x:f>IFERROR(VLOOKUP(I10,'07_字典与参数'!$G$5:$J$9,3,FALSE),"—")</x:f>
        <x:v>—</x:v>
      </x:c>
      <x:c r="W10" s="24" t="str">
        <x:f>IF(U10="未入选","否","是")</x:f>
        <x:v>否</x:v>
      </x:c>
    </x:row>
    <x:row r="11">
      <x:c r="A11" t="n">
        <x:v>202628</x:v>
      </x:c>
      <x:c r="B11" t="str">
        <x:v>第28期（07.13-07.19）</x:v>
      </x:c>
      <x:c r="C11" t="str">
        <x:v>2026-07-13</x:v>
      </x:c>
      <x:c r="D11" t="str">
        <x:v>2026-07-19</x:v>
      </x:c>
      <x:c r="E11" t="n">
        <x:v>7</x:v>
      </x:c>
      <x:c r="F11" t="n">
        <x:v>452195789</x:v>
      </x:c>
      <x:c r="G11" t="str">
        <x:v>不渝</x:v>
      </x:c>
      <x:c r="H11" t="str">
        <x:v>梓渝</x:v>
      </x:c>
      <x:c r="I11" t="str">
        <x:v>000TyQAA0jYDlU</x:v>
      </x:c>
      <x:c r="J11" t="str">
        <x:v>False</x:v>
      </x:c>
      <x:c r="K11" t="n">
        <x:v>8</x:v>
      </x:c>
      <x:c r="L11" t="n">
        <x:v>31</x:v>
      </x:c>
      <x:c r="M11" t="n">
        <x:v>1</x:v>
      </x:c>
      <x:c r="N11" t="n">
        <x:v>95.97662</x:v>
      </x:c>
      <x:c r="O11" t="n">
        <x:v>61.94</x:v>
      </x:c>
      <x:c r="P11" t="n">
        <x:v>0</x:v>
      </x:c>
      <x:c r="Q11" t="n">
        <x:v>0</x:v>
      </x:c>
      <x:c r="R11" t="n">
        <x:v>43.37</x:v>
      </x:c>
      <x:c r="S11" t="n">
        <x:v>83.28</x:v>
      </x:c>
      <x:c r="T11" t="str">
        <x:v>https://y.gtimg.cn/music/photo_new/T002R500x500M000001bXK7t4Q576w_1.jpg</x:v>
      </x:c>
      <x:c r="U11" s="24" t="str">
        <x:f>IFERROR(VLOOKUP(I11,'07_字典与参数'!$G$5:$J$9,2,FALSE),"未入选")</x:f>
        <x:v>未入选</x:v>
      </x:c>
      <x:c r="V11" s="24" t="str">
        <x:f>IFERROR(VLOOKUP(I11,'07_字典与参数'!$G$5:$J$9,3,FALSE),"—")</x:f>
        <x:v>—</x:v>
      </x:c>
      <x:c r="W11" s="24" t="str">
        <x:f>IF(U11="未入选","否","是")</x:f>
        <x:v>否</x:v>
      </x:c>
    </x:row>
    <x:row r="12">
      <x:c r="A12" t="n">
        <x:v>202628</x:v>
      </x:c>
      <x:c r="B12" t="str">
        <x:v>第28期（07.13-07.19）</x:v>
      </x:c>
      <x:c r="C12" t="str">
        <x:v>2026-07-13</x:v>
      </x:c>
      <x:c r="D12" t="str">
        <x:v>2026-07-19</x:v>
      </x:c>
      <x:c r="E12" t="n">
        <x:v>8</x:v>
      </x:c>
      <x:c r="F12" t="n">
        <x:v>533095371</x:v>
      </x:c>
      <x:c r="G12" t="str">
        <x:v>媚人</x:v>
      </x:c>
      <x:c r="H12" t="str">
        <x:v>薛之谦</x:v>
      </x:c>
      <x:c r="I12" t="str">
        <x:v>001Fk1hB2OWZYH</x:v>
      </x:c>
      <x:c r="J12" t="str">
        <x:v>True</x:v>
      </x:c>
      <x:c r="K12" t="n">
        <x:v>0</x:v>
      </x:c>
      <x:c r="L12" t="n">
        <x:v>1</x:v>
      </x:c>
      <x:c r="M12" t="n">
        <x:v>8</x:v>
      </x:c>
      <x:c r="N12" t="n">
        <x:v>95.83907</x:v>
      </x:c>
      <x:c r="O12" t="n">
        <x:v>82.12</x:v>
      </x:c>
      <x:c r="P12" t="n">
        <x:v>0</x:v>
      </x:c>
      <x:c r="Q12" t="n">
        <x:v>0</x:v>
      </x:c>
      <x:c r="R12" t="n">
        <x:v>52</x:v>
      </x:c>
      <x:c r="S12" t="n">
        <x:v>81.05</x:v>
      </x:c>
      <x:c r="T12" t="str">
        <x:v>https://y.gtimg.cn/music/photo_new/T002R500x500M000002vfBmm41fIRe_1.jpg</x:v>
      </x:c>
      <x:c r="U12" s="24" t="str">
        <x:f>IFERROR(VLOOKUP(I12,'07_字典与参数'!$G$5:$J$9,2,FALSE),"未入选")</x:f>
        <x:v>未入选</x:v>
      </x:c>
      <x:c r="V12" s="24" t="str">
        <x:f>IFERROR(VLOOKUP(I12,'07_字典与参数'!$G$5:$J$9,3,FALSE),"—")</x:f>
        <x:v>—</x:v>
      </x:c>
      <x:c r="W12" s="24" t="str">
        <x:f>IF(U12="未入选","否","是")</x:f>
        <x:v>否</x:v>
      </x:c>
    </x:row>
    <x:row r="13">
      <x:c r="A13" t="n">
        <x:v>202628</x:v>
      </x:c>
      <x:c r="B13" t="str">
        <x:v>第28期（07.13-07.19）</x:v>
      </x:c>
      <x:c r="C13" t="str">
        <x:v>2026-07-13</x:v>
      </x:c>
      <x:c r="D13" t="str">
        <x:v>2026-07-19</x:v>
      </x:c>
      <x:c r="E13" t="n">
        <x:v>9</x:v>
      </x:c>
      <x:c r="F13" t="n">
        <x:v>522436401</x:v>
      </x:c>
      <x:c r="G13" t="str">
        <x:v>爱谁谁</x:v>
      </x:c>
      <x:c r="H13" t="str">
        <x:v>张艺兴</x:v>
      </x:c>
      <x:c r="I13" t="str">
        <x:v>0022DCpn01uwgJ</x:v>
      </x:c>
      <x:c r="J13" t="str">
        <x:v>False</x:v>
      </x:c>
      <x:c r="K13" t="n">
        <x:v>11</x:v>
      </x:c>
      <x:c r="L13" t="n">
        <x:v>3</x:v>
      </x:c>
      <x:c r="M13" t="n">
        <x:v>4</x:v>
      </x:c>
      <x:c r="N13" t="n">
        <x:v>95.73439</x:v>
      </x:c>
      <x:c r="O13" t="n">
        <x:v>61.55</x:v>
      </x:c>
      <x:c r="P13" t="n">
        <x:v>0</x:v>
      </x:c>
      <x:c r="Q13" t="n">
        <x:v>0</x:v>
      </x:c>
      <x:c r="R13" t="n">
        <x:v>80.92</x:v>
      </x:c>
      <x:c r="S13" t="n">
        <x:v>71.49</x:v>
      </x:c>
      <x:c r="T13" t="str">
        <x:v>https://y.gtimg.cn/music/photo_new/T002R500x500M000001w138z3PZEcz_1.jpg</x:v>
      </x:c>
      <x:c r="U13" s="24" t="str">
        <x:f>IFERROR(VLOOKUP(I13,'07_字典与参数'!$G$5:$J$9,2,FALSE),"未入选")</x:f>
        <x:v>未入选</x:v>
      </x:c>
      <x:c r="V13" s="24" t="str">
        <x:f>IFERROR(VLOOKUP(I13,'07_字典与参数'!$G$5:$J$9,3,FALSE),"—")</x:f>
        <x:v>—</x:v>
      </x:c>
      <x:c r="W13" s="24" t="str">
        <x:f>IF(U13="未入选","否","是")</x:f>
        <x:v>否</x:v>
      </x:c>
    </x:row>
    <x:row r="14">
      <x:c r="A14" t="n">
        <x:v>202628</x:v>
      </x:c>
      <x:c r="B14" t="str">
        <x:v>第28期（07.13-07.19）</x:v>
      </x:c>
      <x:c r="C14" t="str">
        <x:v>2026-07-13</x:v>
      </x:c>
      <x:c r="D14" t="str">
        <x:v>2026-07-19</x:v>
      </x:c>
      <x:c r="E14" t="n">
        <x:v>10</x:v>
      </x:c>
      <x:c r="F14" t="n">
        <x:v>477383450</x:v>
      </x:c>
      <x:c r="G14" t="str">
        <x:v>一千一万朵</x:v>
      </x:c>
      <x:c r="H14" t="str">
        <x:v>马嘉祺</x:v>
      </x:c>
      <x:c r="I14" t="str">
        <x:v>003TNscL2TONPZ</x:v>
      </x:c>
      <x:c r="J14" t="str">
        <x:v>False</x:v>
      </x:c>
      <x:c r="K14" t="n">
        <x:v>19</x:v>
      </x:c>
      <x:c r="L14" t="n">
        <x:v>15</x:v>
      </x:c>
      <x:c r="M14" t="n">
        <x:v>6</x:v>
      </x:c>
      <x:c r="N14" t="n">
        <x:v>95.31252</x:v>
      </x:c>
      <x:c r="O14" t="n">
        <x:v>65.62</x:v>
      </x:c>
      <x:c r="P14" t="n">
        <x:v>0</x:v>
      </x:c>
      <x:c r="Q14" t="n">
        <x:v>0</x:v>
      </x:c>
      <x:c r="R14" t="n">
        <x:v>29.45</x:v>
      </x:c>
      <x:c r="S14" t="n">
        <x:v>80.79</x:v>
      </x:c>
      <x:c r="T14" t="str">
        <x:v>https://y.qq.com/music/photo_new/T062R500x500M000003CK5IN3d5z55.jpg</x:v>
      </x:c>
      <x:c r="U14" s="24" t="str">
        <x:f>IFERROR(VLOOKUP(I14,'07_字典与参数'!$G$5:$J$9,2,FALSE),"未入选")</x:f>
        <x:v>未入选</x:v>
      </x:c>
      <x:c r="V14" s="24" t="str">
        <x:f>IFERROR(VLOOKUP(I14,'07_字典与参数'!$G$5:$J$9,3,FALSE),"—")</x:f>
        <x:v>—</x:v>
      </x:c>
      <x:c r="W14" s="24" t="str">
        <x:f>IF(U14="未入选","否","是")</x:f>
        <x:v>否</x:v>
      </x:c>
    </x:row>
    <x:row r="15">
      <x:c r="A15" t="n">
        <x:v>202628</x:v>
      </x:c>
      <x:c r="B15" t="str">
        <x:v>第28期（07.13-07.19）</x:v>
      </x:c>
      <x:c r="C15" t="str">
        <x:v>2026-07-13</x:v>
      </x:c>
      <x:c r="D15" t="str">
        <x:v>2026-07-19</x:v>
      </x:c>
      <x:c r="E15" t="n">
        <x:v>11</x:v>
      </x:c>
      <x:c r="F15" t="n">
        <x:v>522436402</x:v>
      </x:c>
      <x:c r="G15" t="str">
        <x:v>Again</x:v>
      </x:c>
      <x:c r="H15" t="str">
        <x:v>张艺兴</x:v>
      </x:c>
      <x:c r="I15" t="str">
        <x:v>001deuwV3jcVOr</x:v>
      </x:c>
      <x:c r="J15" t="str">
        <x:v>False</x:v>
      </x:c>
      <x:c r="K15" t="n">
        <x:v>21</x:v>
      </x:c>
      <x:c r="L15" t="n">
        <x:v>3</x:v>
      </x:c>
      <x:c r="M15" t="n">
        <x:v>6</x:v>
      </x:c>
      <x:c r="N15" t="n">
        <x:v>95.13264</x:v>
      </x:c>
      <x:c r="O15" t="n">
        <x:v>60.48</x:v>
      </x:c>
      <x:c r="P15" t="n">
        <x:v>0</x:v>
      </x:c>
      <x:c r="Q15" t="n">
        <x:v>0</x:v>
      </x:c>
      <x:c r="R15" t="n">
        <x:v>80.17</x:v>
      </x:c>
      <x:c r="S15" t="n">
        <x:v>43.27</x:v>
      </x:c>
      <x:c r="T15" t="str">
        <x:v>https://y.gtimg.cn/music/photo_new/T002R500x500M000001w138z3PZEcz_1.jpg</x:v>
      </x:c>
      <x:c r="U15" s="24" t="str">
        <x:f>IFERROR(VLOOKUP(I15,'07_字典与参数'!$G$5:$J$9,2,FALSE),"未入选")</x:f>
        <x:v>未入选</x:v>
      </x:c>
      <x:c r="V15" s="24" t="str">
        <x:f>IFERROR(VLOOKUP(I15,'07_字典与参数'!$G$5:$J$9,3,FALSE),"—")</x:f>
        <x:v>—</x:v>
      </x:c>
      <x:c r="W15" s="24" t="str">
        <x:f>IF(U15="未入选","否","是")</x:f>
        <x:v>否</x:v>
      </x:c>
    </x:row>
    <x:row r="16">
      <x:c r="A16" t="n">
        <x:v>202628</x:v>
      </x:c>
      <x:c r="B16" t="str">
        <x:v>第28期（07.13-07.19）</x:v>
      </x:c>
      <x:c r="C16" t="str">
        <x:v>2026-07-13</x:v>
      </x:c>
      <x:c r="D16" t="str">
        <x:v>2026-07-19</x:v>
      </x:c>
      <x:c r="E16" t="n">
        <x:v>12</x:v>
      </x:c>
      <x:c r="F16" t="n">
        <x:v>522436396</x:v>
      </x:c>
      <x:c r="G16" t="str">
        <x:v>Higher</x:v>
      </x:c>
      <x:c r="H16" t="str">
        <x:v>张艺兴</x:v>
      </x:c>
      <x:c r="I16" t="str">
        <x:v>00283SX10LVsSP</x:v>
      </x:c>
      <x:c r="J16" t="str">
        <x:v>False</x:v>
      </x:c>
      <x:c r="K16" t="n">
        <x:v>20</x:v>
      </x:c>
      <x:c r="L16" t="n">
        <x:v>3</x:v>
      </x:c>
      <x:c r="M16" t="n">
        <x:v>5</x:v>
      </x:c>
      <x:c r="N16" t="n">
        <x:v>95.1079</x:v>
      </x:c>
      <x:c r="O16" t="n">
        <x:v>60.63</x:v>
      </x:c>
      <x:c r="P16" t="n">
        <x:v>0</x:v>
      </x:c>
      <x:c r="Q16" t="n">
        <x:v>0</x:v>
      </x:c>
      <x:c r="R16" t="n">
        <x:v>80.1</x:v>
      </x:c>
      <x:c r="S16" t="n">
        <x:v>41.6</x:v>
      </x:c>
      <x:c r="T16" t="str">
        <x:v>https://y.gtimg.cn/music/photo_new/T002R500x500M000001w138z3PZEcz_1.jpg</x:v>
      </x:c>
      <x:c r="U16" s="24" t="str">
        <x:f>IFERROR(VLOOKUP(I16,'07_字典与参数'!$G$5:$J$9,2,FALSE),"未入选")</x:f>
        <x:v>未入选</x:v>
      </x:c>
      <x:c r="V16" s="24" t="str">
        <x:f>IFERROR(VLOOKUP(I16,'07_字典与参数'!$G$5:$J$9,3,FALSE),"—")</x:f>
        <x:v>—</x:v>
      </x:c>
      <x:c r="W16" s="24" t="str">
        <x:f>IF(U16="未入选","否","是")</x:f>
        <x:v>否</x:v>
      </x:c>
    </x:row>
    <x:row r="17">
      <x:c r="A17" t="n">
        <x:v>202628</x:v>
      </x:c>
      <x:c r="B17" t="str">
        <x:v>第28期（07.13-07.19）</x:v>
      </x:c>
      <x:c r="C17" t="str">
        <x:v>2026-07-13</x:v>
      </x:c>
      <x:c r="D17" t="str">
        <x:v>2026-07-19</x:v>
      </x:c>
      <x:c r="E17" t="n">
        <x:v>13</x:v>
      </x:c>
      <x:c r="F17" t="n">
        <x:v>522436410</x:v>
      </x:c>
      <x:c r="G17" t="str">
        <x:v>Living</x:v>
      </x:c>
      <x:c r="H17" t="str">
        <x:v>张艺兴</x:v>
      </x:c>
      <x:c r="I17" t="str">
        <x:v>003hfE050iuS2B</x:v>
      </x:c>
      <x:c r="J17" t="str">
        <x:v>False</x:v>
      </x:c>
      <x:c r="K17" t="n">
        <x:v>23</x:v>
      </x:c>
      <x:c r="L17" t="n">
        <x:v>3</x:v>
      </x:c>
      <x:c r="M17" t="n">
        <x:v>7</x:v>
      </x:c>
      <x:c r="N17" t="n">
        <x:v>95.10458</x:v>
      </x:c>
      <x:c r="O17" t="n">
        <x:v>60.38</x:v>
      </x:c>
      <x:c r="P17" t="n">
        <x:v>0</x:v>
      </x:c>
      <x:c r="Q17" t="n">
        <x:v>0</x:v>
      </x:c>
      <x:c r="R17" t="n">
        <x:v>80.09</x:v>
      </x:c>
      <x:c r="S17" t="n">
        <x:v>41.77</x:v>
      </x:c>
      <x:c r="T17" t="str">
        <x:v>https://y.gtimg.cn/music/photo_new/T002R500x500M000001w138z3PZEcz_1.jpg</x:v>
      </x:c>
      <x:c r="U17" s="24" t="str">
        <x:f>IFERROR(VLOOKUP(I17,'07_字典与参数'!$G$5:$J$9,2,FALSE),"未入选")</x:f>
        <x:v>未入选</x:v>
      </x:c>
      <x:c r="V17" s="24" t="str">
        <x:f>IFERROR(VLOOKUP(I17,'07_字典与参数'!$G$5:$J$9,3,FALSE),"—")</x:f>
        <x:v>—</x:v>
      </x:c>
      <x:c r="W17" s="24" t="str">
        <x:f>IF(U17="未入选","否","是")</x:f>
        <x:v>否</x:v>
      </x:c>
    </x:row>
    <x:row r="18">
      <x:c r="A18" t="n">
        <x:v>202628</x:v>
      </x:c>
      <x:c r="B18" t="str">
        <x:v>第28期（07.13-07.19）</x:v>
      </x:c>
      <x:c r="C18" t="str">
        <x:v>2026-07-13</x:v>
      </x:c>
      <x:c r="D18" t="str">
        <x:v>2026-07-19</x:v>
      </x:c>
      <x:c r="E18" t="n">
        <x:v>14</x:v>
      </x:c>
      <x:c r="F18" t="n">
        <x:v>522436400</x:v>
      </x:c>
      <x:c r="G18" t="str">
        <x:v>Smoke &amp; Mirrors</x:v>
      </x:c>
      <x:c r="H18" t="str">
        <x:v>张艺兴</x:v>
      </x:c>
      <x:c r="I18" t="str">
        <x:v>000SGh5g1MgDzo</x:v>
      </x:c>
      <x:c r="J18" t="str">
        <x:v>False</x:v>
      </x:c>
      <x:c r="K18" t="n">
        <x:v>24</x:v>
      </x:c>
      <x:c r="L18" t="n">
        <x:v>3</x:v>
      </x:c>
      <x:c r="M18" t="n">
        <x:v>9</x:v>
      </x:c>
      <x:c r="N18" t="n">
        <x:v>95.02542</x:v>
      </x:c>
      <x:c r="O18" t="n">
        <x:v>60.46</x:v>
      </x:c>
      <x:c r="P18" t="n">
        <x:v>0</x:v>
      </x:c>
      <x:c r="Q18" t="n">
        <x:v>0</x:v>
      </x:c>
      <x:c r="R18" t="n">
        <x:v>79.59</x:v>
      </x:c>
      <x:c r="S18" t="n">
        <x:v>41.37</x:v>
      </x:c>
      <x:c r="T18" t="str">
        <x:v>https://y.gtimg.cn/music/photo_new/T002R500x500M000001w138z3PZEcz_1.jpg</x:v>
      </x:c>
      <x:c r="U18" s="24" t="str">
        <x:f>IFERROR(VLOOKUP(I18,'07_字典与参数'!$G$5:$J$9,2,FALSE),"未入选")</x:f>
        <x:v>未入选</x:v>
      </x:c>
      <x:c r="V18" s="24" t="str">
        <x:f>IFERROR(VLOOKUP(I18,'07_字典与参数'!$G$5:$J$9,3,FALSE),"—")</x:f>
        <x:v>—</x:v>
      </x:c>
      <x:c r="W18" s="24" t="str">
        <x:f>IF(U18="未入选","否","是")</x:f>
        <x:v>否</x:v>
      </x:c>
    </x:row>
    <x:row r="19">
      <x:c r="A19" t="n">
        <x:v>202628</x:v>
      </x:c>
      <x:c r="B19" t="str">
        <x:v>第28期（07.13-07.19）</x:v>
      </x:c>
      <x:c r="C19" t="str">
        <x:v>2026-07-13</x:v>
      </x:c>
      <x:c r="D19" t="str">
        <x:v>2026-07-19</x:v>
      </x:c>
      <x:c r="E19" t="n">
        <x:v>15</x:v>
      </x:c>
      <x:c r="F19" t="n">
        <x:v>522436428</x:v>
      </x:c>
      <x:c r="G19" t="str">
        <x:v>文艺工作者</x:v>
      </x:c>
      <x:c r="H19" t="str">
        <x:v>张艺兴</x:v>
      </x:c>
      <x:c r="I19" t="str">
        <x:v>001tQZO33ntbnd</x:v>
      </x:c>
      <x:c r="J19" t="str">
        <x:v>False</x:v>
      </x:c>
      <x:c r="K19" t="n">
        <x:v>27</x:v>
      </x:c>
      <x:c r="L19" t="n">
        <x:v>3</x:v>
      </x:c>
      <x:c r="M19" t="n">
        <x:v>12</x:v>
      </x:c>
      <x:c r="N19" t="n">
        <x:v>95.00091</x:v>
      </x:c>
      <x:c r="O19" t="n">
        <x:v>60.07</x:v>
      </x:c>
      <x:c r="P19" t="n">
        <x:v>0</x:v>
      </x:c>
      <x:c r="Q19" t="n">
        <x:v>0</x:v>
      </x:c>
      <x:c r="R19" t="n">
        <x:v>79.43</x:v>
      </x:c>
      <x:c r="S19" t="n">
        <x:v>41.28</x:v>
      </x:c>
      <x:c r="T19" t="str">
        <x:v>https://y.gtimg.cn/music/photo_new/T002R500x500M000001w138z3PZEcz_1.jpg</x:v>
      </x:c>
      <x:c r="U19" s="24" t="str">
        <x:f>IFERROR(VLOOKUP(I19,'07_字典与参数'!$G$5:$J$9,2,FALSE),"未入选")</x:f>
        <x:v>未入选</x:v>
      </x:c>
      <x:c r="V19" s="24" t="str">
        <x:f>IFERROR(VLOOKUP(I19,'07_字典与参数'!$G$5:$J$9,3,FALSE),"—")</x:f>
        <x:v>—</x:v>
      </x:c>
      <x:c r="W19" s="24" t="str">
        <x:f>IF(U19="未入选","否","是")</x:f>
        <x:v>否</x:v>
      </x:c>
    </x:row>
    <x:row r="20">
      <x:c r="A20" t="n">
        <x:v>202628</x:v>
      </x:c>
      <x:c r="B20" t="str">
        <x:v>第28期（07.13-07.19）</x:v>
      </x:c>
      <x:c r="C20" t="str">
        <x:v>2026-07-13</x:v>
      </x:c>
      <x:c r="D20" t="str">
        <x:v>2026-07-19</x:v>
      </x:c>
      <x:c r="E20" t="n">
        <x:v>16</x:v>
      </x:c>
      <x:c r="F20" t="n">
        <x:v>522436418</x:v>
      </x:c>
      <x:c r="G20" t="str">
        <x:v>错错错</x:v>
      </x:c>
      <x:c r="H20" t="str">
        <x:v>张艺兴</x:v>
      </x:c>
      <x:c r="I20" t="str">
        <x:v>004V2b6s39ainE</x:v>
      </x:c>
      <x:c r="J20" t="str">
        <x:v>False</x:v>
      </x:c>
      <x:c r="K20" t="n">
        <x:v>26</x:v>
      </x:c>
      <x:c r="L20" t="n">
        <x:v>3</x:v>
      </x:c>
      <x:c r="M20" t="n">
        <x:v>11</x:v>
      </x:c>
      <x:c r="N20" t="n">
        <x:v>94.95291</x:v>
      </x:c>
      <x:c r="O20" t="n">
        <x:v>60.3</x:v>
      </x:c>
      <x:c r="P20" t="n">
        <x:v>0</x:v>
      </x:c>
      <x:c r="Q20" t="n">
        <x:v>0</x:v>
      </x:c>
      <x:c r="R20" t="n">
        <x:v>79.33</x:v>
      </x:c>
      <x:c r="S20" t="n">
        <x:v>41.58</x:v>
      </x:c>
      <x:c r="T20" t="str">
        <x:v>https://y.gtimg.cn/music/photo_new/T002R500x500M000001w138z3PZEcz_1.jpg</x:v>
      </x:c>
      <x:c r="U20" s="24" t="str">
        <x:f>IFERROR(VLOOKUP(I20,'07_字典与参数'!$G$5:$J$9,2,FALSE),"未入选")</x:f>
        <x:v>未入选</x:v>
      </x:c>
      <x:c r="V20" s="24" t="str">
        <x:f>IFERROR(VLOOKUP(I20,'07_字典与参数'!$G$5:$J$9,3,FALSE),"—")</x:f>
        <x:v>—</x:v>
      </x:c>
      <x:c r="W20" s="24" t="str">
        <x:f>IF(U20="未入选","否","是")</x:f>
        <x:v>否</x:v>
      </x:c>
    </x:row>
    <x:row r="21">
      <x:c r="A21" t="n">
        <x:v>202628</x:v>
      </x:c>
      <x:c r="B21" t="str">
        <x:v>第28期（07.13-07.19）</x:v>
      </x:c>
      <x:c r="C21" t="str">
        <x:v>2026-07-13</x:v>
      </x:c>
      <x:c r="D21" t="str">
        <x:v>2026-07-19</x:v>
      </x:c>
      <x:c r="E21" t="n">
        <x:v>17</x:v>
      </x:c>
      <x:c r="F21" t="n">
        <x:v>522436399</x:v>
      </x:c>
      <x:c r="G21" t="str">
        <x:v>意中人</x:v>
      </x:c>
      <x:c r="H21" t="str">
        <x:v>张艺兴</x:v>
      </x:c>
      <x:c r="I21" t="str">
        <x:v>0032Yh0918cF8c</x:v>
      </x:c>
      <x:c r="J21" t="str">
        <x:v>False</x:v>
      </x:c>
      <x:c r="K21" t="n">
        <x:v>28</x:v>
      </x:c>
      <x:c r="L21" t="n">
        <x:v>3</x:v>
      </x:c>
      <x:c r="M21" t="n">
        <x:v>10</x:v>
      </x:c>
      <x:c r="N21" t="n">
        <x:v>94.75221</x:v>
      </x:c>
      <x:c r="O21" t="n">
        <x:v>60.19</x:v>
      </x:c>
      <x:c r="P21" t="n">
        <x:v>0</x:v>
      </x:c>
      <x:c r="Q21" t="n">
        <x:v>0</x:v>
      </x:c>
      <x:c r="R21" t="n">
        <x:v>79.04</x:v>
      </x:c>
      <x:c r="S21" t="n">
        <x:v>41.37</x:v>
      </x:c>
      <x:c r="T21" t="str">
        <x:v>https://y.gtimg.cn/music/photo_new/T002R500x500M000001w138z3PZEcz_1.jpg</x:v>
      </x:c>
      <x:c r="U21" s="24" t="str">
        <x:f>IFERROR(VLOOKUP(I21,'07_字典与参数'!$G$5:$J$9,2,FALSE),"未入选")</x:f>
        <x:v>未入选</x:v>
      </x:c>
      <x:c r="V21" s="24" t="str">
        <x:f>IFERROR(VLOOKUP(I21,'07_字典与参数'!$G$5:$J$9,3,FALSE),"—")</x:f>
        <x:v>—</x:v>
      </x:c>
      <x:c r="W21" s="24" t="str">
        <x:f>IF(U21="未入选","否","是")</x:f>
        <x:v>否</x:v>
      </x:c>
    </x:row>
    <x:row r="22">
      <x:c r="A22" t="n">
        <x:v>202628</x:v>
      </x:c>
      <x:c r="B22" t="str">
        <x:v>第28期（07.13-07.19）</x:v>
      </x:c>
      <x:c r="C22" t="str">
        <x:v>2026-07-13</x:v>
      </x:c>
      <x:c r="D22" t="str">
        <x:v>2026-07-19</x:v>
      </x:c>
      <x:c r="E22" t="n">
        <x:v>18</x:v>
      </x:c>
      <x:c r="F22" t="n">
        <x:v>521117665</x:v>
      </x:c>
      <x:c r="G22" t="str">
        <x:v>甲乙丙丁 (你我怎么两清)</x:v>
      </x:c>
      <x:c r="H22" t="str">
        <x:v>李佳薇</x:v>
      </x:c>
      <x:c r="I22" t="str">
        <x:v>002AZauQ1UKQxe</x:v>
      </x:c>
      <x:c r="J22" t="str">
        <x:v>False</x:v>
      </x:c>
      <x:c r="K22" t="n">
        <x:v>37</x:v>
      </x:c>
      <x:c r="L22" t="n">
        <x:v>3</x:v>
      </x:c>
      <x:c r="M22" t="n">
        <x:v>18</x:v>
      </x:c>
      <x:c r="N22" t="n">
        <x:v>94.30231</x:v>
      </x:c>
      <x:c r="O22" t="n">
        <x:v>87.52</x:v>
      </x:c>
      <x:c r="P22" t="n">
        <x:v>0</x:v>
      </x:c>
      <x:c r="Q22" t="n">
        <x:v>0</x:v>
      </x:c>
      <x:c r="R22" t="n">
        <x:v>39.24</x:v>
      </x:c>
      <x:c r="S22" t="n">
        <x:v>61.52</x:v>
      </x:c>
      <x:c r="T22" t="str">
        <x:v>https://y.gtimg.cn/music/photo_new/T002R500x500M00000446QRA1fTdqA_2.jpg</x:v>
      </x:c>
      <x:c r="U22" s="24" t="str">
        <x:f>IFERROR(VLOOKUP(I22,'07_字典与参数'!$G$5:$J$9,2,FALSE),"未入选")</x:f>
        <x:v>未入选</x:v>
      </x:c>
      <x:c r="V22" s="24" t="str">
        <x:f>IFERROR(VLOOKUP(I22,'07_字典与参数'!$G$5:$J$9,3,FALSE),"—")</x:f>
        <x:v>—</x:v>
      </x:c>
      <x:c r="W22" s="24" t="str">
        <x:f>IF(U22="未入选","否","是")</x:f>
        <x:v>否</x:v>
      </x:c>
    </x:row>
    <x:row r="23">
      <x:c r="A23" t="n">
        <x:v>202628</x:v>
      </x:c>
      <x:c r="B23" t="str">
        <x:v>第28期（07.13-07.19）</x:v>
      </x:c>
      <x:c r="C23" t="str">
        <x:v>2026-07-13</x:v>
      </x:c>
      <x:c r="D23" t="str">
        <x:v>2026-07-19</x:v>
      </x:c>
      <x:c r="E23" t="n">
        <x:v>19</x:v>
      </x:c>
      <x:c r="F23" t="n">
        <x:v>199985272</x:v>
      </x:c>
      <x:c r="G23" t="str">
        <x:v>花开忘忧</x:v>
      </x:c>
      <x:c r="H23" t="str">
        <x:v>周深</x:v>
      </x:c>
      <x:c r="I23" t="str">
        <x:v>004czGF42WSgko</x:v>
      </x:c>
      <x:c r="J23" t="str">
        <x:v>False</x:v>
      </x:c>
      <x:c r="K23" t="n">
        <x:v>15</x:v>
      </x:c>
      <x:c r="L23" t="n">
        <x:v>202</x:v>
      </x:c>
      <x:c r="M23" t="n">
        <x:v>1</x:v>
      </x:c>
      <x:c r="N23" t="n">
        <x:v>93.88619</x:v>
      </x:c>
      <x:c r="O23" t="n">
        <x:v>71.45</x:v>
      </x:c>
      <x:c r="P23" t="n">
        <x:v>0</x:v>
      </x:c>
      <x:c r="Q23" t="n">
        <x:v>0</x:v>
      </x:c>
      <x:c r="R23" t="n">
        <x:v>52.59</x:v>
      </x:c>
      <x:c r="S23" t="n">
        <x:v>76.68</x:v>
      </x:c>
      <x:c r="T23" t="str">
        <x:v>https://y.gtimg.cn/music/photo_new/T002R500x500M000001rb1ah0bFKMo_1.jpg</x:v>
      </x:c>
      <x:c r="U23" s="24" t="str">
        <x:f>IFERROR(VLOOKUP(I23,'07_字典与参数'!$G$5:$J$9,2,FALSE),"未入选")</x:f>
        <x:v>未入选</x:v>
      </x:c>
      <x:c r="V23" s="24" t="str">
        <x:f>IFERROR(VLOOKUP(I23,'07_字典与参数'!$G$5:$J$9,3,FALSE),"—")</x:f>
        <x:v>—</x:v>
      </x:c>
      <x:c r="W23" s="24" t="str">
        <x:f>IF(U23="未入选","否","是")</x:f>
        <x:v>否</x:v>
      </x:c>
    </x:row>
    <x:row r="24">
      <x:c r="A24" t="n">
        <x:v>202628</x:v>
      </x:c>
      <x:c r="B24" t="str">
        <x:v>第28期（07.13-07.19）</x:v>
      </x:c>
      <x:c r="C24" t="str">
        <x:v>2026-07-13</x:v>
      </x:c>
      <x:c r="D24" t="str">
        <x:v>2026-07-19</x:v>
      </x:c>
      <x:c r="E24" t="n">
        <x:v>20</x:v>
      </x:c>
      <x:c r="F24" t="n">
        <x:v>463774753</x:v>
      </x:c>
      <x:c r="G24" t="str">
        <x:v>Colder</x:v>
      </x:c>
      <x:c r="H24" t="str">
        <x:v>蔡徐坤</x:v>
      </x:c>
      <x:c r="I24" t="str">
        <x:v>00400RDv0ozgWg</x:v>
      </x:c>
      <x:c r="J24" t="str">
        <x:v>False</x:v>
      </x:c>
      <x:c r="K24" t="n">
        <x:v>74</x:v>
      </x:c>
      <x:c r="L24" t="n">
        <x:v>24</x:v>
      </x:c>
      <x:c r="M24" t="n">
        <x:v>2</x:v>
      </x:c>
      <x:c r="N24" t="n">
        <x:v>93.68339</x:v>
      </x:c>
      <x:c r="O24" t="n">
        <x:v>55.28</x:v>
      </x:c>
      <x:c r="P24" t="n">
        <x:v>0</x:v>
      </x:c>
      <x:c r="Q24" t="n">
        <x:v>0</x:v>
      </x:c>
      <x:c r="R24" t="n">
        <x:v>76.77</x:v>
      </x:c>
      <x:c r="S24" t="n">
        <x:v>57.97</x:v>
      </x:c>
      <x:c r="T24" t="str">
        <x:v>https://y.gtimg.cn/music/photo_new/T002R500x500M000003Q9it10RWLId_2.jpg</x:v>
      </x:c>
      <x:c r="U24" s="24" t="str">
        <x:f>IFERROR(VLOOKUP(I24,'07_字典与参数'!$G$5:$J$9,2,FALSE),"未入选")</x:f>
        <x:v>未入选</x:v>
      </x:c>
      <x:c r="V24" s="24" t="str">
        <x:f>IFERROR(VLOOKUP(I24,'07_字典与参数'!$G$5:$J$9,3,FALSE),"—")</x:f>
        <x:v>—</x:v>
      </x:c>
      <x:c r="W24" s="24" t="str">
        <x:f>IF(U24="未入选","否","是")</x:f>
        <x:v>否</x:v>
      </x:c>
    </x:row>
    <x:row r="25">
      <x:c r="A25" t="n">
        <x:v>202628</x:v>
      </x:c>
      <x:c r="B25" t="str">
        <x:v>第28期（07.13-07.19）</x:v>
      </x:c>
      <x:c r="C25" t="str">
        <x:v>2026-07-13</x:v>
      </x:c>
      <x:c r="D25" t="str">
        <x:v>2026-07-19</x:v>
      </x:c>
      <x:c r="E25" t="n">
        <x:v>21</x:v>
      </x:c>
      <x:c r="F25" t="n">
        <x:v>293603181</x:v>
      </x:c>
      <x:c r="G25" t="str">
        <x:v>小美满</x:v>
      </x:c>
      <x:c r="H25" t="str">
        <x:v>周深</x:v>
      </x:c>
      <x:c r="I25" t="str">
        <x:v>002QvWwX1BG9mr</x:v>
      </x:c>
      <x:c r="J25" t="str">
        <x:v>False</x:v>
      </x:c>
      <x:c r="K25" t="n">
        <x:v>16</x:v>
      </x:c>
      <x:c r="L25" t="n">
        <x:v>128</x:v>
      </x:c>
      <x:c r="M25" t="n">
        <x:v>1</x:v>
      </x:c>
      <x:c r="N25" t="n">
        <x:v>93.58025</x:v>
      </x:c>
      <x:c r="O25" t="n">
        <x:v>79.59</x:v>
      </x:c>
      <x:c r="P25" t="n">
        <x:v>0</x:v>
      </x:c>
      <x:c r="Q25" t="n">
        <x:v>0</x:v>
      </x:c>
      <x:c r="R25" t="n">
        <x:v>44.79</x:v>
      </x:c>
      <x:c r="S25" t="n">
        <x:v>74.94</x:v>
      </x:c>
      <x:c r="T25" t="str">
        <x:v>https://y.gtimg.cn/music/photo_new/T002R500x500M0000002ATV00WcBgd_2.jpg</x:v>
      </x:c>
      <x:c r="U25" s="24" t="str">
        <x:f>IFERROR(VLOOKUP(I25,'07_字典与参数'!$G$5:$J$9,2,FALSE),"未入选")</x:f>
        <x:v>未入选</x:v>
      </x:c>
      <x:c r="V25" s="24" t="str">
        <x:f>IFERROR(VLOOKUP(I25,'07_字典与参数'!$G$5:$J$9,3,FALSE),"—")</x:f>
        <x:v>—</x:v>
      </x:c>
      <x:c r="W25" s="24" t="str">
        <x:f>IF(U25="未入选","否","是")</x:f>
        <x:v>否</x:v>
      </x:c>
    </x:row>
    <x:row r="26">
      <x:c r="A26" t="n">
        <x:v>202628</x:v>
      </x:c>
      <x:c r="B26" t="str">
        <x:v>第28期（07.13-07.19）</x:v>
      </x:c>
      <x:c r="C26" t="str">
        <x:v>2026-07-13</x:v>
      </x:c>
      <x:c r="D26" t="str">
        <x:v>2026-07-19</x:v>
      </x:c>
      <x:c r="E26" t="n">
        <x:v>22</x:v>
      </x:c>
      <x:c r="F26" t="n">
        <x:v>385505856</x:v>
      </x:c>
      <x:c r="G26" t="str">
        <x:v>像晴天像雨天</x:v>
      </x:c>
      <x:c r="H26" t="str">
        <x:v>汪苏泷</x:v>
      </x:c>
      <x:c r="I26" t="str">
        <x:v>003sZs4P2hFUVQ</x:v>
      </x:c>
      <x:c r="J26" t="str">
        <x:v>False</x:v>
      </x:c>
      <x:c r="K26" t="n">
        <x:v>14</x:v>
      </x:c>
      <x:c r="L26" t="n">
        <x:v>75</x:v>
      </x:c>
      <x:c r="M26" t="n">
        <x:v>6</x:v>
      </x:c>
      <x:c r="N26" t="n">
        <x:v>93.49317</x:v>
      </x:c>
      <x:c r="O26" t="n">
        <x:v>78.07</x:v>
      </x:c>
      <x:c r="P26" t="n">
        <x:v>0</x:v>
      </x:c>
      <x:c r="Q26" t="n">
        <x:v>0</x:v>
      </x:c>
      <x:c r="R26" t="n">
        <x:v>56.21</x:v>
      </x:c>
      <x:c r="S26" t="n">
        <x:v>74.49</x:v>
      </x:c>
      <x:c r="T26" t="str">
        <x:v>https://y.gtimg.cn/music/photo_new/T002R500x500M000001V8PDy1om05K_1.jpg</x:v>
      </x:c>
      <x:c r="U26" s="24" t="str">
        <x:f>IFERROR(VLOOKUP(I26,'07_字典与参数'!$G$5:$J$9,2,FALSE),"未入选")</x:f>
        <x:v>未入选</x:v>
      </x:c>
      <x:c r="V26" s="24" t="str">
        <x:f>IFERROR(VLOOKUP(I26,'07_字典与参数'!$G$5:$J$9,3,FALSE),"—")</x:f>
        <x:v>—</x:v>
      </x:c>
      <x:c r="W26" s="24" t="str">
        <x:f>IF(U26="未入选","否","是")</x:f>
        <x:v>否</x:v>
      </x:c>
    </x:row>
    <x:row r="27">
      <x:c r="A27" t="n">
        <x:v>202628</x:v>
      </x:c>
      <x:c r="B27" t="str">
        <x:v>第28期（07.13-07.19）</x:v>
      </x:c>
      <x:c r="C27" t="str">
        <x:v>2026-07-13</x:v>
      </x:c>
      <x:c r="D27" t="str">
        <x:v>2026-07-19</x:v>
      </x:c>
      <x:c r="E27" t="n">
        <x:v>23</x:v>
      </x:c>
      <x:c r="F27" t="n">
        <x:v>463774751</x:v>
      </x:c>
      <x:c r="G27" t="str">
        <x:v>Don't Call (feat. Free Nationals)</x:v>
      </x:c>
      <x:c r="H27" t="str">
        <x:v>蔡徐坤</x:v>
      </x:c>
      <x:c r="I27" t="str">
        <x:v>004O0a1f4T0RI8</x:v>
      </x:c>
      <x:c r="J27" t="str">
        <x:v>False</x:v>
      </x:c>
      <x:c r="K27" t="n">
        <x:v>84</x:v>
      </x:c>
      <x:c r="L27" t="n">
        <x:v>22</x:v>
      </x:c>
      <x:c r="M27" t="n">
        <x:v>3</x:v>
      </x:c>
      <x:c r="N27" t="n">
        <x:v>93.36077</x:v>
      </x:c>
      <x:c r="O27" t="n">
        <x:v>54.32</x:v>
      </x:c>
      <x:c r="P27" t="n">
        <x:v>0</x:v>
      </x:c>
      <x:c r="Q27" t="n">
        <x:v>0</x:v>
      </x:c>
      <x:c r="R27" t="n">
        <x:v>76.6</x:v>
      </x:c>
      <x:c r="S27" t="n">
        <x:v>53.28</x:v>
      </x:c>
      <x:c r="T27" t="str">
        <x:v>https://y.gtimg.cn/music/photo_new/T002R500x500M000003Q9it10RWLId_2.jpg</x:v>
      </x:c>
      <x:c r="U27" s="24" t="str">
        <x:f>IFERROR(VLOOKUP(I27,'07_字典与参数'!$G$5:$J$9,2,FALSE),"未入选")</x:f>
        <x:v>未入选</x:v>
      </x:c>
      <x:c r="V27" s="24" t="str">
        <x:f>IFERROR(VLOOKUP(I27,'07_字典与参数'!$G$5:$J$9,3,FALSE),"—")</x:f>
        <x:v>—</x:v>
      </x:c>
      <x:c r="W27" s="24" t="str">
        <x:f>IF(U27="未入选","否","是")</x:f>
        <x:v>否</x:v>
      </x:c>
    </x:row>
    <x:row r="28">
      <x:c r="A28" t="n">
        <x:v>202628</x:v>
      </x:c>
      <x:c r="B28" t="str">
        <x:v>第28期（07.13-07.19）</x:v>
      </x:c>
      <x:c r="C28" t="str">
        <x:v>2026-07-13</x:v>
      </x:c>
      <x:c r="D28" t="str">
        <x:v>2026-07-19</x:v>
      </x:c>
      <x:c r="E28" t="n">
        <x:v>24</x:v>
      </x:c>
      <x:c r="F28" t="n">
        <x:v>528886869</x:v>
      </x:c>
      <x:c r="G28" t="str">
        <x:v>吹吹山顶的风</x:v>
      </x:c>
      <x:c r="H28" t="str">
        <x:v>巴扎黑</x:v>
      </x:c>
      <x:c r="I28" t="str">
        <x:v>00300Opj0ekd7M</x:v>
      </x:c>
      <x:c r="J28" t="str">
        <x:v>False</x:v>
      </x:c>
      <x:c r="K28" t="n">
        <x:v>58</x:v>
      </x:c>
      <x:c r="L28" t="n">
        <x:v>2</x:v>
      </x:c>
      <x:c r="M28" t="n">
        <x:v>24</x:v>
      </x:c>
      <x:c r="N28" t="n">
        <x:v>93.33665</x:v>
      </x:c>
      <x:c r="O28" t="n">
        <x:v>85.96</x:v>
      </x:c>
      <x:c r="P28" t="n">
        <x:v>0</x:v>
      </x:c>
      <x:c r="Q28" t="n">
        <x:v>0</x:v>
      </x:c>
      <x:c r="R28" t="n">
        <x:v>56.31</x:v>
      </x:c>
      <x:c r="S28" t="n">
        <x:v>54.89</x:v>
      </x:c>
      <x:c r="T28" t="str">
        <x:v>https://y.gtimg.cn/music/photo_new/T002R500x500M000003fdCjM2I4CYg_4.jpg</x:v>
      </x:c>
      <x:c r="U28" s="24" t="str">
        <x:f>IFERROR(VLOOKUP(I28,'07_字典与参数'!$G$5:$J$9,2,FALSE),"未入选")</x:f>
        <x:v>未入选</x:v>
      </x:c>
      <x:c r="V28" s="24" t="str">
        <x:f>IFERROR(VLOOKUP(I28,'07_字典与参数'!$G$5:$J$9,3,FALSE),"—")</x:f>
        <x:v>—</x:v>
      </x:c>
      <x:c r="W28" s="24" t="str">
        <x:f>IF(U28="未入选","否","是")</x:f>
        <x:v>否</x:v>
      </x:c>
    </x:row>
    <x:row r="29">
      <x:c r="A29" t="n">
        <x:v>202628</x:v>
      </x:c>
      <x:c r="B29" t="str">
        <x:v>第28期（07.13-07.19）</x:v>
      </x:c>
      <x:c r="C29" t="str">
        <x:v>2026-07-13</x:v>
      </x:c>
      <x:c r="D29" t="str">
        <x:v>2026-07-19</x:v>
      </x:c>
      <x:c r="E29" t="n">
        <x:v>25</x:v>
      </x:c>
      <x:c r="F29" t="n">
        <x:v>490979740</x:v>
      </x:c>
      <x:c r="G29" t="str">
        <x:v>玻璃</x:v>
      </x:c>
      <x:c r="H29" t="str">
        <x:v>Gareth.T</x:v>
      </x:c>
      <x:c r="I29" t="str">
        <x:v>001brxL63DYjSr</x:v>
      </x:c>
      <x:c r="J29" t="str">
        <x:v>False</x:v>
      </x:c>
      <x:c r="K29" t="n">
        <x:v>18</x:v>
      </x:c>
      <x:c r="L29" t="n">
        <x:v>9</x:v>
      </x:c>
      <x:c r="M29" t="n">
        <x:v>2</x:v>
      </x:c>
      <x:c r="N29" t="n">
        <x:v>93.27686</x:v>
      </x:c>
      <x:c r="O29" t="n">
        <x:v>86.64</x:v>
      </x:c>
      <x:c r="P29" t="n">
        <x:v>0</x:v>
      </x:c>
      <x:c r="Q29" t="n">
        <x:v>0</x:v>
      </x:c>
      <x:c r="R29" t="n">
        <x:v>33.4</x:v>
      </x:c>
      <x:c r="S29" t="n">
        <x:v>53.89</x:v>
      </x:c>
      <x:c r="T29" t="str">
        <x:v>https://y.gtimg.cn/music/photo_new/T002R500x500M000002kIED92uw8L5_1.jpg</x:v>
      </x:c>
      <x:c r="U29" s="24" t="str">
        <x:f>IFERROR(VLOOKUP(I29,'07_字典与参数'!$G$5:$J$9,2,FALSE),"未入选")</x:f>
        <x:v>未入选</x:v>
      </x:c>
      <x:c r="V29" s="24" t="str">
        <x:f>IFERROR(VLOOKUP(I29,'07_字典与参数'!$G$5:$J$9,3,FALSE),"—")</x:f>
        <x:v>—</x:v>
      </x:c>
      <x:c r="W29" s="24" t="str">
        <x:f>IF(U29="未入选","否","是")</x:f>
        <x:v>否</x:v>
      </x:c>
    </x:row>
    <x:row r="30">
      <x:c r="A30" t="n">
        <x:v>202628</x:v>
      </x:c>
      <x:c r="B30" t="str">
        <x:v>第28期（07.13-07.19）</x:v>
      </x:c>
      <x:c r="C30" t="str">
        <x:v>2026-07-13</x:v>
      </x:c>
      <x:c r="D30" t="str">
        <x:v>2026-07-19</x:v>
      </x:c>
      <x:c r="E30" t="n">
        <x:v>26</x:v>
      </x:c>
      <x:c r="F30" t="n">
        <x:v>476979934</x:v>
      </x:c>
      <x:c r="G30" t="str">
        <x:v>大江南</x:v>
      </x:c>
      <x:c r="H30" t="str">
        <x:v>刀郎</x:v>
      </x:c>
      <x:c r="I30" t="str">
        <x:v>00353J6U0acVVf</x:v>
      </x:c>
      <x:c r="J30" t="str">
        <x:v>False</x:v>
      </x:c>
      <x:c r="K30" t="n">
        <x:v>17</x:v>
      </x:c>
      <x:c r="L30" t="n">
        <x:v>17</x:v>
      </x:c>
      <x:c r="M30" t="n">
        <x:v>9</x:v>
      </x:c>
      <x:c r="N30" t="n">
        <x:v>93.15839</x:v>
      </x:c>
      <x:c r="O30" t="n">
        <x:v>63.11</x:v>
      </x:c>
      <x:c r="P30" t="n">
        <x:v>0</x:v>
      </x:c>
      <x:c r="Q30" t="n">
        <x:v>0</x:v>
      </x:c>
      <x:c r="R30" t="n">
        <x:v>35.43</x:v>
      </x:c>
      <x:c r="S30" t="n">
        <x:v>76.51</x:v>
      </x:c>
      <x:c r="T30" t="str">
        <x:v>https://y.gtimg.cn/music/photo_new/T002R500x500M0000042UNmv3tjqE2_1.jpg</x:v>
      </x:c>
      <x:c r="U30" s="24" t="str">
        <x:f>IFERROR(VLOOKUP(I30,'07_字典与参数'!$G$5:$J$9,2,FALSE),"未入选")</x:f>
        <x:v>未入选</x:v>
      </x:c>
      <x:c r="V30" s="24" t="str">
        <x:f>IFERROR(VLOOKUP(I30,'07_字典与参数'!$G$5:$J$9,3,FALSE),"—")</x:f>
        <x:v>—</x:v>
      </x:c>
      <x:c r="W30" s="24" t="str">
        <x:f>IF(U30="未入选","否","是")</x:f>
        <x:v>否</x:v>
      </x:c>
    </x:row>
    <x:row r="31">
      <x:c r="A31" t="n">
        <x:v>202628</x:v>
      </x:c>
      <x:c r="B31" t="str">
        <x:v>第28期（07.13-07.19）</x:v>
      </x:c>
      <x:c r="C31" t="str">
        <x:v>2026-07-13</x:v>
      </x:c>
      <x:c r="D31" t="str">
        <x:v>2026-07-19</x:v>
      </x:c>
      <x:c r="E31" t="n">
        <x:v>27</x:v>
      </x:c>
      <x:c r="F31" t="n">
        <x:v>522467105</x:v>
      </x:c>
      <x:c r="G31" t="str">
        <x:v>北京的雨</x:v>
      </x:c>
      <x:c r="H31" t="str">
        <x:v>张艺兴</x:v>
      </x:c>
      <x:c r="I31" t="str">
        <x:v>002ubhKy3qBLES</x:v>
      </x:c>
      <x:c r="J31" t="str">
        <x:v>True</x:v>
      </x:c>
      <x:c r="K31" t="n">
        <x:v>0</x:v>
      </x:c>
      <x:c r="L31" t="n">
        <x:v>1</x:v>
      </x:c>
      <x:c r="M31" t="n">
        <x:v>27</x:v>
      </x:c>
      <x:c r="N31" t="n">
        <x:v>92.66639</x:v>
      </x:c>
      <x:c r="O31" t="n">
        <x:v>74.14</x:v>
      </x:c>
      <x:c r="P31" t="n">
        <x:v>0</x:v>
      </x:c>
      <x:c r="Q31" t="n">
        <x:v>0</x:v>
      </x:c>
      <x:c r="R31" t="n">
        <x:v>70.83</x:v>
      </x:c>
      <x:c r="S31" t="n">
        <x:v>68.57</x:v>
      </x:c>
      <x:c r="T31" t="str">
        <x:v>https://y.qq.com/music/photo_new/T062R500x500M0000004cYUv1WOARD.jpg</x:v>
      </x:c>
      <x:c r="U31" s="24" t="str">
        <x:f>IFERROR(VLOOKUP(I31,'07_字典与参数'!$G$5:$J$9,2,FALSE),"未入选")</x:f>
        <x:v>未入选</x:v>
      </x:c>
      <x:c r="V31" s="24" t="str">
        <x:f>IFERROR(VLOOKUP(I31,'07_字典与参数'!$G$5:$J$9,3,FALSE),"—")</x:f>
        <x:v>—</x:v>
      </x:c>
      <x:c r="W31" s="24" t="str">
        <x:f>IF(U31="未入选","否","是")</x:f>
        <x:v>否</x:v>
      </x:c>
    </x:row>
    <x:row r="32">
      <x:c r="A32" t="n">
        <x:v>202628</x:v>
      </x:c>
      <x:c r="B32" t="str">
        <x:v>第28期（07.13-07.19）</x:v>
      </x:c>
      <x:c r="C32" t="str">
        <x:v>2026-07-13</x:v>
      </x:c>
      <x:c r="D32" t="str">
        <x:v>2026-07-19</x:v>
      </x:c>
      <x:c r="E32" t="n">
        <x:v>28</x:v>
      </x:c>
      <x:c r="F32" t="n">
        <x:v>474412512</x:v>
      </x:c>
      <x:c r="G32" t="str">
        <x:v>那天下雨了</x:v>
      </x:c>
      <x:c r="H32" t="str">
        <x:v>周杰伦</x:v>
      </x:c>
      <x:c r="I32" t="str">
        <x:v>0044SaFh0apuR2</x:v>
      </x:c>
      <x:c r="J32" t="str">
        <x:v>False</x:v>
      </x:c>
      <x:c r="K32" t="n">
        <x:v>30</x:v>
      </x:c>
      <x:c r="L32" t="n">
        <x:v>17</x:v>
      </x:c>
      <x:c r="M32" t="n">
        <x:v>2</x:v>
      </x:c>
      <x:c r="N32" t="n">
        <x:v>92.50935</x:v>
      </x:c>
      <x:c r="O32" t="n">
        <x:v>84.74</x:v>
      </x:c>
      <x:c r="P32" t="n">
        <x:v>0</x:v>
      </x:c>
      <x:c r="Q32" t="n">
        <x:v>0</x:v>
      </x:c>
      <x:c r="R32" t="n">
        <x:v>47.31</x:v>
      </x:c>
      <x:c r="S32" t="n">
        <x:v>58.44</x:v>
      </x:c>
      <x:c r="T32" t="str">
        <x:v>https://y.gtimg.cn/music/photo_new/T002R500x500M0000041WVfh2vtlJE_1.jpg</x:v>
      </x:c>
      <x:c r="U32" s="24" t="str">
        <x:f>IFERROR(VLOOKUP(I32,'07_字典与参数'!$G$5:$J$9,2,FALSE),"未入选")</x:f>
        <x:v>未入选</x:v>
      </x:c>
      <x:c r="V32" s="24" t="str">
        <x:f>IFERROR(VLOOKUP(I32,'07_字典与参数'!$G$5:$J$9,3,FALSE),"—")</x:f>
        <x:v>—</x:v>
      </x:c>
      <x:c r="W32" s="24" t="str">
        <x:f>IF(U32="未入选","否","是")</x:f>
        <x:v>否</x:v>
      </x:c>
    </x:row>
    <x:row r="33">
      <x:c r="A33" t="n">
        <x:v>202628</x:v>
      </x:c>
      <x:c r="B33" t="str">
        <x:v>第28期（07.13-07.19）</x:v>
      </x:c>
      <x:c r="C33" t="str">
        <x:v>2026-07-13</x:v>
      </x:c>
      <x:c r="D33" t="str">
        <x:v>2026-07-19</x:v>
      </x:c>
      <x:c r="E33" t="n">
        <x:v>29</x:v>
      </x:c>
      <x:c r="F33" t="n">
        <x:v>517708558</x:v>
      </x:c>
      <x:c r="G33" t="str">
        <x:v>Call My Name</x:v>
      </x:c>
      <x:c r="H33" t="str">
        <x:v>张艺兴</x:v>
      </x:c>
      <x:c r="I33" t="str">
        <x:v>000LnSwg4DkKg2</x:v>
      </x:c>
      <x:c r="J33" t="str">
        <x:v>False</x:v>
      </x:c>
      <x:c r="K33" t="n">
        <x:v>25</x:v>
      </x:c>
      <x:c r="L33" t="n">
        <x:v>4</x:v>
      </x:c>
      <x:c r="M33" t="n">
        <x:v>1</x:v>
      </x:c>
      <x:c r="N33" t="n">
        <x:v>92.49727</x:v>
      </x:c>
      <x:c r="O33" t="n">
        <x:v>65.39</x:v>
      </x:c>
      <x:c r="P33" t="n">
        <x:v>0</x:v>
      </x:c>
      <x:c r="Q33" t="n">
        <x:v>0</x:v>
      </x:c>
      <x:c r="R33" t="n">
        <x:v>75.35</x:v>
      </x:c>
      <x:c r="S33" t="n">
        <x:v>45.87</x:v>
      </x:c>
      <x:c r="T33" t="str">
        <x:v>https://y.gtimg.cn/music/photo_new/T002R500x500M000001w138z3PZEcz_1.jpg</x:v>
      </x:c>
      <x:c r="U33" s="24" t="str">
        <x:f>IFERROR(VLOOKUP(I33,'07_字典与参数'!$G$5:$J$9,2,FALSE),"未入选")</x:f>
        <x:v>未入选</x:v>
      </x:c>
      <x:c r="V33" s="24" t="str">
        <x:f>IFERROR(VLOOKUP(I33,'07_字典与参数'!$G$5:$J$9,3,FALSE),"—")</x:f>
        <x:v>—</x:v>
      </x:c>
      <x:c r="W33" s="24" t="str">
        <x:f>IF(U33="未入选","否","是")</x:f>
        <x:v>否</x:v>
      </x:c>
    </x:row>
    <x:row r="34">
      <x:c r="A34" t="n">
        <x:v>202628</x:v>
      </x:c>
      <x:c r="B34" t="str">
        <x:v>第28期（07.13-07.19）</x:v>
      </x:c>
      <x:c r="C34" t="str">
        <x:v>2026-07-13</x:v>
      </x:c>
      <x:c r="D34" t="str">
        <x:v>2026-07-19</x:v>
      </x:c>
      <x:c r="E34" t="n">
        <x:v>30</x:v>
      </x:c>
      <x:c r="F34" t="n">
        <x:v>486301870</x:v>
      </x:c>
      <x:c r="G34" t="str">
        <x:v>Someone to Love</x:v>
      </x:c>
      <x:c r="H34" t="str">
        <x:v>严浩翔</x:v>
      </x:c>
      <x:c r="I34" t="str">
        <x:v>003h49Zi3ExoLi</x:v>
      </x:c>
      <x:c r="J34" t="str">
        <x:v>False</x:v>
      </x:c>
      <x:c r="K34" t="n">
        <x:v>55</x:v>
      </x:c>
      <x:c r="L34" t="n">
        <x:v>11</x:v>
      </x:c>
      <x:c r="M34" t="n">
        <x:v>1</x:v>
      </x:c>
      <x:c r="N34" t="n">
        <x:v>92.39187</x:v>
      </x:c>
      <x:c r="O34" t="n">
        <x:v>61.26</x:v>
      </x:c>
      <x:c r="P34" t="n">
        <x:v>0</x:v>
      </x:c>
      <x:c r="Q34" t="n">
        <x:v>0</x:v>
      </x:c>
      <x:c r="R34" t="n">
        <x:v>15.92</x:v>
      </x:c>
      <x:c r="S34" t="n">
        <x:v>75.59</x:v>
      </x:c>
      <x:c r="T34" t="str">
        <x:v>https://y.gtimg.cn/music/photo_new/T002R500x500M000002MLnIj1xJXLf_1.jpg</x:v>
      </x:c>
      <x:c r="U34" s="24" t="str">
        <x:f>IFERROR(VLOOKUP(I34,'07_字典与参数'!$G$5:$J$9,2,FALSE),"未入选")</x:f>
        <x:v>未入选</x:v>
      </x:c>
      <x:c r="V34" s="24" t="str">
        <x:f>IFERROR(VLOOKUP(I34,'07_字典与参数'!$G$5:$J$9,3,FALSE),"—")</x:f>
        <x:v>—</x:v>
      </x:c>
      <x:c r="W34" s="24" t="str">
        <x:f>IF(U34="未入选","否","是")</x:f>
        <x:v>否</x:v>
      </x:c>
    </x:row>
    <x:row r="35">
      <x:c r="A35" t="n">
        <x:v>202628</x:v>
      </x:c>
      <x:c r="B35" t="str">
        <x:v>第28期（07.13-07.19）</x:v>
      </x:c>
      <x:c r="C35" t="str">
        <x:v>2026-07-13</x:v>
      </x:c>
      <x:c r="D35" t="str">
        <x:v>2026-07-19</x:v>
      </x:c>
      <x:c r="E35" t="n">
        <x:v>31</x:v>
      </x:c>
      <x:c r="F35" t="n">
        <x:v>522436398</x:v>
      </x:c>
      <x:c r="G35" t="str">
        <x:v>斗战胜佛</x:v>
      </x:c>
      <x:c r="H35" t="str">
        <x:v>张艺兴</x:v>
      </x:c>
      <x:c r="I35" t="str">
        <x:v>0031lecC265Cw1</x:v>
      </x:c>
      <x:c r="J35" t="str">
        <x:v>False</x:v>
      </x:c>
      <x:c r="K35" t="n">
        <x:v>36</x:v>
      </x:c>
      <x:c r="L35" t="n">
        <x:v>3</x:v>
      </x:c>
      <x:c r="M35" t="n">
        <x:v>13</x:v>
      </x:c>
      <x:c r="N35" t="n">
        <x:v>92.19786</x:v>
      </x:c>
      <x:c r="O35" t="n">
        <x:v>64.57</x:v>
      </x:c>
      <x:c r="P35" t="n">
        <x:v>0</x:v>
      </x:c>
      <x:c r="Q35" t="n">
        <x:v>0</x:v>
      </x:c>
      <x:c r="R35" t="n">
        <x:v>75.03</x:v>
      </x:c>
      <x:c r="S35" t="n">
        <x:v>42.92</x:v>
      </x:c>
      <x:c r="T35" t="str">
        <x:v>https://y.gtimg.cn/music/photo_new/T002R500x500M000001w138z3PZEcz_1.jpg</x:v>
      </x:c>
      <x:c r="U35" s="24" t="str">
        <x:f>IFERROR(VLOOKUP(I35,'07_字典与参数'!$G$5:$J$9,2,FALSE),"未入选")</x:f>
        <x:v>未入选</x:v>
      </x:c>
      <x:c r="V35" s="24" t="str">
        <x:f>IFERROR(VLOOKUP(I35,'07_字典与参数'!$G$5:$J$9,3,FALSE),"—")</x:f>
        <x:v>—</x:v>
      </x:c>
      <x:c r="W35" s="24" t="str">
        <x:f>IF(U35="未入选","否","是")</x:f>
        <x:v>否</x:v>
      </x:c>
    </x:row>
    <x:row r="36">
      <x:c r="A36" t="n">
        <x:v>202628</x:v>
      </x:c>
      <x:c r="B36" t="str">
        <x:v>第28期（07.13-07.19）</x:v>
      </x:c>
      <x:c r="C36" t="str">
        <x:v>2026-07-13</x:v>
      </x:c>
      <x:c r="D36" t="str">
        <x:v>2026-07-19</x:v>
      </x:c>
      <x:c r="E36" t="n">
        <x:v>32</x:v>
      </x:c>
      <x:c r="F36" t="n">
        <x:v>522467069</x:v>
      </x:c>
      <x:c r="G36" t="str">
        <x:v>太阳</x:v>
      </x:c>
      <x:c r="H36" t="str">
        <x:v>张艺兴</x:v>
      </x:c>
      <x:c r="I36" t="str">
        <x:v>001Uoqxt4SYZNY</x:v>
      </x:c>
      <x:c r="J36" t="str">
        <x:v>True</x:v>
      </x:c>
      <x:c r="K36" t="n">
        <x:v>0</x:v>
      </x:c>
      <x:c r="L36" t="n">
        <x:v>1</x:v>
      </x:c>
      <x:c r="M36" t="n">
        <x:v>32</x:v>
      </x:c>
      <x:c r="N36" t="n">
        <x:v>92.14795</x:v>
      </x:c>
      <x:c r="O36" t="n">
        <x:v>73.8</x:v>
      </x:c>
      <x:c r="P36" t="n">
        <x:v>0</x:v>
      </x:c>
      <x:c r="Q36" t="n">
        <x:v>0</x:v>
      </x:c>
      <x:c r="R36" t="n">
        <x:v>70.98</x:v>
      </x:c>
      <x:c r="S36" t="n">
        <x:v>63.06</x:v>
      </x:c>
      <x:c r="T36" t="str">
        <x:v>https://y.gtimg.cn/music/photo_new/T002R500x500M000001w138z3PZEcz_1.jpg</x:v>
      </x:c>
      <x:c r="U36" s="24" t="str">
        <x:f>IFERROR(VLOOKUP(I36,'07_字典与参数'!$G$5:$J$9,2,FALSE),"未入选")</x:f>
        <x:v>未入选</x:v>
      </x:c>
      <x:c r="V36" s="24" t="str">
        <x:f>IFERROR(VLOOKUP(I36,'07_字典与参数'!$G$5:$J$9,3,FALSE),"—")</x:f>
        <x:v>—</x:v>
      </x:c>
      <x:c r="W36" s="24" t="str">
        <x:f>IF(U36="未入选","否","是")</x:f>
        <x:v>否</x:v>
      </x:c>
    </x:row>
    <x:row r="37">
      <x:c r="A37" t="n">
        <x:v>202628</x:v>
      </x:c>
      <x:c r="B37" t="str">
        <x:v>第28期（07.13-07.19）</x:v>
      </x:c>
      <x:c r="C37" t="str">
        <x:v>2026-07-13</x:v>
      </x:c>
      <x:c r="D37" t="str">
        <x:v>2026-07-19</x:v>
      </x:c>
      <x:c r="E37" t="n">
        <x:v>33</x:v>
      </x:c>
      <x:c r="F37" t="n">
        <x:v>495624493</x:v>
      </x:c>
      <x:c r="G37" t="str">
        <x:v>梦哑</x:v>
      </x:c>
      <x:c r="H37" t="str">
        <x:v>任然</x:v>
      </x:c>
      <x:c r="I37" t="str">
        <x:v>003WHs6a1qmOeG</x:v>
      </x:c>
      <x:c r="J37" t="str">
        <x:v>False</x:v>
      </x:c>
      <x:c r="K37" t="n">
        <x:v>38</x:v>
      </x:c>
      <x:c r="L37" t="n">
        <x:v>4</x:v>
      </x:c>
      <x:c r="M37" t="n">
        <x:v>33</x:v>
      </x:c>
      <x:c r="N37" t="n">
        <x:v>91.90494</x:v>
      </x:c>
      <x:c r="O37" t="n">
        <x:v>83.46</x:v>
      </x:c>
      <x:c r="P37" t="n">
        <x:v>0</x:v>
      </x:c>
      <x:c r="Q37" t="n">
        <x:v>0</x:v>
      </x:c>
      <x:c r="R37" t="n">
        <x:v>20.47</x:v>
      </x:c>
      <x:c r="S37" t="n">
        <x:v>59.98</x:v>
      </x:c>
      <x:c r="T37" t="str">
        <x:v>https://y.gtimg.cn/music/photo_new/T002R500x500M000000JotAZ2WZEkq_1.jpg</x:v>
      </x:c>
      <x:c r="U37" s="24" t="str">
        <x:f>IFERROR(VLOOKUP(I37,'07_字典与参数'!$G$5:$J$9,2,FALSE),"未入选")</x:f>
        <x:v>未入选</x:v>
      </x:c>
      <x:c r="V37" s="24" t="str">
        <x:f>IFERROR(VLOOKUP(I37,'07_字典与参数'!$G$5:$J$9,3,FALSE),"—")</x:f>
        <x:v>—</x:v>
      </x:c>
      <x:c r="W37" s="24" t="str">
        <x:f>IF(U37="未入选","否","是")</x:f>
        <x:v>否</x:v>
      </x:c>
    </x:row>
    <x:row r="38">
      <x:c r="A38" t="n">
        <x:v>202628</x:v>
      </x:c>
      <x:c r="B38" t="str">
        <x:v>第28期（07.13-07.19）</x:v>
      </x:c>
      <x:c r="C38" t="str">
        <x:v>2026-07-13</x:v>
      </x:c>
      <x:c r="D38" t="str">
        <x:v>2026-07-19</x:v>
      </x:c>
      <x:c r="E38" t="n">
        <x:v>34</x:v>
      </x:c>
      <x:c r="F38" t="n">
        <x:v>447308818</x:v>
      </x:c>
      <x:c r="G38" t="str">
        <x:v>街角的晚风</x:v>
      </x:c>
      <x:c r="H38" t="str">
        <x:v>陈小春</x:v>
      </x:c>
      <x:c r="I38" t="str">
        <x:v>001e2FJz3QXaf0</x:v>
      </x:c>
      <x:c r="J38" t="str">
        <x:v>False</x:v>
      </x:c>
      <x:c r="K38" t="n">
        <x:v>33</x:v>
      </x:c>
      <x:c r="L38" t="n">
        <x:v>32</x:v>
      </x:c>
      <x:c r="M38" t="n">
        <x:v>5</x:v>
      </x:c>
      <x:c r="N38" t="n">
        <x:v>91.8793</x:v>
      </x:c>
      <x:c r="O38" t="n">
        <x:v>84.16</x:v>
      </x:c>
      <x:c r="P38" t="n">
        <x:v>0</x:v>
      </x:c>
      <x:c r="Q38" t="n">
        <x:v>0</x:v>
      </x:c>
      <x:c r="R38" t="n">
        <x:v>50.9</x:v>
      </x:c>
      <x:c r="S38" t="n">
        <x:v>41.99</x:v>
      </x:c>
      <x:c r="T38" t="str">
        <x:v>https://y.gtimg.cn/music/photo_new/T002R500x500M0000028jKt80PGmlB_4.jpg</x:v>
      </x:c>
      <x:c r="U38" s="24" t="str">
        <x:f>IFERROR(VLOOKUP(I38,'07_字典与参数'!$G$5:$J$9,2,FALSE),"未入选")</x:f>
        <x:v>未入选</x:v>
      </x:c>
      <x:c r="V38" s="24" t="str">
        <x:f>IFERROR(VLOOKUP(I38,'07_字典与参数'!$G$5:$J$9,3,FALSE),"—")</x:f>
        <x:v>—</x:v>
      </x:c>
      <x:c r="W38" s="24" t="str">
        <x:f>IF(U38="未入选","否","是")</x:f>
        <x:v>否</x:v>
      </x:c>
    </x:row>
    <x:row r="39">
      <x:c r="A39" t="n">
        <x:v>202628</x:v>
      </x:c>
      <x:c r="B39" t="str">
        <x:v>第28期（07.13-07.19）</x:v>
      </x:c>
      <x:c r="C39" t="str">
        <x:v>2026-07-13</x:v>
      </x:c>
      <x:c r="D39" t="str">
        <x:v>2026-07-19</x:v>
      </x:c>
      <x:c r="E39" t="n">
        <x:v>35</x:v>
      </x:c>
      <x:c r="F39" t="n">
        <x:v>475529076</x:v>
      </x:c>
      <x:c r="G39" t="str">
        <x:v>Fever Pitch</x:v>
      </x:c>
      <x:c r="H39" t="str">
        <x:v>Richz</x:v>
      </x:c>
      <x:c r="I39" t="str">
        <x:v>000WhoSx0Wpvog</x:v>
      </x:c>
      <x:c r="J39" t="str">
        <x:v>False</x:v>
      </x:c>
      <x:c r="K39" t="n">
        <x:v>42</x:v>
      </x:c>
      <x:c r="L39" t="n">
        <x:v>10</x:v>
      </x:c>
      <x:c r="M39" t="n">
        <x:v>22</x:v>
      </x:c>
      <x:c r="N39" t="n">
        <x:v>91.66036</x:v>
      </x:c>
      <x:c r="O39" t="n">
        <x:v>84.19</x:v>
      </x:c>
      <x:c r="P39" t="n">
        <x:v>0</x:v>
      </x:c>
      <x:c r="Q39" t="n">
        <x:v>0</x:v>
      </x:c>
      <x:c r="R39" t="n">
        <x:v>39.79</x:v>
      </x:c>
      <x:c r="S39" t="n">
        <x:v>41.07</x:v>
      </x:c>
      <x:c r="T39" t="str">
        <x:v>https://y.gtimg.cn/music/photo_new/T002R500x500M0000013EMSw3bvHuu_1.jpg</x:v>
      </x:c>
      <x:c r="U39" s="24" t="str">
        <x:f>IFERROR(VLOOKUP(I39,'07_字典与参数'!$G$5:$J$9,2,FALSE),"未入选")</x:f>
        <x:v>未入选</x:v>
      </x:c>
      <x:c r="V39" s="24" t="str">
        <x:f>IFERROR(VLOOKUP(I39,'07_字典与参数'!$G$5:$J$9,3,FALSE),"—")</x:f>
        <x:v>—</x:v>
      </x:c>
      <x:c r="W39" s="24" t="str">
        <x:f>IF(U39="未入选","否","是")</x:f>
        <x:v>否</x:v>
      </x:c>
    </x:row>
    <x:row r="40">
      <x:c r="A40" t="n">
        <x:v>202628</x:v>
      </x:c>
      <x:c r="B40" t="str">
        <x:v>第28期（07.13-07.19）</x:v>
      </x:c>
      <x:c r="C40" t="str">
        <x:v>2026-07-13</x:v>
      </x:c>
      <x:c r="D40" t="str">
        <x:v>2026-07-19</x:v>
      </x:c>
      <x:c r="E40" t="n">
        <x:v>36</x:v>
      </x:c>
      <x:c r="F40" t="n">
        <x:v>480650227</x:v>
      </x:c>
      <x:c r="G40" t="str">
        <x:v>写故事的人</x:v>
      </x:c>
      <x:c r="H40" t="str">
        <x:v>汪苏泷</x:v>
      </x:c>
      <x:c r="I40" t="str">
        <x:v>0028t0n12nBn9U</x:v>
      </x:c>
      <x:c r="J40" t="str">
        <x:v>False</x:v>
      </x:c>
      <x:c r="K40" t="n">
        <x:v>35</x:v>
      </x:c>
      <x:c r="L40" t="n">
        <x:v>4</x:v>
      </x:c>
      <x:c r="M40" t="n">
        <x:v>13</x:v>
      </x:c>
      <x:c r="N40" t="n">
        <x:v>91.45252</x:v>
      </x:c>
      <x:c r="O40" t="n">
        <x:v>82.04</x:v>
      </x:c>
      <x:c r="P40" t="n">
        <x:v>0</x:v>
      </x:c>
      <x:c r="Q40" t="n">
        <x:v>0</x:v>
      </x:c>
      <x:c r="R40" t="n">
        <x:v>33.48</x:v>
      </x:c>
      <x:c r="S40" t="n">
        <x:v>58.46</x:v>
      </x:c>
      <x:c r="T40" t="str">
        <x:v>https://y.gtimg.cn/music/photo_new/T002R500x500M000000A1M903iHvyT_4.jpg</x:v>
      </x:c>
      <x:c r="U40" s="24" t="str">
        <x:f>IFERROR(VLOOKUP(I40,'07_字典与参数'!$G$5:$J$9,2,FALSE),"未入选")</x:f>
        <x:v>未入选</x:v>
      </x:c>
      <x:c r="V40" s="24" t="str">
        <x:f>IFERROR(VLOOKUP(I40,'07_字典与参数'!$G$5:$J$9,3,FALSE),"—")</x:f>
        <x:v>—</x:v>
      </x:c>
      <x:c r="W40" s="24" t="str">
        <x:f>IF(U40="未入选","否","是")</x:f>
        <x:v>否</x:v>
      </x:c>
    </x:row>
    <x:row r="41">
      <x:c r="A41" t="n">
        <x:v>202628</x:v>
      </x:c>
      <x:c r="B41" t="str">
        <x:v>第28期（07.13-07.19）</x:v>
      </x:c>
      <x:c r="C41" t="str">
        <x:v>2026-07-13</x:v>
      </x:c>
      <x:c r="D41" t="str">
        <x:v>2026-07-19</x:v>
      </x:c>
      <x:c r="E41" t="n">
        <x:v>37</x:v>
      </x:c>
      <x:c r="F41" t="n">
        <x:v>515804613</x:v>
      </x:c>
      <x:c r="G41" t="str">
        <x:v>8DM</x:v>
      </x:c>
      <x:c r="H41" t="str">
        <x:v>V8,徐明浩</x:v>
      </x:c>
      <x:c r="I41" t="str">
        <x:v>001gPXbo2gpbbH</x:v>
      </x:c>
      <x:c r="J41" t="str">
        <x:v>False</x:v>
      </x:c>
      <x:c r="K41" t="n">
        <x:v>12</x:v>
      </x:c>
      <x:c r="L41" t="n">
        <x:v>3</x:v>
      </x:c>
      <x:c r="M41" t="n">
        <x:v>12</x:v>
      </x:c>
      <x:c r="N41" t="n">
        <x:v>91.35478</x:v>
      </x:c>
      <x:c r="O41" t="n">
        <x:v>53.79</x:v>
      </x:c>
      <x:c r="P41" t="n">
        <x:v>0</x:v>
      </x:c>
      <x:c r="Q41" t="n">
        <x:v>0</x:v>
      </x:c>
      <x:c r="R41" t="n">
        <x:v>43.18</x:v>
      </x:c>
      <x:c r="S41" t="n">
        <x:v>72.81</x:v>
      </x:c>
      <x:c r="T41" t="str">
        <x:v>https://y.gtimg.cn/music/photo_new/T002R500x500M000000rDsrP3UzzFm_1.jpg</x:v>
      </x:c>
      <x:c r="U41" s="24" t="str">
        <x:f>IFERROR(VLOOKUP(I41,'07_字典与参数'!$G$5:$J$9,2,FALSE),"未入选")</x:f>
        <x:v>未入选</x:v>
      </x:c>
      <x:c r="V41" s="24" t="str">
        <x:f>IFERROR(VLOOKUP(I41,'07_字典与参数'!$G$5:$J$9,3,FALSE),"—")</x:f>
        <x:v>—</x:v>
      </x:c>
      <x:c r="W41" s="24" t="str">
        <x:f>IF(U41="未入选","否","是")</x:f>
        <x:v>否</x:v>
      </x:c>
    </x:row>
    <x:row r="42">
      <x:c r="A42" t="n">
        <x:v>202628</x:v>
      </x:c>
      <x:c r="B42" t="str">
        <x:v>第28期（07.13-07.19）</x:v>
      </x:c>
      <x:c r="C42" t="str">
        <x:v>2026-07-13</x:v>
      </x:c>
      <x:c r="D42" t="str">
        <x:v>2026-07-19</x:v>
      </x:c>
      <x:c r="E42" t="n">
        <x:v>38</x:v>
      </x:c>
      <x:c r="F42" t="n">
        <x:v>522370780</x:v>
      </x:c>
      <x:c r="G42" t="str">
        <x:v>劫</x:v>
      </x:c>
      <x:c r="H42" t="str">
        <x:v>于文文</x:v>
      </x:c>
      <x:c r="I42" t="str">
        <x:v>002ErzzV0YOB5m</x:v>
      </x:c>
      <x:c r="J42" t="str">
        <x:v>True</x:v>
      </x:c>
      <x:c r="K42" t="n">
        <x:v>0</x:v>
      </x:c>
      <x:c r="L42" t="n">
        <x:v>1</x:v>
      </x:c>
      <x:c r="M42" t="n">
        <x:v>38</x:v>
      </x:c>
      <x:c r="N42" t="n">
        <x:v>91.30592</x:v>
      </x:c>
      <x:c r="O42" t="n">
        <x:v>51.96</x:v>
      </x:c>
      <x:c r="P42" t="n">
        <x:v>0</x:v>
      </x:c>
      <x:c r="Q42" t="n">
        <x:v>0</x:v>
      </x:c>
      <x:c r="R42" t="n">
        <x:v>72.98</x:v>
      </x:c>
      <x:c r="S42" t="n">
        <x:v>43.49</x:v>
      </x:c>
      <x:c r="T42" t="str">
        <x:v>https://y.gtimg.cn/music/photo_new/T002R500x500M000001AnXF325jMfu_1.jpg</x:v>
      </x:c>
      <x:c r="U42" s="24" t="str">
        <x:f>IFERROR(VLOOKUP(I42,'07_字典与参数'!$G$5:$J$9,2,FALSE),"未入选")</x:f>
        <x:v>未入选</x:v>
      </x:c>
      <x:c r="V42" s="24" t="str">
        <x:f>IFERROR(VLOOKUP(I42,'07_字典与参数'!$G$5:$J$9,3,FALSE),"—")</x:f>
        <x:v>—</x:v>
      </x:c>
      <x:c r="W42" s="24" t="str">
        <x:f>IF(U42="未入选","否","是")</x:f>
        <x:v>否</x:v>
      </x:c>
    </x:row>
    <x:row r="43">
      <x:c r="A43" t="n">
        <x:v>202628</x:v>
      </x:c>
      <x:c r="B43" t="str">
        <x:v>第28期（07.13-07.19）</x:v>
      </x:c>
      <x:c r="C43" t="str">
        <x:v>2026-07-13</x:v>
      </x:c>
      <x:c r="D43" t="str">
        <x:v>2026-07-19</x:v>
      </x:c>
      <x:c r="E43" t="n">
        <x:v>39</x:v>
      </x:c>
      <x:c r="F43" t="n">
        <x:v>532795800</x:v>
      </x:c>
      <x:c r="G43" t="str">
        <x:v>问</x:v>
      </x:c>
      <x:c r="H43" t="str">
        <x:v>TF_ING张子墨</x:v>
      </x:c>
      <x:c r="I43" t="str">
        <x:v>0002BKiw3M8Yqb</x:v>
      </x:c>
      <x:c r="J43" t="str">
        <x:v>True</x:v>
      </x:c>
      <x:c r="K43" t="n">
        <x:v>0</x:v>
      </x:c>
      <x:c r="L43" t="n">
        <x:v>1</x:v>
      </x:c>
      <x:c r="M43" t="n">
        <x:v>39</x:v>
      </x:c>
      <x:c r="N43" t="n">
        <x:v>91.09556</x:v>
      </x:c>
      <x:c r="O43" t="n">
        <x:v>54.26</x:v>
      </x:c>
      <x:c r="P43" t="n">
        <x:v>0</x:v>
      </x:c>
      <x:c r="Q43" t="n">
        <x:v>0</x:v>
      </x:c>
      <x:c r="R43" t="n">
        <x:v>47.44</x:v>
      </x:c>
      <x:c r="S43" t="n">
        <x:v>71.8</x:v>
      </x:c>
      <x:c r="T43" t="str">
        <x:v>https://y.gtimg.cn/music/photo_new/T002R500x500M000001dK7Q03f3u6K_1.jpg</x:v>
      </x:c>
      <x:c r="U43" s="24" t="str">
        <x:f>IFERROR(VLOOKUP(I43,'07_字典与参数'!$G$5:$J$9,2,FALSE),"未入选")</x:f>
        <x:v>未入选</x:v>
      </x:c>
      <x:c r="V43" s="24" t="str">
        <x:f>IFERROR(VLOOKUP(I43,'07_字典与参数'!$G$5:$J$9,3,FALSE),"—")</x:f>
        <x:v>—</x:v>
      </x:c>
      <x:c r="W43" s="24" t="str">
        <x:f>IF(U43="未入选","否","是")</x:f>
        <x:v>否</x:v>
      </x:c>
    </x:row>
    <x:row r="44">
      <x:c r="A44" t="n">
        <x:v>202628</x:v>
      </x:c>
      <x:c r="B44" t="str">
        <x:v>第28期（07.13-07.19）</x:v>
      </x:c>
      <x:c r="C44" t="str">
        <x:v>2026-07-13</x:v>
      </x:c>
      <x:c r="D44" t="str">
        <x:v>2026-07-19</x:v>
      </x:c>
      <x:c r="E44" t="n">
        <x:v>40</x:v>
      </x:c>
      <x:c r="F44" t="n">
        <x:v>531112810</x:v>
      </x:c>
      <x:c r="G44" t="str">
        <x:v>周旋</x:v>
      </x:c>
      <x:c r="H44" t="str">
        <x:v>王以太,艾热AIR</x:v>
      </x:c>
      <x:c r="I44" t="str">
        <x:v>0009cN231s93BH</x:v>
      </x:c>
      <x:c r="J44" t="str">
        <x:v>True</x:v>
      </x:c>
      <x:c r="K44" t="n">
        <x:v>0</x:v>
      </x:c>
      <x:c r="L44" t="n">
        <x:v>1</x:v>
      </x:c>
      <x:c r="M44" t="n">
        <x:v>40</x:v>
      </x:c>
      <x:c r="N44" t="n">
        <x:v>91.05183</x:v>
      </x:c>
      <x:c r="O44" t="n">
        <x:v>77.79</x:v>
      </x:c>
      <x:c r="P44" t="n">
        <x:v>0</x:v>
      </x:c>
      <x:c r="Q44" t="n">
        <x:v>0</x:v>
      </x:c>
      <x:c r="R44" t="n">
        <x:v>11.31</x:v>
      </x:c>
      <x:c r="S44" t="n">
        <x:v>66.56</x:v>
      </x:c>
      <x:c r="T44" t="str">
        <x:v>https://y.gtimg.cn/music/photo_new/T002R500x500M000000TFXPO1bLY2u_1.jpg</x:v>
      </x:c>
      <x:c r="U44" s="24" t="n">
        <x:f>IFERROR(VLOOKUP(I44,'07_字典与参数'!$G$5:$J$9,2,FALSE),"未入选")</x:f>
        <x:v>71.3</x:v>
      </x:c>
      <x:c r="V44" s="24" t="str">
        <x:f>IFERROR(VLOOKUP(I44,'07_字典与参数'!$G$5:$J$9,3,FALSE),"—")</x:f>
        <x:v>周旋</x:v>
      </x:c>
      <x:c r="W44" s="24" t="str">
        <x:f>IF(U44="未入选","否","是")</x:f>
        <x:v>是</x:v>
      </x:c>
    </x:row>
    <x:row r="45">
      <x:c r="A45" t="n">
        <x:v>202628</x:v>
      </x:c>
      <x:c r="B45" t="str">
        <x:v>第28期（07.13-07.19）</x:v>
      </x:c>
      <x:c r="C45" t="str">
        <x:v>2026-07-13</x:v>
      </x:c>
      <x:c r="D45" t="str">
        <x:v>2026-07-19</x:v>
      </x:c>
      <x:c r="E45" t="n">
        <x:v>41</x:v>
      </x:c>
      <x:c r="F45" t="n">
        <x:v>501946792</x:v>
      </x:c>
      <x:c r="G45" t="str">
        <x:v>云絮低语</x:v>
      </x:c>
      <x:c r="H45" t="str">
        <x:v>云朵</x:v>
      </x:c>
      <x:c r="I45" t="str">
        <x:v>000X5dVy0AaZKa</x:v>
      </x:c>
      <x:c r="J45" t="str">
        <x:v>False</x:v>
      </x:c>
      <x:c r="K45" t="n">
        <x:v>39</x:v>
      </x:c>
      <x:c r="L45" t="n">
        <x:v>3</x:v>
      </x:c>
      <x:c r="M45" t="n">
        <x:v>39</x:v>
      </x:c>
      <x:c r="N45" t="n">
        <x:v>90.9607</x:v>
      </x:c>
      <x:c r="O45" t="n">
        <x:v>62.47</x:v>
      </x:c>
      <x:c r="P45" t="n">
        <x:v>0</x:v>
      </x:c>
      <x:c r="Q45" t="n">
        <x:v>0</x:v>
      </x:c>
      <x:c r="R45" t="n">
        <x:v>56.15</x:v>
      </x:c>
      <x:c r="S45" t="n">
        <x:v>70.26</x:v>
      </x:c>
      <x:c r="T45" t="str">
        <x:v>https://y.gtimg.cn/music/photo_new/T002R500x500M000000BlY9Z3Nrr3g_1.jpg</x:v>
      </x:c>
      <x:c r="U45" s="24" t="str">
        <x:f>IFERROR(VLOOKUP(I45,'07_字典与参数'!$G$5:$J$9,2,FALSE),"未入选")</x:f>
        <x:v>未入选</x:v>
      </x:c>
      <x:c r="V45" s="24" t="str">
        <x:f>IFERROR(VLOOKUP(I45,'07_字典与参数'!$G$5:$J$9,3,FALSE),"—")</x:f>
        <x:v>—</x:v>
      </x:c>
      <x:c r="W45" s="24" t="str">
        <x:f>IF(U45="未入选","否","是")</x:f>
        <x:v>否</x:v>
      </x:c>
    </x:row>
    <x:row r="46">
      <x:c r="A46" t="n">
        <x:v>202628</x:v>
      </x:c>
      <x:c r="B46" t="str">
        <x:v>第28期（07.13-07.19）</x:v>
      </x:c>
      <x:c r="C46" t="str">
        <x:v>2026-07-13</x:v>
      </x:c>
      <x:c r="D46" t="str">
        <x:v>2026-07-19</x:v>
      </x:c>
      <x:c r="E46" t="n">
        <x:v>42</x:v>
      </x:c>
      <x:c r="F46" t="n">
        <x:v>480678966</x:v>
      </x:c>
      <x:c r="G46" t="str">
        <x:v>静音恋人 (两颗缠绕的心)</x:v>
      </x:c>
      <x:c r="H46" t="str">
        <x:v>礼越</x:v>
      </x:c>
      <x:c r="I46" t="str">
        <x:v>0046UbDu4Lyebe</x:v>
      </x:c>
      <x:c r="J46" t="str">
        <x:v>False</x:v>
      </x:c>
      <x:c r="K46" t="n">
        <x:v>40</x:v>
      </x:c>
      <x:c r="L46" t="n">
        <x:v>8</x:v>
      </x:c>
      <x:c r="M46" t="n">
        <x:v>18</x:v>
      </x:c>
      <x:c r="N46" t="n">
        <x:v>90.76985</x:v>
      </x:c>
      <x:c r="O46" t="n">
        <x:v>81.21</x:v>
      </x:c>
      <x:c r="P46" t="n">
        <x:v>0</x:v>
      </x:c>
      <x:c r="Q46" t="n">
        <x:v>0</x:v>
      </x:c>
      <x:c r="R46" t="n">
        <x:v>34.19</x:v>
      </x:c>
      <x:c r="S46" t="n">
        <x:v>46.91</x:v>
      </x:c>
      <x:c r="T46" t="str">
        <x:v>https://y.gtimg.cn/music/photo_new/T002R500x500M0000002luCJ26Yi4n_2.jpg</x:v>
      </x:c>
      <x:c r="U46" s="24" t="str">
        <x:f>IFERROR(VLOOKUP(I46,'07_字典与参数'!$G$5:$J$9,2,FALSE),"未入选")</x:f>
        <x:v>未入选</x:v>
      </x:c>
      <x:c r="V46" s="24" t="str">
        <x:f>IFERROR(VLOOKUP(I46,'07_字典与参数'!$G$5:$J$9,3,FALSE),"—")</x:f>
        <x:v>—</x:v>
      </x:c>
      <x:c r="W46" s="24" t="str">
        <x:f>IF(U46="未入选","否","是")</x:f>
        <x:v>否</x:v>
      </x:c>
    </x:row>
    <x:row r="47">
      <x:c r="A47" t="n">
        <x:v>202628</x:v>
      </x:c>
      <x:c r="B47" t="str">
        <x:v>第28期（07.13-07.19）</x:v>
      </x:c>
      <x:c r="C47" t="str">
        <x:v>2026-07-13</x:v>
      </x:c>
      <x:c r="D47" t="str">
        <x:v>2026-07-19</x:v>
      </x:c>
      <x:c r="E47" t="n">
        <x:v>43</x:v>
      </x:c>
      <x:c r="F47" t="n">
        <x:v>532442337</x:v>
      </x:c>
      <x:c r="G47" t="str">
        <x:v>全世界的雨</x:v>
      </x:c>
      <x:c r="H47" t="str">
        <x:v>周深,Ella陈嘉桦</x:v>
      </x:c>
      <x:c r="I47" t="str">
        <x:v>000R5lKk0KJBgG</x:v>
      </x:c>
      <x:c r="J47" t="str">
        <x:v>True</x:v>
      </x:c>
      <x:c r="K47" t="n">
        <x:v>0</x:v>
      </x:c>
      <x:c r="L47" t="n">
        <x:v>1</x:v>
      </x:c>
      <x:c r="M47" t="n">
        <x:v>43</x:v>
      </x:c>
      <x:c r="N47" t="n">
        <x:v>90.73439</x:v>
      </x:c>
      <x:c r="O47" t="n">
        <x:v>73.02</x:v>
      </x:c>
      <x:c r="P47" t="n">
        <x:v>0</x:v>
      </x:c>
      <x:c r="Q47" t="n">
        <x:v>0</x:v>
      </x:c>
      <x:c r="R47" t="n">
        <x:v>60.03</x:v>
      </x:c>
      <x:c r="S47" t="n">
        <x:v>62.63</x:v>
      </x:c>
      <x:c r="T47" t="str">
        <x:v>https://y.gtimg.cn/music/photo_new/T002R500x500M000003K9rwV09UxLk_1.jpg</x:v>
      </x:c>
      <x:c r="U47" s="24" t="str">
        <x:f>IFERROR(VLOOKUP(I47,'07_字典与参数'!$G$5:$J$9,2,FALSE),"未入选")</x:f>
        <x:v>未入选</x:v>
      </x:c>
      <x:c r="V47" s="24" t="str">
        <x:f>IFERROR(VLOOKUP(I47,'07_字典与参数'!$G$5:$J$9,3,FALSE),"—")</x:f>
        <x:v>—</x:v>
      </x:c>
      <x:c r="W47" s="24" t="str">
        <x:f>IF(U47="未入选","否","是")</x:f>
        <x:v>否</x:v>
      </x:c>
    </x:row>
    <x:row r="48">
      <x:c r="A48" t="n">
        <x:v>202628</x:v>
      </x:c>
      <x:c r="B48" t="str">
        <x:v>第28期（07.13-07.19）</x:v>
      </x:c>
      <x:c r="C48" t="str">
        <x:v>2026-07-13</x:v>
      </x:c>
      <x:c r="D48" t="str">
        <x:v>2026-07-19</x:v>
      </x:c>
      <x:c r="E48" t="n">
        <x:v>44</x:v>
      </x:c>
      <x:c r="F48" t="n">
        <x:v>458320813</x:v>
      </x:c>
      <x:c r="G48" t="str">
        <x:v>Someone Like You</x:v>
      </x:c>
      <x:c r="H48" t="str">
        <x:v>张真源</x:v>
      </x:c>
      <x:c r="I48" t="str">
        <x:v>004TaA831D40QG</x:v>
      </x:c>
      <x:c r="J48" t="str">
        <x:v>False</x:v>
      </x:c>
      <x:c r="K48" t="n">
        <x:v>45</x:v>
      </x:c>
      <x:c r="L48" t="n">
        <x:v>27</x:v>
      </x:c>
      <x:c r="M48" t="n">
        <x:v>1</x:v>
      </x:c>
      <x:c r="N48" t="n">
        <x:v>90.71359</x:v>
      </x:c>
      <x:c r="O48" t="n">
        <x:v>52.69</x:v>
      </x:c>
      <x:c r="P48" t="n">
        <x:v>0</x:v>
      </x:c>
      <x:c r="Q48" t="n">
        <x:v>0</x:v>
      </x:c>
      <x:c r="R48" t="n">
        <x:v>6.3</x:v>
      </x:c>
      <x:c r="S48" t="n">
        <x:v>71.58</x:v>
      </x:c>
      <x:c r="T48" t="str">
        <x:v>https://y.gtimg.cn/music/photo_new/T002R500x500M000002P1zsF2O3TDF_1.jpg</x:v>
      </x:c>
      <x:c r="U48" s="24" t="str">
        <x:f>IFERROR(VLOOKUP(I48,'07_字典与参数'!$G$5:$J$9,2,FALSE),"未入选")</x:f>
        <x:v>未入选</x:v>
      </x:c>
      <x:c r="V48" s="24" t="str">
        <x:f>IFERROR(VLOOKUP(I48,'07_字典与参数'!$G$5:$J$9,3,FALSE),"—")</x:f>
        <x:v>—</x:v>
      </x:c>
      <x:c r="W48" s="24" t="str">
        <x:f>IF(U48="未入选","否","是")</x:f>
        <x:v>否</x:v>
      </x:c>
    </x:row>
    <x:row r="49">
      <x:c r="A49" t="n">
        <x:v>202628</x:v>
      </x:c>
      <x:c r="B49" t="str">
        <x:v>第28期（07.13-07.19）</x:v>
      </x:c>
      <x:c r="C49" t="str">
        <x:v>2026-07-13</x:v>
      </x:c>
      <x:c r="D49" t="str">
        <x:v>2026-07-19</x:v>
      </x:c>
      <x:c r="E49" t="n">
        <x:v>45</x:v>
      </x:c>
      <x:c r="F49" t="n">
        <x:v>478777514</x:v>
      </x:c>
      <x:c r="G49" t="str">
        <x:v>有风的日落</x:v>
      </x:c>
      <x:c r="H49" t="str">
        <x:v>万海东</x:v>
      </x:c>
      <x:c r="I49" t="str">
        <x:v>0046Ffh90pkMOs</x:v>
      </x:c>
      <x:c r="J49" t="str">
        <x:v>False</x:v>
      </x:c>
      <x:c r="K49" t="n">
        <x:v>41</x:v>
      </x:c>
      <x:c r="L49" t="n">
        <x:v>10</x:v>
      </x:c>
      <x:c r="M49" t="n">
        <x:v>15</x:v>
      </x:c>
      <x:c r="N49" t="n">
        <x:v>90.64472</x:v>
      </x:c>
      <x:c r="O49" t="n">
        <x:v>81.13</x:v>
      </x:c>
      <x:c r="P49" t="n">
        <x:v>0</x:v>
      </x:c>
      <x:c r="Q49" t="n">
        <x:v>0</x:v>
      </x:c>
      <x:c r="R49" t="n">
        <x:v>40.77</x:v>
      </x:c>
      <x:c r="S49" t="n">
        <x:v>34.96</x:v>
      </x:c>
      <x:c r="T49" t="str">
        <x:v>https://y.gtimg.cn/music/photo_new/T002R500x500M000003ifChN0R3y1H_1.jpg</x:v>
      </x:c>
      <x:c r="U49" s="24" t="str">
        <x:f>IFERROR(VLOOKUP(I49,'07_字典与参数'!$G$5:$J$9,2,FALSE),"未入选")</x:f>
        <x:v>未入选</x:v>
      </x:c>
      <x:c r="V49" s="24" t="str">
        <x:f>IFERROR(VLOOKUP(I49,'07_字典与参数'!$G$5:$J$9,3,FALSE),"—")</x:f>
        <x:v>—</x:v>
      </x:c>
      <x:c r="W49" s="24" t="str">
        <x:f>IF(U49="未入选","否","是")</x:f>
        <x:v>否</x:v>
      </x:c>
    </x:row>
    <x:row r="50">
      <x:c r="A50" t="n">
        <x:v>202628</x:v>
      </x:c>
      <x:c r="B50" t="str">
        <x:v>第28期（07.13-07.19）</x:v>
      </x:c>
      <x:c r="C50" t="str">
        <x:v>2026-07-13</x:v>
      </x:c>
      <x:c r="D50" t="str">
        <x:v>2026-07-19</x:v>
      </x:c>
      <x:c r="E50" t="n">
        <x:v>46</x:v>
      </x:c>
      <x:c r="F50" t="n">
        <x:v>522370777</x:v>
      </x:c>
      <x:c r="G50" t="str">
        <x:v>边界</x:v>
      </x:c>
      <x:c r="H50" t="str">
        <x:v>于文文</x:v>
      </x:c>
      <x:c r="I50" t="str">
        <x:v>001cSUnH33YRo6</x:v>
      </x:c>
      <x:c r="J50" t="str">
        <x:v>True</x:v>
      </x:c>
      <x:c r="K50" t="n">
        <x:v>0</x:v>
      </x:c>
      <x:c r="L50" t="n">
        <x:v>1</x:v>
      </x:c>
      <x:c r="M50" t="n">
        <x:v>46</x:v>
      </x:c>
      <x:c r="N50" t="n">
        <x:v>90.53153</x:v>
      </x:c>
      <x:c r="O50" t="n">
        <x:v>70.17</x:v>
      </x:c>
      <x:c r="P50" t="n">
        <x:v>0</x:v>
      </x:c>
      <x:c r="Q50" t="n">
        <x:v>0</x:v>
      </x:c>
      <x:c r="R50" t="n">
        <x:v>69.18</x:v>
      </x:c>
      <x:c r="S50" t="n">
        <x:v>40.87</x:v>
      </x:c>
      <x:c r="T50" t="str">
        <x:v>https://y.gtimg.cn/music/photo_new/T002R500x500M000001AnXF325jMfu_1.jpg</x:v>
      </x:c>
      <x:c r="U50" s="24" t="str">
        <x:f>IFERROR(VLOOKUP(I50,'07_字典与参数'!$G$5:$J$9,2,FALSE),"未入选")</x:f>
        <x:v>未入选</x:v>
      </x:c>
      <x:c r="V50" s="24" t="str">
        <x:f>IFERROR(VLOOKUP(I50,'07_字典与参数'!$G$5:$J$9,3,FALSE),"—")</x:f>
        <x:v>—</x:v>
      </x:c>
      <x:c r="W50" s="24" t="str">
        <x:f>IF(U50="未入选","否","是")</x:f>
        <x:v>否</x:v>
      </x:c>
    </x:row>
    <x:row r="51">
      <x:c r="A51" t="n">
        <x:v>202628</x:v>
      </x:c>
      <x:c r="B51" t="str">
        <x:v>第28期（07.13-07.19）</x:v>
      </x:c>
      <x:c r="C51" t="str">
        <x:v>2026-07-13</x:v>
      </x:c>
      <x:c r="D51" t="str">
        <x:v>2026-07-19</x:v>
      </x:c>
      <x:c r="E51" t="n">
        <x:v>47</x:v>
      </x:c>
      <x:c r="F51" t="n">
        <x:v>522370785</x:v>
      </x:c>
      <x:c r="G51" t="str">
        <x:v>好演员</x:v>
      </x:c>
      <x:c r="H51" t="str">
        <x:v>于文文</x:v>
      </x:c>
      <x:c r="I51" t="str">
        <x:v>002iTZhl2hFO9j</x:v>
      </x:c>
      <x:c r="J51" t="str">
        <x:v>True</x:v>
      </x:c>
      <x:c r="K51" t="n">
        <x:v>0</x:v>
      </x:c>
      <x:c r="L51" t="n">
        <x:v>1</x:v>
      </x:c>
      <x:c r="M51" t="n">
        <x:v>47</x:v>
      </x:c>
      <x:c r="N51" t="n">
        <x:v>90.51198</x:v>
      </x:c>
      <x:c r="O51" t="n">
        <x:v>73.51</x:v>
      </x:c>
      <x:c r="P51" t="n">
        <x:v>0</x:v>
      </x:c>
      <x:c r="Q51" t="n">
        <x:v>0</x:v>
      </x:c>
      <x:c r="R51" t="n">
        <x:v>66.54</x:v>
      </x:c>
      <x:c r="S51" t="n">
        <x:v>36.92</x:v>
      </x:c>
      <x:c r="T51" t="str">
        <x:v>https://y.gtimg.cn/music/photo_new/T002R500x500M000001AnXF325jMfu_1.jpg</x:v>
      </x:c>
      <x:c r="U51" s="24" t="str">
        <x:f>IFERROR(VLOOKUP(I51,'07_字典与参数'!$G$5:$J$9,2,FALSE),"未入选")</x:f>
        <x:v>未入选</x:v>
      </x:c>
      <x:c r="V51" s="24" t="str">
        <x:f>IFERROR(VLOOKUP(I51,'07_字典与参数'!$G$5:$J$9,3,FALSE),"—")</x:f>
        <x:v>—</x:v>
      </x:c>
      <x:c r="W51" s="24" t="str">
        <x:f>IF(U51="未入选","否","是")</x:f>
        <x:v>否</x:v>
      </x:c>
    </x:row>
    <x:row r="52">
      <x:c r="A52" t="n">
        <x:v>202628</x:v>
      </x:c>
      <x:c r="B52" t="str">
        <x:v>第28期（07.13-07.19）</x:v>
      </x:c>
      <x:c r="C52" t="str">
        <x:v>2026-07-13</x:v>
      </x:c>
      <x:c r="D52" t="str">
        <x:v>2026-07-19</x:v>
      </x:c>
      <x:c r="E52" t="n">
        <x:v>48</x:v>
      </x:c>
      <x:c r="F52" t="n">
        <x:v>530399436</x:v>
      </x:c>
      <x:c r="G52" t="str">
        <x:v>Badi Badi</x:v>
      </x:c>
      <x:c r="H52" t="str">
        <x:v>王俊凯</x:v>
      </x:c>
      <x:c r="I52" t="str">
        <x:v>003DPd5i2qrCU7</x:v>
      </x:c>
      <x:c r="J52" t="str">
        <x:v>False</x:v>
      </x:c>
      <x:c r="K52" t="n">
        <x:v>7</x:v>
      </x:c>
      <x:c r="L52" t="n">
        <x:v>2</x:v>
      </x:c>
      <x:c r="M52" t="n">
        <x:v>7</x:v>
      </x:c>
      <x:c r="N52" t="n">
        <x:v>90.41232</x:v>
      </x:c>
      <x:c r="O52" t="n">
        <x:v>76.04</x:v>
      </x:c>
      <x:c r="P52" t="n">
        <x:v>0</x:v>
      </x:c>
      <x:c r="Q52" t="n">
        <x:v>0</x:v>
      </x:c>
      <x:c r="R52" t="n">
        <x:v>55.47</x:v>
      </x:c>
      <x:c r="S52" t="n">
        <x:v>54.54</x:v>
      </x:c>
      <x:c r="T52" t="str">
        <x:v>https://y.qq.com/music/photo_new/T062R500x500M00000263WWe1mlRaa.jpg</x:v>
      </x:c>
      <x:c r="U52" s="24" t="str">
        <x:f>IFERROR(VLOOKUP(I52,'07_字典与参数'!$G$5:$J$9,2,FALSE),"未入选")</x:f>
        <x:v>未入选</x:v>
      </x:c>
      <x:c r="V52" s="24" t="str">
        <x:f>IFERROR(VLOOKUP(I52,'07_字典与参数'!$G$5:$J$9,3,FALSE),"—")</x:f>
        <x:v>—</x:v>
      </x:c>
      <x:c r="W52" s="24" t="str">
        <x:f>IF(U52="未入选","否","是")</x:f>
        <x:v>否</x:v>
      </x:c>
    </x:row>
    <x:row r="53">
      <x:c r="A53" t="n">
        <x:v>202628</x:v>
      </x:c>
      <x:c r="B53" t="str">
        <x:v>第28期（07.13-07.19）</x:v>
      </x:c>
      <x:c r="C53" t="str">
        <x:v>2026-07-13</x:v>
      </x:c>
      <x:c r="D53" t="str">
        <x:v>2026-07-19</x:v>
      </x:c>
      <x:c r="E53" t="n">
        <x:v>49</x:v>
      </x:c>
      <x:c r="F53" t="n">
        <x:v>511364187</x:v>
      </x:c>
      <x:c r="G53" t="str">
        <x:v>挽红纱</x:v>
      </x:c>
      <x:c r="H53" t="str">
        <x:v>龚琳娜,张云雷</x:v>
      </x:c>
      <x:c r="I53" t="str">
        <x:v>000QQHy712ZX4T</x:v>
      </x:c>
      <x:c r="J53" t="str">
        <x:v>False</x:v>
      </x:c>
      <x:c r="K53" t="n">
        <x:v>44</x:v>
      </x:c>
      <x:c r="L53" t="n">
        <x:v>5</x:v>
      </x:c>
      <x:c r="M53" t="n">
        <x:v>7</x:v>
      </x:c>
      <x:c r="N53" t="n">
        <x:v>90.39461</x:v>
      </x:c>
      <x:c r="O53" t="n">
        <x:v>62.95</x:v>
      </x:c>
      <x:c r="P53" t="n">
        <x:v>0</x:v>
      </x:c>
      <x:c r="Q53" t="n">
        <x:v>0</x:v>
      </x:c>
      <x:c r="R53" t="n">
        <x:v>21.69</x:v>
      </x:c>
      <x:c r="S53" t="n">
        <x:v>70.07</x:v>
      </x:c>
      <x:c r="T53" t="str">
        <x:v>https://y.gtimg.cn/music/photo_new/T002R500x500M000000r1HER3uMIFZ_1.jpg</x:v>
      </x:c>
      <x:c r="U53" s="24" t="n">
        <x:f>IFERROR(VLOOKUP(I53,'07_字典与参数'!$G$5:$J$9,2,FALSE),"未入选")</x:f>
        <x:v>73.2</x:v>
      </x:c>
      <x:c r="V53" s="24" t="str">
        <x:f>IFERROR(VLOOKUP(I53,'07_字典与参数'!$G$5:$J$9,3,FALSE),"—")</x:f>
        <x:v>挽红纱</x:v>
      </x:c>
      <x:c r="W53" s="24" t="str">
        <x:f>IF(U53="未入选","否","是")</x:f>
        <x:v>是</x:v>
      </x:c>
    </x:row>
    <x:row r="54">
      <x:c r="A54" t="n">
        <x:v>202628</x:v>
      </x:c>
      <x:c r="B54" t="str">
        <x:v>第28期（07.13-07.19）</x:v>
      </x:c>
      <x:c r="C54" t="str">
        <x:v>2026-07-13</x:v>
      </x:c>
      <x:c r="D54" t="str">
        <x:v>2026-07-19</x:v>
      </x:c>
      <x:c r="E54" t="n">
        <x:v>50</x:v>
      </x:c>
      <x:c r="F54" t="n">
        <x:v>530399435</x:v>
      </x:c>
      <x:c r="G54" t="str">
        <x:v>破晓</x:v>
      </x:c>
      <x:c r="H54" t="str">
        <x:v>王俊凯</x:v>
      </x:c>
      <x:c r="I54" t="str">
        <x:v>001IXEnW4OmqLF</x:v>
      </x:c>
      <x:c r="J54" t="str">
        <x:v>False</x:v>
      </x:c>
      <x:c r="K54" t="n">
        <x:v>1</x:v>
      </x:c>
      <x:c r="L54" t="n">
        <x:v>2</x:v>
      </x:c>
      <x:c r="M54" t="n">
        <x:v>1</x:v>
      </x:c>
      <x:c r="N54" t="n">
        <x:v>90.37637</x:v>
      </x:c>
      <x:c r="O54" t="n">
        <x:v>75.35</x:v>
      </x:c>
      <x:c r="P54" t="n">
        <x:v>0</x:v>
      </x:c>
      <x:c r="Q54" t="n">
        <x:v>0</x:v>
      </x:c>
      <x:c r="R54" t="n">
        <x:v>52.32</x:v>
      </x:c>
      <x:c r="S54" t="n">
        <x:v>58.97</x:v>
      </x:c>
      <x:c r="T54" t="str">
        <x:v>https://y.qq.com/music/photo_new/T062R500x500M000004EhfP90kZ9le.jpg</x:v>
      </x:c>
      <x:c r="U54" s="24" t="str">
        <x:f>IFERROR(VLOOKUP(I54,'07_字典与参数'!$G$5:$J$9,2,FALSE),"未入选")</x:f>
        <x:v>未入选</x:v>
      </x:c>
      <x:c r="V54" s="24" t="str">
        <x:f>IFERROR(VLOOKUP(I54,'07_字典与参数'!$G$5:$J$9,3,FALSE),"—")</x:f>
        <x:v>—</x:v>
      </x:c>
      <x:c r="W54" s="24" t="str">
        <x:f>IF(U54="未入选","否","是")</x:f>
        <x:v>否</x:v>
      </x:c>
    </x:row>
    <x:row r="55">
      <x:c r="A55" t="n">
        <x:v>202628</x:v>
      </x:c>
      <x:c r="B55" t="str">
        <x:v>第28期（07.13-07.19）</x:v>
      </x:c>
      <x:c r="C55" t="str">
        <x:v>2026-07-13</x:v>
      </x:c>
      <x:c r="D55" t="str">
        <x:v>2026-07-19</x:v>
      </x:c>
      <x:c r="E55" t="n">
        <x:v>51</x:v>
      </x:c>
      <x:c r="F55" t="n">
        <x:v>512187104</x:v>
      </x:c>
      <x:c r="G55" t="str">
        <x:v>你本就是光</x:v>
      </x:c>
      <x:c r="H55" t="str">
        <x:v>刘亦辰</x:v>
      </x:c>
      <x:c r="I55" t="str">
        <x:v>000ayLmZ0gCLWV</x:v>
      </x:c>
      <x:c r="J55" t="str">
        <x:v>False</x:v>
      </x:c>
      <x:c r="K55" t="n">
        <x:v>34</x:v>
      </x:c>
      <x:c r="L55" t="n">
        <x:v>2</x:v>
      </x:c>
      <x:c r="M55" t="n">
        <x:v>34</x:v>
      </x:c>
      <x:c r="N55" t="n">
        <x:v>90.30061</x:v>
      </x:c>
      <x:c r="O55" t="n">
        <x:v>80.69</x:v>
      </x:c>
      <x:c r="P55" t="n">
        <x:v>0</x:v>
      </x:c>
      <x:c r="Q55" t="n">
        <x:v>0</x:v>
      </x:c>
      <x:c r="R55" t="n">
        <x:v>11.12</x:v>
      </x:c>
      <x:c r="S55" t="n">
        <x:v>15.52</x:v>
      </x:c>
      <x:c r="T55" t="str">
        <x:v>https://y.gtimg.cn/music/photo_new/T002R500x500M0000002Qetd2gtePo_2.jpg</x:v>
      </x:c>
      <x:c r="U55" s="24" t="str">
        <x:f>IFERROR(VLOOKUP(I55,'07_字典与参数'!$G$5:$J$9,2,FALSE),"未入选")</x:f>
        <x:v>未入选</x:v>
      </x:c>
      <x:c r="V55" s="24" t="str">
        <x:f>IFERROR(VLOOKUP(I55,'07_字典与参数'!$G$5:$J$9,3,FALSE),"—")</x:f>
        <x:v>—</x:v>
      </x:c>
      <x:c r="W55" s="24" t="str">
        <x:f>IF(U55="未入选","否","是")</x:f>
        <x:v>否</x:v>
      </x:c>
    </x:row>
    <x:row r="56">
      <x:c r="A56" t="n">
        <x:v>202628</x:v>
      </x:c>
      <x:c r="B56" t="str">
        <x:v>第28期（07.13-07.19）</x:v>
      </x:c>
      <x:c r="C56" t="str">
        <x:v>2026-07-13</x:v>
      </x:c>
      <x:c r="D56" t="str">
        <x:v>2026-07-19</x:v>
      </x:c>
      <x:c r="E56" t="n">
        <x:v>52</x:v>
      </x:c>
      <x:c r="F56" t="n">
        <x:v>531874518</x:v>
      </x:c>
      <x:c r="G56" t="str">
        <x:v>选择题</x:v>
      </x:c>
      <x:c r="H56" t="str">
        <x:v>鹭卓</x:v>
      </x:c>
      <x:c r="I56" t="str">
        <x:v>002ywSq61rnSBt</x:v>
      </x:c>
      <x:c r="J56" t="str">
        <x:v>True</x:v>
      </x:c>
      <x:c r="K56" t="n">
        <x:v>0</x:v>
      </x:c>
      <x:c r="L56" t="n">
        <x:v>1</x:v>
      </x:c>
      <x:c r="M56" t="n">
        <x:v>52</x:v>
      </x:c>
      <x:c r="N56" t="n">
        <x:v>90.28403</x:v>
      </x:c>
      <x:c r="O56" t="n">
        <x:v>75.92</x:v>
      </x:c>
      <x:c r="P56" t="n">
        <x:v>0</x:v>
      </x:c>
      <x:c r="Q56" t="n">
        <x:v>0</x:v>
      </x:c>
      <x:c r="R56" t="n">
        <x:v>25.71</x:v>
      </x:c>
      <x:c r="S56" t="n">
        <x:v>61.37</x:v>
      </x:c>
      <x:c r="T56" t="str">
        <x:v>https://y.gtimg.cn/music/photo_new/T002R500x500M000002c83pC3o9r3T_1.jpg</x:v>
      </x:c>
      <x:c r="U56" s="24" t="str">
        <x:f>IFERROR(VLOOKUP(I56,'07_字典与参数'!$G$5:$J$9,2,FALSE),"未入选")</x:f>
        <x:v>未入选</x:v>
      </x:c>
      <x:c r="V56" s="24" t="str">
        <x:f>IFERROR(VLOOKUP(I56,'07_字典与参数'!$G$5:$J$9,3,FALSE),"—")</x:f>
        <x:v>—</x:v>
      </x:c>
      <x:c r="W56" s="24" t="str">
        <x:f>IF(U56="未入选","否","是")</x:f>
        <x:v>否</x:v>
      </x:c>
    </x:row>
    <x:row r="57">
      <x:c r="A57" t="n">
        <x:v>202628</x:v>
      </x:c>
      <x:c r="B57" t="str">
        <x:v>第28期（07.13-07.19）</x:v>
      </x:c>
      <x:c r="C57" t="str">
        <x:v>2026-07-13</x:v>
      </x:c>
      <x:c r="D57" t="str">
        <x:v>2026-07-19</x:v>
      </x:c>
      <x:c r="E57" t="n">
        <x:v>53</x:v>
      </x:c>
      <x:c r="F57" t="n">
        <x:v>531082488</x:v>
      </x:c>
      <x:c r="G57" t="str">
        <x:v>Bad Boy</x:v>
      </x:c>
      <x:c r="H57" t="str">
        <x:v>万妮达Vinida Weng</x:v>
      </x:c>
      <x:c r="I57" t="str">
        <x:v>003twp2w4OaRcC</x:v>
      </x:c>
      <x:c r="J57" t="str">
        <x:v>True</x:v>
      </x:c>
      <x:c r="K57" t="n">
        <x:v>148</x:v>
      </x:c>
      <x:c r="L57" t="n">
        <x:v>1</x:v>
      </x:c>
      <x:c r="M57" t="n">
        <x:v>53</x:v>
      </x:c>
      <x:c r="N57" t="n">
        <x:v>90.26874</x:v>
      </x:c>
      <x:c r="O57" t="n">
        <x:v>80.47</x:v>
      </x:c>
      <x:c r="P57" t="n">
        <x:v>0</x:v>
      </x:c>
      <x:c r="Q57" t="n">
        <x:v>0</x:v>
      </x:c>
      <x:c r="R57" t="n">
        <x:v>11.22</x:v>
      </x:c>
      <x:c r="S57" t="n">
        <x:v>35.25</x:v>
      </x:c>
      <x:c r="T57" t="str">
        <x:v>https://y.gtimg.cn/music/photo_new/T002R500x500M0000005bCtH469HXW_1.jpg</x:v>
      </x:c>
      <x:c r="U57" s="24" t="str">
        <x:f>IFERROR(VLOOKUP(I57,'07_字典与参数'!$G$5:$J$9,2,FALSE),"未入选")</x:f>
        <x:v>未入选</x:v>
      </x:c>
      <x:c r="V57" s="24" t="str">
        <x:f>IFERROR(VLOOKUP(I57,'07_字典与参数'!$G$5:$J$9,3,FALSE),"—")</x:f>
        <x:v>—</x:v>
      </x:c>
      <x:c r="W57" s="24" t="str">
        <x:f>IF(U57="未入选","否","是")</x:f>
        <x:v>否</x:v>
      </x:c>
    </x:row>
    <x:row r="58">
      <x:c r="A58" t="n">
        <x:v>202628</x:v>
      </x:c>
      <x:c r="B58" t="str">
        <x:v>第28期（07.13-07.19）</x:v>
      </x:c>
      <x:c r="C58" t="str">
        <x:v>2026-07-13</x:v>
      </x:c>
      <x:c r="D58" t="str">
        <x:v>2026-07-19</x:v>
      </x:c>
      <x:c r="E58" t="n">
        <x:v>54</x:v>
      </x:c>
      <x:c r="F58" t="n">
        <x:v>487550585</x:v>
      </x:c>
      <x:c r="G58" t="str">
        <x:v>主角</x:v>
      </x:c>
      <x:c r="H58" t="str">
        <x:v>王菲</x:v>
      </x:c>
      <x:c r="I58" t="str">
        <x:v>001uywZc1PxmVv</x:v>
      </x:c>
      <x:c r="J58" t="str">
        <x:v>False</x:v>
      </x:c>
      <x:c r="K58" t="n">
        <x:v>46</x:v>
      </x:c>
      <x:c r="L58" t="n">
        <x:v>11</x:v>
      </x:c>
      <x:c r="M58" t="n">
        <x:v>11</x:v>
      </x:c>
      <x:c r="N58" t="n">
        <x:v>90.26046</x:v>
      </x:c>
      <x:c r="O58" t="n">
        <x:v>79.15</x:v>
      </x:c>
      <x:c r="P58" t="n">
        <x:v>0</x:v>
      </x:c>
      <x:c r="Q58" t="n">
        <x:v>0</x:v>
      </x:c>
      <x:c r="R58" t="n">
        <x:v>43.43</x:v>
      </x:c>
      <x:c r="S58" t="n">
        <x:v>42.54</x:v>
      </x:c>
      <x:c r="T58" t="str">
        <x:v>https://y.gtimg.cn/music/photo_new/T002R500x500M0000014oHsO311mVp_1.jpg</x:v>
      </x:c>
      <x:c r="U58" s="24" t="str">
        <x:f>IFERROR(VLOOKUP(I58,'07_字典与参数'!$G$5:$J$9,2,FALSE),"未入选")</x:f>
        <x:v>未入选</x:v>
      </x:c>
      <x:c r="V58" s="24" t="str">
        <x:f>IFERROR(VLOOKUP(I58,'07_字典与参数'!$G$5:$J$9,3,FALSE),"—")</x:f>
        <x:v>—</x:v>
      </x:c>
      <x:c r="W58" s="24" t="str">
        <x:f>IF(U58="未入选","否","是")</x:f>
        <x:v>否</x:v>
      </x:c>
    </x:row>
    <x:row r="59">
      <x:c r="A59" t="n">
        <x:v>202628</x:v>
      </x:c>
      <x:c r="B59" t="str">
        <x:v>第28期（07.13-07.19）</x:v>
      </x:c>
      <x:c r="C59" t="str">
        <x:v>2026-07-13</x:v>
      </x:c>
      <x:c r="D59" t="str">
        <x:v>2026-07-19</x:v>
      </x:c>
      <x:c r="E59" t="n">
        <x:v>55</x:v>
      </x:c>
      <x:c r="F59" t="n">
        <x:v>531090462</x:v>
      </x:c>
      <x:c r="G59" t="str">
        <x:v>知我</x:v>
      </x:c>
      <x:c r="H59" t="str">
        <x:v>刘雨昕</x:v>
      </x:c>
      <x:c r="I59" t="str">
        <x:v>0044ggkk0zpdKI</x:v>
      </x:c>
      <x:c r="J59" t="str">
        <x:v>True</x:v>
      </x:c>
      <x:c r="K59" t="n">
        <x:v>0</x:v>
      </x:c>
      <x:c r="L59" t="n">
        <x:v>1</x:v>
      </x:c>
      <x:c r="M59" t="n">
        <x:v>55</x:v>
      </x:c>
      <x:c r="N59" t="n">
        <x:v>90.16416</x:v>
      </x:c>
      <x:c r="O59" t="n">
        <x:v>70.84</x:v>
      </x:c>
      <x:c r="P59" t="n">
        <x:v>0</x:v>
      </x:c>
      <x:c r="Q59" t="n">
        <x:v>0</x:v>
      </x:c>
      <x:c r="R59" t="n">
        <x:v>38.3</x:v>
      </x:c>
      <x:c r="S59" t="n">
        <x:v>64.16</x:v>
      </x:c>
      <x:c r="T59" t="str">
        <x:v>https://y.qq.com/music/photo_new/T062R500x500M000003ywZr62dmsxA.jpg</x:v>
      </x:c>
      <x:c r="U59" s="24" t="str">
        <x:f>IFERROR(VLOOKUP(I59,'07_字典与参数'!$G$5:$J$9,2,FALSE),"未入选")</x:f>
        <x:v>未入选</x:v>
      </x:c>
      <x:c r="V59" s="24" t="str">
        <x:f>IFERROR(VLOOKUP(I59,'07_字典与参数'!$G$5:$J$9,3,FALSE),"—")</x:f>
        <x:v>—</x:v>
      </x:c>
      <x:c r="W59" s="24" t="str">
        <x:f>IF(U59="未入选","否","是")</x:f>
        <x:v>否</x:v>
      </x:c>
    </x:row>
    <x:row r="60">
      <x:c r="A60" t="n">
        <x:v>202628</x:v>
      </x:c>
      <x:c r="B60" t="str">
        <x:v>第28期（07.13-07.19）</x:v>
      </x:c>
      <x:c r="C60" t="str">
        <x:v>2026-07-13</x:v>
      </x:c>
      <x:c r="D60" t="str">
        <x:v>2026-07-19</x:v>
      </x:c>
      <x:c r="E60" t="n">
        <x:v>56</x:v>
      </x:c>
      <x:c r="F60" t="n">
        <x:v>518582456</x:v>
      </x:c>
      <x:c r="G60" t="str">
        <x:v>相思锁</x:v>
      </x:c>
      <x:c r="H60" t="str">
        <x:v>张真源</x:v>
      </x:c>
      <x:c r="I60" t="str">
        <x:v>000EQX6y3kMOYI</x:v>
      </x:c>
      <x:c r="J60" t="str">
        <x:v>False</x:v>
      </x:c>
      <x:c r="K60" t="n">
        <x:v>22</x:v>
      </x:c>
      <x:c r="L60" t="n">
        <x:v>3</x:v>
      </x:c>
      <x:c r="M60" t="n">
        <x:v>2</x:v>
      </x:c>
      <x:c r="N60" t="n">
        <x:v>90.14277</x:v>
      </x:c>
      <x:c r="O60" t="n">
        <x:v>71.41</x:v>
      </x:c>
      <x:c r="P60" t="n">
        <x:v>0</x:v>
      </x:c>
      <x:c r="Q60" t="n">
        <x:v>0</x:v>
      </x:c>
      <x:c r="R60" t="n">
        <x:v>33.8</x:v>
      </x:c>
      <x:c r="S60" t="n">
        <x:v>63.87</x:v>
      </x:c>
      <x:c r="T60" t="str">
        <x:v>https://y.gtimg.cn/music/photo_new/T002R500x500M000003YtOnb3UDtqO_2.jpg</x:v>
      </x:c>
      <x:c r="U60" s="24" t="str">
        <x:f>IFERROR(VLOOKUP(I60,'07_字典与参数'!$G$5:$J$9,2,FALSE),"未入选")</x:f>
        <x:v>未入选</x:v>
      </x:c>
      <x:c r="V60" s="24" t="str">
        <x:f>IFERROR(VLOOKUP(I60,'07_字典与参数'!$G$5:$J$9,3,FALSE),"—")</x:f>
        <x:v>—</x:v>
      </x:c>
      <x:c r="W60" s="24" t="str">
        <x:f>IF(U60="未入选","否","是")</x:f>
        <x:v>否</x:v>
      </x:c>
    </x:row>
    <x:row r="61">
      <x:c r="A61" t="n">
        <x:v>202628</x:v>
      </x:c>
      <x:c r="B61" t="str">
        <x:v>第28期（07.13-07.19）</x:v>
      </x:c>
      <x:c r="C61" t="str">
        <x:v>2026-07-13</x:v>
      </x:c>
      <x:c r="D61" t="str">
        <x:v>2026-07-19</x:v>
      </x:c>
      <x:c r="E61" t="n">
        <x:v>57</x:v>
      </x:c>
      <x:c r="F61" t="n">
        <x:v>499329279</x:v>
      </x:c>
      <x:c r="G61" t="str">
        <x:v>山歌追上云朵</x:v>
      </x:c>
      <x:c r="H61" t="str">
        <x:v>央金拉姆</x:v>
      </x:c>
      <x:c r="I61" t="str">
        <x:v>004RglME1g9lJV</x:v>
      </x:c>
      <x:c r="J61" t="str">
        <x:v>False</x:v>
      </x:c>
      <x:c r="K61" t="n">
        <x:v>60</x:v>
      </x:c>
      <x:c r="L61" t="n">
        <x:v>6</x:v>
      </x:c>
      <x:c r="M61" t="n">
        <x:v>39</x:v>
      </x:c>
      <x:c r="N61" t="n">
        <x:v>90.02824</x:v>
      </x:c>
      <x:c r="O61" t="n">
        <x:v>77.52</x:v>
      </x:c>
      <x:c r="P61" t="n">
        <x:v>0</x:v>
      </x:c>
      <x:c r="Q61" t="n">
        <x:v>0</x:v>
      </x:c>
      <x:c r="R61" t="n">
        <x:v>40.39</x:v>
      </x:c>
      <x:c r="S61" t="n">
        <x:v>46.58</x:v>
      </x:c>
      <x:c r="T61" t="str">
        <x:v>https://y.gtimg.cn/music/photo_new/T002R500x500M000004N13wG44oqY1_1.jpg</x:v>
      </x:c>
      <x:c r="U61" s="24" t="str">
        <x:f>IFERROR(VLOOKUP(I61,'07_字典与参数'!$G$5:$J$9,2,FALSE),"未入选")</x:f>
        <x:v>未入选</x:v>
      </x:c>
      <x:c r="V61" s="24" t="str">
        <x:f>IFERROR(VLOOKUP(I61,'07_字典与参数'!$G$5:$J$9,3,FALSE),"—")</x:f>
        <x:v>—</x:v>
      </x:c>
      <x:c r="W61" s="24" t="str">
        <x:f>IF(U61="未入选","否","是")</x:f>
        <x:v>否</x:v>
      </x:c>
    </x:row>
    <x:row r="62">
      <x:c r="A62" t="n">
        <x:v>202628</x:v>
      </x:c>
      <x:c r="B62" t="str">
        <x:v>第28期（07.13-07.19）</x:v>
      </x:c>
      <x:c r="C62" t="str">
        <x:v>2026-07-13</x:v>
      </x:c>
      <x:c r="D62" t="str">
        <x:v>2026-07-19</x:v>
      </x:c>
      <x:c r="E62" t="n">
        <x:v>58</x:v>
      </x:c>
      <x:c r="F62" t="n">
        <x:v>486022788</x:v>
      </x:c>
      <x:c r="G62" t="str">
        <x:v>两世洞天</x:v>
      </x:c>
      <x:c r="H62" t="str">
        <x:v>黄星</x:v>
      </x:c>
      <x:c r="I62" t="str">
        <x:v>001rRVzh2m7RJB</x:v>
      </x:c>
      <x:c r="J62" t="str">
        <x:v>False</x:v>
      </x:c>
      <x:c r="K62" t="n">
        <x:v>57</x:v>
      </x:c>
      <x:c r="L62" t="n">
        <x:v>7</x:v>
      </x:c>
      <x:c r="M62" t="n">
        <x:v>15</x:v>
      </x:c>
      <x:c r="N62" t="n">
        <x:v>90.02748</x:v>
      </x:c>
      <x:c r="O62" t="n">
        <x:v>50.74</x:v>
      </x:c>
      <x:c r="P62" t="n">
        <x:v>0</x:v>
      </x:c>
      <x:c r="Q62" t="n">
        <x:v>0</x:v>
      </x:c>
      <x:c r="R62" t="n">
        <x:v>8</x:v>
      </x:c>
      <x:c r="S62" t="n">
        <x:v>68.61</x:v>
      </x:c>
      <x:c r="T62" t="str">
        <x:v>https://y.gtimg.cn/music/photo_new/T002R500x500M0000001ze381iKWmo_2.jpg</x:v>
      </x:c>
      <x:c r="U62" s="24" t="n">
        <x:f>IFERROR(VLOOKUP(I62,'07_字典与参数'!$G$5:$J$9,2,FALSE),"未入选")</x:f>
        <x:v>75.8</x:v>
      </x:c>
      <x:c r="V62" s="24" t="str">
        <x:f>IFERROR(VLOOKUP(I62,'07_字典与参数'!$G$5:$J$9,3,FALSE),"—")</x:f>
        <x:v>两世洞天</x:v>
      </x:c>
      <x:c r="W62" s="24" t="str">
        <x:f>IF(U62="未入选","否","是")</x:f>
        <x:v>是</x:v>
      </x:c>
    </x:row>
    <x:row r="63">
      <x:c r="A63" t="n">
        <x:v>202628</x:v>
      </x:c>
      <x:c r="B63" t="str">
        <x:v>第28期（07.13-07.19）</x:v>
      </x:c>
      <x:c r="C63" t="str">
        <x:v>2026-07-13</x:v>
      </x:c>
      <x:c r="D63" t="str">
        <x:v>2026-07-19</x:v>
      </x:c>
      <x:c r="E63" t="n">
        <x:v>59</x:v>
      </x:c>
      <x:c r="F63" t="n">
        <x:v>466598714</x:v>
      </x:c>
      <x:c r="G63" t="str">
        <x:v>人间共鸣</x:v>
      </x:c>
      <x:c r="H63" t="str">
        <x:v>李健</x:v>
      </x:c>
      <x:c r="I63" t="str">
        <x:v>001ve92b4N7wT1</x:v>
      </x:c>
      <x:c r="J63" t="str">
        <x:v>False</x:v>
      </x:c>
      <x:c r="K63" t="n">
        <x:v>62</x:v>
      </x:c>
      <x:c r="L63" t="n">
        <x:v>23</x:v>
      </x:c>
      <x:c r="M63" t="n">
        <x:v>4</x:v>
      </x:c>
      <x:c r="N63" t="n">
        <x:v>89.81555</x:v>
      </x:c>
      <x:c r="O63" t="n">
        <x:v>77.78</x:v>
      </x:c>
      <x:c r="P63" t="n">
        <x:v>0</x:v>
      </x:c>
      <x:c r="Q63" t="n">
        <x:v>0</x:v>
      </x:c>
      <x:c r="R63" t="n">
        <x:v>35.42</x:v>
      </x:c>
      <x:c r="S63" t="n">
        <x:v>44.09</x:v>
      </x:c>
      <x:c r="T63" t="str">
        <x:v>https://y.gtimg.cn/music/photo_new/T002R500x500M000003RVJjp1svtyz_1.jpg</x:v>
      </x:c>
      <x:c r="U63" s="24" t="str">
        <x:f>IFERROR(VLOOKUP(I63,'07_字典与参数'!$G$5:$J$9,2,FALSE),"未入选")</x:f>
        <x:v>未入选</x:v>
      </x:c>
      <x:c r="V63" s="24" t="str">
        <x:f>IFERROR(VLOOKUP(I63,'07_字典与参数'!$G$5:$J$9,3,FALSE),"—")</x:f>
        <x:v>—</x:v>
      </x:c>
      <x:c r="W63" s="24" t="str">
        <x:f>IF(U63="未入选","否","是")</x:f>
        <x:v>否</x:v>
      </x:c>
    </x:row>
    <x:row r="64">
      <x:c r="A64" t="n">
        <x:v>202628</x:v>
      </x:c>
      <x:c r="B64" t="str">
        <x:v>第28期（07.13-07.19）</x:v>
      </x:c>
      <x:c r="C64" t="str">
        <x:v>2026-07-13</x:v>
      </x:c>
      <x:c r="D64" t="str">
        <x:v>2026-07-19</x:v>
      </x:c>
      <x:c r="E64" t="n">
        <x:v>60</x:v>
      </x:c>
      <x:c r="F64" t="n">
        <x:v>524476063</x:v>
      </x:c>
      <x:c r="G64" t="str">
        <x:v>一直下</x:v>
      </x:c>
      <x:c r="H64" t="str">
        <x:v>陈宇祥</x:v>
      </x:c>
      <x:c r="I64" t="str">
        <x:v>002GlLlX2IsyYr</x:v>
      </x:c>
      <x:c r="J64" t="str">
        <x:v>True</x:v>
      </x:c>
      <x:c r="K64" t="n">
        <x:v>150</x:v>
      </x:c>
      <x:c r="L64" t="n">
        <x:v>1</x:v>
      </x:c>
      <x:c r="M64" t="n">
        <x:v>60</x:v>
      </x:c>
      <x:c r="N64" t="n">
        <x:v>89.74172</x:v>
      </x:c>
      <x:c r="O64" t="n">
        <x:v>79.28</x:v>
      </x:c>
      <x:c r="P64" t="n">
        <x:v>0</x:v>
      </x:c>
      <x:c r="Q64" t="n">
        <x:v>0</x:v>
      </x:c>
      <x:c r="R64" t="n">
        <x:v>7.49</x:v>
      </x:c>
      <x:c r="S64" t="n">
        <x:v>22.42</x:v>
      </x:c>
      <x:c r="T64" t="str">
        <x:v>https://y.gtimg.cn/music/photo_new/T002R500x500M0000036ad3O39VsR1_1.jpg</x:v>
      </x:c>
      <x:c r="U64" s="24" t="str">
        <x:f>IFERROR(VLOOKUP(I64,'07_字典与参数'!$G$5:$J$9,2,FALSE),"未入选")</x:f>
        <x:v>未入选</x:v>
      </x:c>
      <x:c r="V64" s="24" t="str">
        <x:f>IFERROR(VLOOKUP(I64,'07_字典与参数'!$G$5:$J$9,3,FALSE),"—")</x:f>
        <x:v>—</x:v>
      </x:c>
      <x:c r="W64" s="24" t="str">
        <x:f>IF(U64="未入选","否","是")</x:f>
        <x:v>否</x:v>
      </x:c>
    </x:row>
    <x:row r="65">
      <x:c r="A65" t="n">
        <x:v>202628</x:v>
      </x:c>
      <x:c r="B65" t="str">
        <x:v>第28期（07.13-07.19）</x:v>
      </x:c>
      <x:c r="C65" t="str">
        <x:v>2026-07-13</x:v>
      </x:c>
      <x:c r="D65" t="str">
        <x:v>2026-07-19</x:v>
      </x:c>
      <x:c r="E65" t="n">
        <x:v>61</x:v>
      </x:c>
      <x:c r="F65" t="n">
        <x:v>521720356</x:v>
      </x:c>
      <x:c r="G65" t="str">
        <x:v>疑疑疑</x:v>
      </x:c>
      <x:c r="H65" t="str">
        <x:v>王俊凯</x:v>
      </x:c>
      <x:c r="I65" t="str">
        <x:v>003Y82u91ZIDmO</x:v>
      </x:c>
      <x:c r="J65" t="str">
        <x:v>False</x:v>
      </x:c>
      <x:c r="K65" t="n">
        <x:v>32</x:v>
      </x:c>
      <x:c r="L65" t="n">
        <x:v>3</x:v>
      </x:c>
      <x:c r="M65" t="n">
        <x:v>3</x:v>
      </x:c>
      <x:c r="N65" t="n">
        <x:v>89.4914</x:v>
      </x:c>
      <x:c r="O65" t="n">
        <x:v>75.22</x:v>
      </x:c>
      <x:c r="P65" t="n">
        <x:v>0</x:v>
      </x:c>
      <x:c r="Q65" t="n">
        <x:v>0</x:v>
      </x:c>
      <x:c r="R65" t="n">
        <x:v>47.18</x:v>
      </x:c>
      <x:c r="S65" t="n">
        <x:v>51.73</x:v>
      </x:c>
      <x:c r="T65" t="str">
        <x:v>https://y.qq.com/music/photo_new/T062R500x500M000001RGf6N2Plzq6.jpg</x:v>
      </x:c>
      <x:c r="U65" s="24" t="str">
        <x:f>IFERROR(VLOOKUP(I65,'07_字典与参数'!$G$5:$J$9,2,FALSE),"未入选")</x:f>
        <x:v>未入选</x:v>
      </x:c>
      <x:c r="V65" s="24" t="str">
        <x:f>IFERROR(VLOOKUP(I65,'07_字典与参数'!$G$5:$J$9,3,FALSE),"—")</x:f>
        <x:v>—</x:v>
      </x:c>
      <x:c r="W65" s="24" t="str">
        <x:f>IF(U65="未入选","否","是")</x:f>
        <x:v>否</x:v>
      </x:c>
    </x:row>
    <x:row r="66">
      <x:c r="A66" t="n">
        <x:v>202628</x:v>
      </x:c>
      <x:c r="B66" t="str">
        <x:v>第28期（07.13-07.19）</x:v>
      </x:c>
      <x:c r="C66" t="str">
        <x:v>2026-07-13</x:v>
      </x:c>
      <x:c r="D66" t="str">
        <x:v>2026-07-19</x:v>
      </x:c>
      <x:c r="E66" t="n">
        <x:v>62</x:v>
      </x:c>
      <x:c r="F66" t="n">
        <x:v>474412516</x:v>
      </x:c>
      <x:c r="G66" t="str">
        <x:v>爱琴海</x:v>
      </x:c>
      <x:c r="H66" t="str">
        <x:v>周杰伦</x:v>
      </x:c>
      <x:c r="I66" t="str">
        <x:v>003WPrjL4dimFE</x:v>
      </x:c>
      <x:c r="J66" t="str">
        <x:v>False</x:v>
      </x:c>
      <x:c r="K66" t="n">
        <x:v>63</x:v>
      </x:c>
      <x:c r="L66" t="n">
        <x:v>17</x:v>
      </x:c>
      <x:c r="M66" t="n">
        <x:v>4</x:v>
      </x:c>
      <x:c r="N66" t="n">
        <x:v>89.40065</x:v>
      </x:c>
      <x:c r="O66" t="n">
        <x:v>78.03</x:v>
      </x:c>
      <x:c r="P66" t="n">
        <x:v>0</x:v>
      </x:c>
      <x:c r="Q66" t="n">
        <x:v>0</x:v>
      </x:c>
      <x:c r="R66" t="n">
        <x:v>30.3</x:v>
      </x:c>
      <x:c r="S66" t="n">
        <x:v>41.25</x:v>
      </x:c>
      <x:c r="T66" t="str">
        <x:v>https://y.gtimg.cn/music/photo_new/T002R500x500M0000041WVfh2vtlJE_1.jpg</x:v>
      </x:c>
      <x:c r="U66" s="24" t="str">
        <x:f>IFERROR(VLOOKUP(I66,'07_字典与参数'!$G$5:$J$9,2,FALSE),"未入选")</x:f>
        <x:v>未入选</x:v>
      </x:c>
      <x:c r="V66" s="24" t="str">
        <x:f>IFERROR(VLOOKUP(I66,'07_字典与参数'!$G$5:$J$9,3,FALSE),"—")</x:f>
        <x:v>—</x:v>
      </x:c>
      <x:c r="W66" s="24" t="str">
        <x:f>IF(U66="未入选","否","是")</x:f>
        <x:v>否</x:v>
      </x:c>
    </x:row>
    <x:row r="67">
      <x:c r="A67" t="n">
        <x:v>202628</x:v>
      </x:c>
      <x:c r="B67" t="str">
        <x:v>第28期（07.13-07.19）</x:v>
      </x:c>
      <x:c r="C67" t="str">
        <x:v>2026-07-13</x:v>
      </x:c>
      <x:c r="D67" t="str">
        <x:v>2026-07-19</x:v>
      </x:c>
      <x:c r="E67" t="n">
        <x:v>63</x:v>
      </x:c>
      <x:c r="F67" t="n">
        <x:v>530838888</x:v>
      </x:c>
      <x:c r="G67" t="str">
        <x:v>窝囊废</x:v>
      </x:c>
      <x:c r="H67" t="str">
        <x:v>刘凤瑶,曾一鸣,张玮,李琦,派克特</x:v>
      </x:c>
      <x:c r="I67" t="str">
        <x:v>002oy5sA18Y1vl</x:v>
      </x:c>
      <x:c r="J67" t="str">
        <x:v>True</x:v>
      </x:c>
      <x:c r="K67" t="n">
        <x:v>102</x:v>
      </x:c>
      <x:c r="L67" t="n">
        <x:v>1</x:v>
      </x:c>
      <x:c r="M67" t="n">
        <x:v>63</x:v>
      </x:c>
      <x:c r="N67" t="n">
        <x:v>89.04789</x:v>
      </x:c>
      <x:c r="O67" t="n">
        <x:v>77.06</x:v>
      </x:c>
      <x:c r="P67" t="n">
        <x:v>0</x:v>
      </x:c>
      <x:c r="Q67" t="n">
        <x:v>0</x:v>
      </x:c>
      <x:c r="R67" t="n">
        <x:v>23.24</x:v>
      </x:c>
      <x:c r="S67" t="n">
        <x:v>47.55</x:v>
      </x:c>
      <x:c r="T67" t="str">
        <x:v>https://y.gtimg.cn/music/photo_new/T002R500x500M000000i2YjH2563cV_1.jpg</x:v>
      </x:c>
      <x:c r="U67" s="24" t="str">
        <x:f>IFERROR(VLOOKUP(I67,'07_字典与参数'!$G$5:$J$9,2,FALSE),"未入选")</x:f>
        <x:v>未入选</x:v>
      </x:c>
      <x:c r="V67" s="24" t="str">
        <x:f>IFERROR(VLOOKUP(I67,'07_字典与参数'!$G$5:$J$9,3,FALSE),"—")</x:f>
        <x:v>—</x:v>
      </x:c>
      <x:c r="W67" s="24" t="str">
        <x:f>IF(U67="未入选","否","是")</x:f>
        <x:v>否</x:v>
      </x:c>
    </x:row>
    <x:row r="68">
      <x:c r="A68" t="n">
        <x:v>202628</x:v>
      </x:c>
      <x:c r="B68" t="str">
        <x:v>第28期（07.13-07.19）</x:v>
      </x:c>
      <x:c r="C68" t="str">
        <x:v>2026-07-13</x:v>
      </x:c>
      <x:c r="D68" t="str">
        <x:v>2026-07-19</x:v>
      </x:c>
      <x:c r="E68" t="n">
        <x:v>64</x:v>
      </x:c>
      <x:c r="F68" t="n">
        <x:v>480650228</x:v>
      </x:c>
      <x:c r="G68" t="str">
        <x:v>让你知道</x:v>
      </x:c>
      <x:c r="H68" t="str">
        <x:v>汪苏泷,G.E.M. 邓紫棋</x:v>
      </x:c>
      <x:c r="I68" t="str">
        <x:v>002V5FGl3Wga6v</x:v>
      </x:c>
      <x:c r="J68" t="str">
        <x:v>False</x:v>
      </x:c>
      <x:c r="K68" t="n">
        <x:v>59</x:v>
      </x:c>
      <x:c r="L68" t="n">
        <x:v>4</x:v>
      </x:c>
      <x:c r="M68" t="n">
        <x:v>11</x:v>
      </x:c>
      <x:c r="N68" t="n">
        <x:v>89.0344</x:v>
      </x:c>
      <x:c r="O68" t="n">
        <x:v>76.03</x:v>
      </x:c>
      <x:c r="P68" t="n">
        <x:v>0</x:v>
      </x:c>
      <x:c r="Q68" t="n">
        <x:v>0</x:v>
      </x:c>
      <x:c r="R68" t="n">
        <x:v>9.66</x:v>
      </x:c>
      <x:c r="S68" t="n">
        <x:v>53.55</x:v>
      </x:c>
      <x:c r="T68" t="str">
        <x:v>https://y.gtimg.cn/music/photo_new/T002R500x500M000000A1M903iHvyT_4.jpg</x:v>
      </x:c>
      <x:c r="U68" s="24" t="str">
        <x:f>IFERROR(VLOOKUP(I68,'07_字典与参数'!$G$5:$J$9,2,FALSE),"未入选")</x:f>
        <x:v>未入选</x:v>
      </x:c>
      <x:c r="V68" s="24" t="str">
        <x:f>IFERROR(VLOOKUP(I68,'07_字典与参数'!$G$5:$J$9,3,FALSE),"—")</x:f>
        <x:v>—</x:v>
      </x:c>
      <x:c r="W68" s="24" t="str">
        <x:f>IF(U68="未入选","否","是")</x:f>
        <x:v>否</x:v>
      </x:c>
    </x:row>
    <x:row r="69">
      <x:c r="A69" t="n">
        <x:v>202628</x:v>
      </x:c>
      <x:c r="B69" t="str">
        <x:v>第28期（07.13-07.19）</x:v>
      </x:c>
      <x:c r="C69" t="str">
        <x:v>2026-07-13</x:v>
      </x:c>
      <x:c r="D69" t="str">
        <x:v>2026-07-19</x:v>
      </x:c>
      <x:c r="E69" t="n">
        <x:v>65</x:v>
      </x:c>
      <x:c r="F69" t="n">
        <x:v>530494384</x:v>
      </x:c>
      <x:c r="G69" t="str">
        <x:v>青玉恋</x:v>
      </x:c>
      <x:c r="H69" t="str">
        <x:v>刘宇</x:v>
      </x:c>
      <x:c r="I69" t="str">
        <x:v>001Mlxo70U5jA2</x:v>
      </x:c>
      <x:c r="J69" t="str">
        <x:v>False</x:v>
      </x:c>
      <x:c r="K69" t="n">
        <x:v>52</x:v>
      </x:c>
      <x:c r="L69" t="n">
        <x:v>2</x:v>
      </x:c>
      <x:c r="M69" t="n">
        <x:v>52</x:v>
      </x:c>
      <x:c r="N69" t="n">
        <x:v>88.90632</x:v>
      </x:c>
      <x:c r="O69" t="n">
        <x:v>66</x:v>
      </x:c>
      <x:c r="P69" t="n">
        <x:v>0</x:v>
      </x:c>
      <x:c r="Q69" t="n">
        <x:v>0</x:v>
      </x:c>
      <x:c r="R69" t="n">
        <x:v>55.77</x:v>
      </x:c>
      <x:c r="S69" t="n">
        <x:v>56.56</x:v>
      </x:c>
      <x:c r="T69" t="str">
        <x:v>https://y.gtimg.cn/music/photo_new/T002R500x500M000003zREKb4gJGUF_1.jpg</x:v>
      </x:c>
      <x:c r="U69" s="24" t="str">
        <x:f>IFERROR(VLOOKUP(I69,'07_字典与参数'!$G$5:$J$9,2,FALSE),"未入选")</x:f>
        <x:v>未入选</x:v>
      </x:c>
      <x:c r="V69" s="24" t="str">
        <x:f>IFERROR(VLOOKUP(I69,'07_字典与参数'!$G$5:$J$9,3,FALSE),"—")</x:f>
        <x:v>—</x:v>
      </x:c>
      <x:c r="W69" s="24" t="str">
        <x:f>IF(U69="未入选","否","是")</x:f>
        <x:v>否</x:v>
      </x:c>
    </x:row>
    <x:row r="70">
      <x:c r="A70" t="n">
        <x:v>202628</x:v>
      </x:c>
      <x:c r="B70" t="str">
        <x:v>第28期（07.13-07.19）</x:v>
      </x:c>
      <x:c r="C70" t="str">
        <x:v>2026-07-13</x:v>
      </x:c>
      <x:c r="D70" t="str">
        <x:v>2026-07-19</x:v>
      </x:c>
      <x:c r="E70" t="n">
        <x:v>66</x:v>
      </x:c>
      <x:c r="F70" t="n">
        <x:v>522370779</x:v>
      </x:c>
      <x:c r="G70" t="str">
        <x:v>灌溉</x:v>
      </x:c>
      <x:c r="H70" t="str">
        <x:v>于文文</x:v>
      </x:c>
      <x:c r="I70" t="str">
        <x:v>004M0xLa37KL64</x:v>
      </x:c>
      <x:c r="J70" t="str">
        <x:v>True</x:v>
      </x:c>
      <x:c r="K70" t="n">
        <x:v>0</x:v>
      </x:c>
      <x:c r="L70" t="n">
        <x:v>1</x:v>
      </x:c>
      <x:c r="M70" t="n">
        <x:v>66</x:v>
      </x:c>
      <x:c r="N70" t="n">
        <x:v>88.37107</x:v>
      </x:c>
      <x:c r="O70" t="n">
        <x:v>67.39</x:v>
      </x:c>
      <x:c r="P70" t="n">
        <x:v>0</x:v>
      </x:c>
      <x:c r="Q70" t="n">
        <x:v>0</x:v>
      </x:c>
      <x:c r="R70" t="n">
        <x:v>62.53</x:v>
      </x:c>
      <x:c r="S70" t="n">
        <x:v>30.6</x:v>
      </x:c>
      <x:c r="T70" t="str">
        <x:v>https://y.gtimg.cn/music/photo_new/T002R500x500M000001AnXF325jMfu_1.jpg</x:v>
      </x:c>
      <x:c r="U70" s="24" t="str">
        <x:f>IFERROR(VLOOKUP(I70,'07_字典与参数'!$G$5:$J$9,2,FALSE),"未入选")</x:f>
        <x:v>未入选</x:v>
      </x:c>
      <x:c r="V70" s="24" t="str">
        <x:f>IFERROR(VLOOKUP(I70,'07_字典与参数'!$G$5:$J$9,3,FALSE),"—")</x:f>
        <x:v>—</x:v>
      </x:c>
      <x:c r="W70" s="24" t="str">
        <x:f>IF(U70="未入选","否","是")</x:f>
        <x:v>否</x:v>
      </x:c>
    </x:row>
    <x:row r="71">
      <x:c r="A71" t="n">
        <x:v>202628</x:v>
      </x:c>
      <x:c r="B71" t="str">
        <x:v>第28期（07.13-07.19）</x:v>
      </x:c>
      <x:c r="C71" t="str">
        <x:v>2026-07-13</x:v>
      </x:c>
      <x:c r="D71" t="str">
        <x:v>2026-07-19</x:v>
      </x:c>
      <x:c r="E71" t="n">
        <x:v>67</x:v>
      </x:c>
      <x:c r="F71" t="n">
        <x:v>463431785</x:v>
      </x:c>
      <x:c r="G71" t="str">
        <x:v>巴拉莱卡（The Rod）</x:v>
      </x:c>
      <x:c r="H71" t="str">
        <x:v>门尼</x:v>
      </x:c>
      <x:c r="I71" t="str">
        <x:v>004cIIT23E42Bi</x:v>
      </x:c>
      <x:c r="J71" t="str">
        <x:v>False</x:v>
      </x:c>
      <x:c r="K71" t="n">
        <x:v>67</x:v>
      </x:c>
      <x:c r="L71" t="n">
        <x:v>17</x:v>
      </x:c>
      <x:c r="M71" t="n">
        <x:v>19</x:v>
      </x:c>
      <x:c r="N71" t="n">
        <x:v>88.36963</x:v>
      </x:c>
      <x:c r="O71" t="n">
        <x:v>76.89</x:v>
      </x:c>
      <x:c r="P71" t="n">
        <x:v>0</x:v>
      </x:c>
      <x:c r="Q71" t="n">
        <x:v>0</x:v>
      </x:c>
      <x:c r="R71" t="n">
        <x:v>31.03</x:v>
      </x:c>
      <x:c r="S71" t="n">
        <x:v>41.91</x:v>
      </x:c>
      <x:c r="T71" t="str">
        <x:v>https://y.qq.com/music/photo_new/T062R500x500M000000KuGDR0MKlCb.jpg</x:v>
      </x:c>
      <x:c r="U71" s="24" t="str">
        <x:f>IFERROR(VLOOKUP(I71,'07_字典与参数'!$G$5:$J$9,2,FALSE),"未入选")</x:f>
        <x:v>未入选</x:v>
      </x:c>
      <x:c r="V71" s="24" t="str">
        <x:f>IFERROR(VLOOKUP(I71,'07_字典与参数'!$G$5:$J$9,3,FALSE),"—")</x:f>
        <x:v>—</x:v>
      </x:c>
      <x:c r="W71" s="24" t="str">
        <x:f>IF(U71="未入选","否","是")</x:f>
        <x:v>否</x:v>
      </x:c>
    </x:row>
    <x:row r="72">
      <x:c r="A72" t="n">
        <x:v>202628</x:v>
      </x:c>
      <x:c r="B72" t="str">
        <x:v>第28期（07.13-07.19）</x:v>
      </x:c>
      <x:c r="C72" t="str">
        <x:v>2026-07-13</x:v>
      </x:c>
      <x:c r="D72" t="str">
        <x:v>2026-07-19</x:v>
      </x:c>
      <x:c r="E72" t="n">
        <x:v>68</x:v>
      </x:c>
      <x:c r="F72" t="n">
        <x:v>530399437</x:v>
      </x:c>
      <x:c r="G72" t="str">
        <x:v>下一天</x:v>
      </x:c>
      <x:c r="H72" t="str">
        <x:v>王俊凯</x:v>
      </x:c>
      <x:c r="I72" t="str">
        <x:v>002d62eR3BYiWY</x:v>
      </x:c>
      <x:c r="J72" t="str">
        <x:v>False</x:v>
      </x:c>
      <x:c r="K72" t="n">
        <x:v>9</x:v>
      </x:c>
      <x:c r="L72" t="n">
        <x:v>2</x:v>
      </x:c>
      <x:c r="M72" t="n">
        <x:v>9</x:v>
      </x:c>
      <x:c r="N72" t="n">
        <x:v>88.27152</x:v>
      </x:c>
      <x:c r="O72" t="n">
        <x:v>72.73</x:v>
      </x:c>
      <x:c r="P72" t="n">
        <x:v>0</x:v>
      </x:c>
      <x:c r="Q72" t="n">
        <x:v>0</x:v>
      </x:c>
      <x:c r="R72" t="n">
        <x:v>49.75</x:v>
      </x:c>
      <x:c r="S72" t="n">
        <x:v>51.28</x:v>
      </x:c>
      <x:c r="T72" t="str">
        <x:v>https://y.qq.com/music/photo_new/T062R500x500M000000NfJyp11Nuig.jpg</x:v>
      </x:c>
      <x:c r="U72" s="24" t="str">
        <x:f>IFERROR(VLOOKUP(I72,'07_字典与参数'!$G$5:$J$9,2,FALSE),"未入选")</x:f>
        <x:v>未入选</x:v>
      </x:c>
      <x:c r="V72" s="24" t="str">
        <x:f>IFERROR(VLOOKUP(I72,'07_字典与参数'!$G$5:$J$9,3,FALSE),"—")</x:f>
        <x:v>—</x:v>
      </x:c>
      <x:c r="W72" s="24" t="str">
        <x:f>IF(U72="未入选","否","是")</x:f>
        <x:v>否</x:v>
      </x:c>
    </x:row>
    <x:row r="73">
      <x:c r="A73" t="n">
        <x:v>202628</x:v>
      </x:c>
      <x:c r="B73" t="str">
        <x:v>第28期（07.13-07.19）</x:v>
      </x:c>
      <x:c r="C73" t="str">
        <x:v>2026-07-13</x:v>
      </x:c>
      <x:c r="D73" t="str">
        <x:v>2026-07-19</x:v>
      </x:c>
      <x:c r="E73" t="n">
        <x:v>69</x:v>
      </x:c>
      <x:c r="F73" t="n">
        <x:v>484990426</x:v>
      </x:c>
      <x:c r="G73" t="str">
        <x:v>西乌旗99号公路</x:v>
      </x:c>
      <x:c r="H73" t="str">
        <x:v>LunaLiu刘不语,张川海</x:v>
      </x:c>
      <x:c r="I73" t="str">
        <x:v>002n9rPh3tYpOc</x:v>
      </x:c>
      <x:c r="J73" t="str">
        <x:v>False</x:v>
      </x:c>
      <x:c r="K73" t="n">
        <x:v>54</x:v>
      </x:c>
      <x:c r="L73" t="n">
        <x:v>3</x:v>
      </x:c>
      <x:c r="M73" t="n">
        <x:v>51</x:v>
      </x:c>
      <x:c r="N73" t="n">
        <x:v>88.2483</x:v>
      </x:c>
      <x:c r="O73" t="n">
        <x:v>76.83</x:v>
      </x:c>
      <x:c r="P73" t="n">
        <x:v>0</x:v>
      </x:c>
      <x:c r="Q73" t="n">
        <x:v>0</x:v>
      </x:c>
      <x:c r="R73" t="n">
        <x:v>30.22</x:v>
      </x:c>
      <x:c r="S73" t="n">
        <x:v>41.82</x:v>
      </x:c>
      <x:c r="T73" t="str">
        <x:v>https://y.gtimg.cn/music/photo_new/T002R500x500M000003woY5f2sdNs7_2.jpg</x:v>
      </x:c>
      <x:c r="U73" s="24" t="str">
        <x:f>IFERROR(VLOOKUP(I73,'07_字典与参数'!$G$5:$J$9,2,FALSE),"未入选")</x:f>
        <x:v>未入选</x:v>
      </x:c>
      <x:c r="V73" s="24" t="str">
        <x:f>IFERROR(VLOOKUP(I73,'07_字典与参数'!$G$5:$J$9,3,FALSE),"—")</x:f>
        <x:v>—</x:v>
      </x:c>
      <x:c r="W73" s="24" t="str">
        <x:f>IF(U73="未入选","否","是")</x:f>
        <x:v>否</x:v>
      </x:c>
    </x:row>
    <x:row r="74">
      <x:c r="A74" t="n">
        <x:v>202628</x:v>
      </x:c>
      <x:c r="B74" t="str">
        <x:v>第28期（07.13-07.19）</x:v>
      </x:c>
      <x:c r="C74" t="str">
        <x:v>2026-07-13</x:v>
      </x:c>
      <x:c r="D74" t="str">
        <x:v>2026-07-19</x:v>
      </x:c>
      <x:c r="E74" t="n">
        <x:v>70</x:v>
      </x:c>
      <x:c r="F74" t="n">
        <x:v>524048324</x:v>
      </x:c>
      <x:c r="G74" t="str">
        <x:v>香烟与吻痕 (我在月光下许过情真)</x:v>
      </x:c>
      <x:c r="H74" t="str">
        <x:v>黄龄</x:v>
      </x:c>
      <x:c r="I74" t="str">
        <x:v>002L0ilt0Sk1xo</x:v>
      </x:c>
      <x:c r="J74" t="str">
        <x:v>False</x:v>
      </x:c>
      <x:c r="K74" t="n">
        <x:v>85</x:v>
      </x:c>
      <x:c r="L74" t="n">
        <x:v>2</x:v>
      </x:c>
      <x:c r="M74" t="n">
        <x:v>70</x:v>
      </x:c>
      <x:c r="N74" t="n">
        <x:v>87.99229</x:v>
      </x:c>
      <x:c r="O74" t="n">
        <x:v>77.59</x:v>
      </x:c>
      <x:c r="P74" t="n">
        <x:v>0</x:v>
      </x:c>
      <x:c r="Q74" t="n">
        <x:v>0</x:v>
      </x:c>
      <x:c r="R74" t="n">
        <x:v>3.67</x:v>
      </x:c>
      <x:c r="S74" t="n">
        <x:v>25.08</x:v>
      </x:c>
      <x:c r="T74" t="str">
        <x:v>https://y.gtimg.cn/music/photo_new/T002R500x500M000001k5VY01qCYXb_1.jpg</x:v>
      </x:c>
      <x:c r="U74" s="24" t="str">
        <x:f>IFERROR(VLOOKUP(I74,'07_字典与参数'!$G$5:$J$9,2,FALSE),"未入选")</x:f>
        <x:v>未入选</x:v>
      </x:c>
      <x:c r="V74" s="24" t="str">
        <x:f>IFERROR(VLOOKUP(I74,'07_字典与参数'!$G$5:$J$9,3,FALSE),"—")</x:f>
        <x:v>—</x:v>
      </x:c>
      <x:c r="W74" s="24" t="str">
        <x:f>IF(U74="未入选","否","是")</x:f>
        <x:v>否</x:v>
      </x:c>
    </x:row>
    <x:row r="75">
      <x:c r="A75" t="n">
        <x:v>202628</x:v>
      </x:c>
      <x:c r="B75" t="str">
        <x:v>第28期（07.13-07.19）</x:v>
      </x:c>
      <x:c r="C75" t="str">
        <x:v>2026-07-13</x:v>
      </x:c>
      <x:c r="D75" t="str">
        <x:v>2026-07-19</x:v>
      </x:c>
      <x:c r="E75" t="n">
        <x:v>71</x:v>
      </x:c>
      <x:c r="F75" t="n">
        <x:v>512003003</x:v>
      </x:c>
      <x:c r="G75" t="str">
        <x:v>逍遥仙</x:v>
      </x:c>
      <x:c r="H75" t="str">
        <x:v>筷子兄弟</x:v>
      </x:c>
      <x:c r="I75" t="str">
        <x:v>00485M1a40O8Hi</x:v>
      </x:c>
      <x:c r="J75" t="str">
        <x:v>False</x:v>
      </x:c>
      <x:c r="K75" t="n">
        <x:v>70</x:v>
      </x:c>
      <x:c r="L75" t="n">
        <x:v>5</x:v>
      </x:c>
      <x:c r="M75" t="n">
        <x:v>28</x:v>
      </x:c>
      <x:c r="N75" t="n">
        <x:v>87.79501</x:v>
      </x:c>
      <x:c r="O75" t="n">
        <x:v>76.71</x:v>
      </x:c>
      <x:c r="P75" t="n">
        <x:v>0</x:v>
      </x:c>
      <x:c r="Q75" t="n">
        <x:v>0</x:v>
      </x:c>
      <x:c r="R75" t="n">
        <x:v>31.91</x:v>
      </x:c>
      <x:c r="S75" t="n">
        <x:v>32.04</x:v>
      </x:c>
      <x:c r="T75" t="str">
        <x:v>https://y.gtimg.cn/music/photo_new/T002R500x500M000002z6UmJ3m71jH_2.jpg</x:v>
      </x:c>
      <x:c r="U75" s="24" t="str">
        <x:f>IFERROR(VLOOKUP(I75,'07_字典与参数'!$G$5:$J$9,2,FALSE),"未入选")</x:f>
        <x:v>未入选</x:v>
      </x:c>
      <x:c r="V75" s="24" t="str">
        <x:f>IFERROR(VLOOKUP(I75,'07_字典与参数'!$G$5:$J$9,3,FALSE),"—")</x:f>
        <x:v>—</x:v>
      </x:c>
      <x:c r="W75" s="24" t="str">
        <x:f>IF(U75="未入选","否","是")</x:f>
        <x:v>否</x:v>
      </x:c>
    </x:row>
    <x:row r="76">
      <x:c r="A76" t="n">
        <x:v>202628</x:v>
      </x:c>
      <x:c r="B76" t="str">
        <x:v>第28期（07.13-07.19）</x:v>
      </x:c>
      <x:c r="C76" t="str">
        <x:v>2026-07-13</x:v>
      </x:c>
      <x:c r="D76" t="str">
        <x:v>2026-07-19</x:v>
      </x:c>
      <x:c r="E76" t="n">
        <x:v>72</x:v>
      </x:c>
      <x:c r="F76" t="n">
        <x:v>515090709</x:v>
      </x:c>
      <x:c r="G76" t="str">
        <x:v>落日微醺（晚风中一杯酒）</x:v>
      </x:c>
      <x:c r="H76" t="str">
        <x:v>落日微醺</x:v>
      </x:c>
      <x:c r="I76" t="str">
        <x:v>0029j7eI4Poe44</x:v>
      </x:c>
      <x:c r="J76" t="str">
        <x:v>False</x:v>
      </x:c>
      <x:c r="K76" t="n">
        <x:v>86</x:v>
      </x:c>
      <x:c r="L76" t="n">
        <x:v>2</x:v>
      </x:c>
      <x:c r="M76" t="n">
        <x:v>72</x:v>
      </x:c>
      <x:c r="N76" t="n">
        <x:v>87.64298</x:v>
      </x:c>
      <x:c r="O76" t="n">
        <x:v>75.51</x:v>
      </x:c>
      <x:c r="P76" t="n">
        <x:v>0</x:v>
      </x:c>
      <x:c r="Q76" t="n">
        <x:v>0</x:v>
      </x:c>
      <x:c r="R76" t="n">
        <x:v>40.92</x:v>
      </x:c>
      <x:c r="S76" t="n">
        <x:v>42.57</x:v>
      </x:c>
      <x:c r="T76" t="str">
        <x:v>https://y.gtimg.cn/music/photo_new/T002R500x500M000001TMIlo2CCoNX_1.jpg</x:v>
      </x:c>
      <x:c r="U76" s="24" t="str">
        <x:f>IFERROR(VLOOKUP(I76,'07_字典与参数'!$G$5:$J$9,2,FALSE),"未入选")</x:f>
        <x:v>未入选</x:v>
      </x:c>
      <x:c r="V76" s="24" t="str">
        <x:f>IFERROR(VLOOKUP(I76,'07_字典与参数'!$G$5:$J$9,3,FALSE),"—")</x:f>
        <x:v>—</x:v>
      </x:c>
      <x:c r="W76" s="24" t="str">
        <x:f>IF(U76="未入选","否","是")</x:f>
        <x:v>否</x:v>
      </x:c>
    </x:row>
    <x:row r="77">
      <x:c r="A77" t="n">
        <x:v>202628</x:v>
      </x:c>
      <x:c r="B77" t="str">
        <x:v>第28期（07.13-07.19）</x:v>
      </x:c>
      <x:c r="C77" t="str">
        <x:v>2026-07-13</x:v>
      </x:c>
      <x:c r="D77" t="str">
        <x:v>2026-07-19</x:v>
      </x:c>
      <x:c r="E77" t="n">
        <x:v>73</x:v>
      </x:c>
      <x:c r="F77" t="n">
        <x:v>530520414</x:v>
      </x:c>
      <x:c r="G77" t="str">
        <x:v>Falling 4 U</x:v>
      </x:c>
      <x:c r="H77" t="str">
        <x:v>Mr.岑</x:v>
      </x:c>
      <x:c r="I77" t="str">
        <x:v>004MUUm62svbnq</x:v>
      </x:c>
      <x:c r="J77" t="str">
        <x:v>True</x:v>
      </x:c>
      <x:c r="K77" t="n">
        <x:v>0</x:v>
      </x:c>
      <x:c r="L77" t="n">
        <x:v>1</x:v>
      </x:c>
      <x:c r="M77" t="n">
        <x:v>73</x:v>
      </x:c>
      <x:c r="N77" t="n">
        <x:v>87.56921</x:v>
      </x:c>
      <x:c r="O77" t="n">
        <x:v>51.26</x:v>
      </x:c>
      <x:c r="P77" t="n">
        <x:v>0</x:v>
      </x:c>
      <x:c r="Q77" t="n">
        <x:v>0</x:v>
      </x:c>
      <x:c r="R77" t="n">
        <x:v>63.97</x:v>
      </x:c>
      <x:c r="S77" t="n">
        <x:v>36.11</x:v>
      </x:c>
      <x:c r="T77" t="str">
        <x:v>https://y.gtimg.cn/music/photo_new/T002R500x500M000004VMOxL1DzkyR_1.jpg</x:v>
      </x:c>
      <x:c r="U77" s="24" t="str">
        <x:f>IFERROR(VLOOKUP(I77,'07_字典与参数'!$G$5:$J$9,2,FALSE),"未入选")</x:f>
        <x:v>未入选</x:v>
      </x:c>
      <x:c r="V77" s="24" t="str">
        <x:f>IFERROR(VLOOKUP(I77,'07_字典与参数'!$G$5:$J$9,3,FALSE),"—")</x:f>
        <x:v>—</x:v>
      </x:c>
      <x:c r="W77" s="24" t="str">
        <x:f>IF(U77="未入选","否","是")</x:f>
        <x:v>否</x:v>
      </x:c>
    </x:row>
    <x:row r="78">
      <x:c r="A78" t="n">
        <x:v>202628</x:v>
      </x:c>
      <x:c r="B78" t="str">
        <x:v>第28期（07.13-07.19）</x:v>
      </x:c>
      <x:c r="C78" t="str">
        <x:v>2026-07-13</x:v>
      </x:c>
      <x:c r="D78" t="str">
        <x:v>2026-07-19</x:v>
      </x:c>
      <x:c r="E78" t="n">
        <x:v>74</x:v>
      </x:c>
      <x:c r="F78" t="n">
        <x:v>521720340</x:v>
      </x:c>
      <x:c r="G78" t="str">
        <x:v>如期</x:v>
      </x:c>
      <x:c r="H78" t="str">
        <x:v>王俊凯</x:v>
      </x:c>
      <x:c r="I78" t="str">
        <x:v>000n3xE32Sdk1C</x:v>
      </x:c>
      <x:c r="J78" t="str">
        <x:v>False</x:v>
      </x:c>
      <x:c r="K78" t="n">
        <x:v>43</x:v>
      </x:c>
      <x:c r="L78" t="n">
        <x:v>3</x:v>
      </x:c>
      <x:c r="M78" t="n">
        <x:v>25</x:v>
      </x:c>
      <x:c r="N78" t="n">
        <x:v>87.45839</x:v>
      </x:c>
      <x:c r="O78" t="n">
        <x:v>72.59</x:v>
      </x:c>
      <x:c r="P78" t="n">
        <x:v>0</x:v>
      </x:c>
      <x:c r="Q78" t="n">
        <x:v>0</x:v>
      </x:c>
      <x:c r="R78" t="n">
        <x:v>42.68</x:v>
      </x:c>
      <x:c r="S78" t="n">
        <x:v>51.44</x:v>
      </x:c>
      <x:c r="T78" t="str">
        <x:v>https://y.qq.com/music/photo_new/T062R500x500M000000axnOS3fnS48.jpg</x:v>
      </x:c>
      <x:c r="U78" s="24" t="str">
        <x:f>IFERROR(VLOOKUP(I78,'07_字典与参数'!$G$5:$J$9,2,FALSE),"未入选")</x:f>
        <x:v>未入选</x:v>
      </x:c>
      <x:c r="V78" s="24" t="str">
        <x:f>IFERROR(VLOOKUP(I78,'07_字典与参数'!$G$5:$J$9,3,FALSE),"—")</x:f>
        <x:v>—</x:v>
      </x:c>
      <x:c r="W78" s="24" t="str">
        <x:f>IF(U78="未入选","否","是")</x:f>
        <x:v>否</x:v>
      </x:c>
    </x:row>
    <x:row r="79">
      <x:c r="A79" t="n">
        <x:v>202628</x:v>
      </x:c>
      <x:c r="B79" t="str">
        <x:v>第28期（07.13-07.19）</x:v>
      </x:c>
      <x:c r="C79" t="str">
        <x:v>2026-07-13</x:v>
      </x:c>
      <x:c r="D79" t="str">
        <x:v>2026-07-19</x:v>
      </x:c>
      <x:c r="E79" t="n">
        <x:v>75</x:v>
      </x:c>
      <x:c r="F79" t="n">
        <x:v>485150107</x:v>
      </x:c>
      <x:c r="G79" t="str">
        <x:v>My Fondest</x:v>
      </x:c>
      <x:c r="H79" t="str">
        <x:v>郝熠然</x:v>
      </x:c>
      <x:c r="I79" t="str">
        <x:v>004Q9M7v4WduyW</x:v>
      </x:c>
      <x:c r="J79" t="str">
        <x:v>False</x:v>
      </x:c>
      <x:c r="K79" t="n">
        <x:v>200</x:v>
      </x:c>
      <x:c r="L79" t="n">
        <x:v>5</x:v>
      </x:c>
      <x:c r="M79" t="n">
        <x:v>8</x:v>
      </x:c>
      <x:c r="N79" t="n">
        <x:v>87.07919</x:v>
      </x:c>
      <x:c r="O79" t="n">
        <x:v>72.4</x:v>
      </x:c>
      <x:c r="P79" t="n">
        <x:v>0</x:v>
      </x:c>
      <x:c r="Q79" t="n">
        <x:v>0</x:v>
      </x:c>
      <x:c r="R79" t="n">
        <x:v>34.9</x:v>
      </x:c>
      <x:c r="S79" t="n">
        <x:v>52.56</x:v>
      </x:c>
      <x:c r="T79" t="str">
        <x:v>https://y.gtimg.cn/music/photo_new/T002R500x500M000002DNaAy3DLTff_1.jpg</x:v>
      </x:c>
      <x:c r="U79" s="24" t="str">
        <x:f>IFERROR(VLOOKUP(I79,'07_字典与参数'!$G$5:$J$9,2,FALSE),"未入选")</x:f>
        <x:v>未入选</x:v>
      </x:c>
      <x:c r="V79" s="24" t="str">
        <x:f>IFERROR(VLOOKUP(I79,'07_字典与参数'!$G$5:$J$9,3,FALSE),"—")</x:f>
        <x:v>—</x:v>
      </x:c>
      <x:c r="W79" s="24" t="str">
        <x:f>IF(U79="未入选","否","是")</x:f>
        <x:v>否</x:v>
      </x:c>
    </x:row>
    <x:row r="80">
      <x:c r="A80" t="n">
        <x:v>202628</x:v>
      </x:c>
      <x:c r="B80" t="str">
        <x:v>第28期（07.13-07.19）</x:v>
      </x:c>
      <x:c r="C80" t="str">
        <x:v>2026-07-13</x:v>
      </x:c>
      <x:c r="D80" t="str">
        <x:v>2026-07-19</x:v>
      </x:c>
      <x:c r="E80" t="n">
        <x:v>76</x:v>
      </x:c>
      <x:c r="F80" t="n">
        <x:v>521720344</x:v>
      </x:c>
      <x:c r="G80" t="str">
        <x:v>无声潮汐</x:v>
      </x:c>
      <x:c r="H80" t="str">
        <x:v>王俊凯</x:v>
      </x:c>
      <x:c r="I80" t="str">
        <x:v>002OhQnJ2tqnT6</x:v>
      </x:c>
      <x:c r="J80" t="str">
        <x:v>False</x:v>
      </x:c>
      <x:c r="K80" t="n">
        <x:v>47</x:v>
      </x:c>
      <x:c r="L80" t="n">
        <x:v>3</x:v>
      </x:c>
      <x:c r="M80" t="n">
        <x:v>26</x:v>
      </x:c>
      <x:c r="N80" t="n">
        <x:v>87.07244</x:v>
      </x:c>
      <x:c r="O80" t="n">
        <x:v>71.97</x:v>
      </x:c>
      <x:c r="P80" t="n">
        <x:v>0</x:v>
      </x:c>
      <x:c r="Q80" t="n">
        <x:v>0</x:v>
      </x:c>
      <x:c r="R80" t="n">
        <x:v>42.98</x:v>
      </x:c>
      <x:c r="S80" t="n">
        <x:v>51.06</x:v>
      </x:c>
      <x:c r="T80" t="str">
        <x:v>https://y.qq.com/music/photo_new/T062R500x500M000004ATwLB1BZI0b.jpg</x:v>
      </x:c>
      <x:c r="U80" s="24" t="str">
        <x:f>IFERROR(VLOOKUP(I80,'07_字典与参数'!$G$5:$J$9,2,FALSE),"未入选")</x:f>
        <x:v>未入选</x:v>
      </x:c>
      <x:c r="V80" s="24" t="str">
        <x:f>IFERROR(VLOOKUP(I80,'07_字典与参数'!$G$5:$J$9,3,FALSE),"—")</x:f>
        <x:v>—</x:v>
      </x:c>
      <x:c r="W80" s="24" t="str">
        <x:f>IF(U80="未入选","否","是")</x:f>
        <x:v>否</x:v>
      </x:c>
    </x:row>
    <x:row r="81">
      <x:c r="A81" t="n">
        <x:v>202628</x:v>
      </x:c>
      <x:c r="B81" t="str">
        <x:v>第28期（07.13-07.19）</x:v>
      </x:c>
      <x:c r="C81" t="str">
        <x:v>2026-07-13</x:v>
      </x:c>
      <x:c r="D81" t="str">
        <x:v>2026-07-19</x:v>
      </x:c>
      <x:c r="E81" t="n">
        <x:v>77</x:v>
      </x:c>
      <x:c r="F81" t="n">
        <x:v>531353214</x:v>
      </x:c>
      <x:c r="G81" t="str">
        <x:v>乐此不疲</x:v>
      </x:c>
      <x:c r="H81" t="str">
        <x:v>陈伟霆</x:v>
      </x:c>
      <x:c r="I81" t="str">
        <x:v>002X5EiS0uAdZb</x:v>
      </x:c>
      <x:c r="J81" t="str">
        <x:v>True</x:v>
      </x:c>
      <x:c r="K81" t="n">
        <x:v>0</x:v>
      </x:c>
      <x:c r="L81" t="n">
        <x:v>1</x:v>
      </x:c>
      <x:c r="M81" t="n">
        <x:v>77</x:v>
      </x:c>
      <x:c r="N81" t="n">
        <x:v>87.02991</x:v>
      </x:c>
      <x:c r="O81" t="n">
        <x:v>68.16</x:v>
      </x:c>
      <x:c r="P81" t="n">
        <x:v>0</x:v>
      </x:c>
      <x:c r="Q81" t="n">
        <x:v>0</x:v>
      </x:c>
      <x:c r="R81" t="n">
        <x:v>44.22</x:v>
      </x:c>
      <x:c r="S81" t="n">
        <x:v>55.35</x:v>
      </x:c>
      <x:c r="T81" t="str">
        <x:v>https://y.gtimg.cn/music/photo_new/T002R500x500M000002MRWBb0HhAAO_1.jpg</x:v>
      </x:c>
      <x:c r="U81" s="24" t="str">
        <x:f>IFERROR(VLOOKUP(I81,'07_字典与参数'!$G$5:$J$9,2,FALSE),"未入选")</x:f>
        <x:v>未入选</x:v>
      </x:c>
      <x:c r="V81" s="24" t="str">
        <x:f>IFERROR(VLOOKUP(I81,'07_字典与参数'!$G$5:$J$9,3,FALSE),"—")</x:f>
        <x:v>—</x:v>
      </x:c>
      <x:c r="W81" s="24" t="str">
        <x:f>IF(U81="未入选","否","是")</x:f>
        <x:v>否</x:v>
      </x:c>
    </x:row>
    <x:row r="82">
      <x:c r="A82" t="n">
        <x:v>202628</x:v>
      </x:c>
      <x:c r="B82" t="str">
        <x:v>第28期（07.13-07.19）</x:v>
      </x:c>
      <x:c r="C82" t="str">
        <x:v>2026-07-13</x:v>
      </x:c>
      <x:c r="D82" t="str">
        <x:v>2026-07-19</x:v>
      </x:c>
      <x:c r="E82" t="n">
        <x:v>78</x:v>
      </x:c>
      <x:c r="F82" t="n">
        <x:v>491256250</x:v>
      </x:c>
      <x:c r="G82" t="str">
        <x:v>凌绝顶</x:v>
      </x:c>
      <x:c r="H82" t="str">
        <x:v>梓渝</x:v>
      </x:c>
      <x:c r="I82" t="str">
        <x:v>001SZuO01zTv4Y</x:v>
      </x:c>
      <x:c r="J82" t="str">
        <x:v>False</x:v>
      </x:c>
      <x:c r="K82" t="n">
        <x:v>73</x:v>
      </x:c>
      <x:c r="L82" t="n">
        <x:v>9</x:v>
      </x:c>
      <x:c r="M82" t="n">
        <x:v>1</x:v>
      </x:c>
      <x:c r="N82" t="n">
        <x:v>87.02198</x:v>
      </x:c>
      <x:c r="O82" t="n">
        <x:v>69.32</x:v>
      </x:c>
      <x:c r="P82" t="n">
        <x:v>0</x:v>
      </x:c>
      <x:c r="Q82" t="n">
        <x:v>0</x:v>
      </x:c>
      <x:c r="R82" t="n">
        <x:v>33.69</x:v>
      </x:c>
      <x:c r="S82" t="n">
        <x:v>57.65</x:v>
      </x:c>
      <x:c r="T82" t="str">
        <x:v>https://y.gtimg.cn/music/photo_new/T002R500x500M000004bXPkr3OymlI_1.jpg</x:v>
      </x:c>
      <x:c r="U82" s="24" t="str">
        <x:f>IFERROR(VLOOKUP(I82,'07_字典与参数'!$G$5:$J$9,2,FALSE),"未入选")</x:f>
        <x:v>未入选</x:v>
      </x:c>
      <x:c r="V82" s="24" t="str">
        <x:f>IFERROR(VLOOKUP(I82,'07_字典与参数'!$G$5:$J$9,3,FALSE),"—")</x:f>
        <x:v>—</x:v>
      </x:c>
      <x:c r="W82" s="24" t="str">
        <x:f>IF(U82="未入选","否","是")</x:f>
        <x:v>否</x:v>
      </x:c>
    </x:row>
    <x:row r="83">
      <x:c r="A83" t="n">
        <x:v>202628</x:v>
      </x:c>
      <x:c r="B83" t="str">
        <x:v>第28期（07.13-07.19）</x:v>
      </x:c>
      <x:c r="C83" t="str">
        <x:v>2026-07-13</x:v>
      </x:c>
      <x:c r="D83" t="str">
        <x:v>2026-07-19</x:v>
      </x:c>
      <x:c r="E83" t="n">
        <x:v>79</x:v>
      </x:c>
      <x:c r="F83" t="n">
        <x:v>512101294</x:v>
      </x:c>
      <x:c r="G83" t="str">
        <x:v>人间的剧本</x:v>
      </x:c>
      <x:c r="H83" t="str">
        <x:v>老韩很哇塞</x:v>
      </x:c>
      <x:c r="I83" t="str">
        <x:v>001Pa1g53DmNQ3</x:v>
      </x:c>
      <x:c r="J83" t="str">
        <x:v>False</x:v>
      </x:c>
      <x:c r="K83" t="n">
        <x:v>75</x:v>
      </x:c>
      <x:c r="L83" t="n">
        <x:v>3</x:v>
      </x:c>
      <x:c r="M83" t="n">
        <x:v>75</x:v>
      </x:c>
      <x:c r="N83" t="n">
        <x:v>86.96565</x:v>
      </x:c>
      <x:c r="O83" t="n">
        <x:v>75.23</x:v>
      </x:c>
      <x:c r="P83" t="n">
        <x:v>0</x:v>
      </x:c>
      <x:c r="Q83" t="n">
        <x:v>0</x:v>
      </x:c>
      <x:c r="R83" t="n">
        <x:v>38.6</x:v>
      </x:c>
      <x:c r="S83" t="n">
        <x:v>41.03</x:v>
      </x:c>
      <x:c r="T83" t="str">
        <x:v>https://y.gtimg.cn/music/photo_new/T002R500x500M000002F2Rfl3kTcYx_2.jpg</x:v>
      </x:c>
      <x:c r="U83" s="24" t="str">
        <x:f>IFERROR(VLOOKUP(I83,'07_字典与参数'!$G$5:$J$9,2,FALSE),"未入选")</x:f>
        <x:v>未入选</x:v>
      </x:c>
      <x:c r="V83" s="24" t="str">
        <x:f>IFERROR(VLOOKUP(I83,'07_字典与参数'!$G$5:$J$9,3,FALSE),"—")</x:f>
        <x:v>—</x:v>
      </x:c>
      <x:c r="W83" s="24" t="str">
        <x:f>IF(U83="未入选","否","是")</x:f>
        <x:v>否</x:v>
      </x:c>
    </x:row>
    <x:row r="84">
      <x:c r="A84" t="n">
        <x:v>202628</x:v>
      </x:c>
      <x:c r="B84" t="str">
        <x:v>第28期（07.13-07.19）</x:v>
      </x:c>
      <x:c r="C84" t="str">
        <x:v>2026-07-13</x:v>
      </x:c>
      <x:c r="D84" t="str">
        <x:v>2026-07-19</x:v>
      </x:c>
      <x:c r="E84" t="n">
        <x:v>80</x:v>
      </x:c>
      <x:c r="F84" t="n">
        <x:v>478120646</x:v>
      </x:c>
      <x:c r="G84" t="str">
        <x:v>情深深雨濛濛</x:v>
      </x:c>
      <x:c r="H84" t="str">
        <x:v>梓渝</x:v>
      </x:c>
      <x:c r="I84" t="str">
        <x:v>001IodTs2xXctR</x:v>
      </x:c>
      <x:c r="J84" t="str">
        <x:v>False</x:v>
      </x:c>
      <x:c r="K84" t="n">
        <x:v>95</x:v>
      </x:c>
      <x:c r="L84" t="n">
        <x:v>16</x:v>
      </x:c>
      <x:c r="M84" t="n">
        <x:v>1</x:v>
      </x:c>
      <x:c r="N84" t="n">
        <x:v>86.87865</x:v>
      </x:c>
      <x:c r="O84" t="n">
        <x:v>64.75</x:v>
      </x:c>
      <x:c r="P84" t="n">
        <x:v>0</x:v>
      </x:c>
      <x:c r="Q84" t="n">
        <x:v>0</x:v>
      </x:c>
      <x:c r="R84" t="n">
        <x:v>19.11</x:v>
      </x:c>
      <x:c r="S84" t="n">
        <x:v>60.81</x:v>
      </x:c>
      <x:c r="T84" t="str">
        <x:v>https://y.gtimg.cn/music/photo_new/T002R500x500M000004d4d3s0RGI34_1.jpg</x:v>
      </x:c>
      <x:c r="U84" s="24" t="str">
        <x:f>IFERROR(VLOOKUP(I84,'07_字典与参数'!$G$5:$J$9,2,FALSE),"未入选")</x:f>
        <x:v>未入选</x:v>
      </x:c>
      <x:c r="V84" s="24" t="str">
        <x:f>IFERROR(VLOOKUP(I84,'07_字典与参数'!$G$5:$J$9,3,FALSE),"—")</x:f>
        <x:v>—</x:v>
      </x:c>
      <x:c r="W84" s="24" t="str">
        <x:f>IF(U84="未入选","否","是")</x:f>
        <x:v>否</x:v>
      </x:c>
    </x:row>
    <x:row r="85">
      <x:c r="A85" t="n">
        <x:v>202628</x:v>
      </x:c>
      <x:c r="B85" t="str">
        <x:v>第28期（07.13-07.19）</x:v>
      </x:c>
      <x:c r="C85" t="str">
        <x:v>2026-07-13</x:v>
      </x:c>
      <x:c r="D85" t="str">
        <x:v>2026-07-19</x:v>
      </x:c>
      <x:c r="E85" t="n">
        <x:v>81</x:v>
      </x:c>
      <x:c r="F85" t="n">
        <x:v>521720355</x:v>
      </x:c>
      <x:c r="G85" t="str">
        <x:v>幻梦</x:v>
      </x:c>
      <x:c r="H85" t="str">
        <x:v>王俊凯</x:v>
      </x:c>
      <x:c r="I85" t="str">
        <x:v>000bbwzf2E0nwB</x:v>
      </x:c>
      <x:c r="J85" t="str">
        <x:v>False</x:v>
      </x:c>
      <x:c r="K85" t="n">
        <x:v>48</x:v>
      </x:c>
      <x:c r="L85" t="n">
        <x:v>3</x:v>
      </x:c>
      <x:c r="M85" t="n">
        <x:v>23</x:v>
      </x:c>
      <x:c r="N85" t="n">
        <x:v>86.74575</x:v>
      </x:c>
      <x:c r="O85" t="n">
        <x:v>71.88</x:v>
      </x:c>
      <x:c r="P85" t="n">
        <x:v>0</x:v>
      </x:c>
      <x:c r="Q85" t="n">
        <x:v>0</x:v>
      </x:c>
      <x:c r="R85" t="n">
        <x:v>41.41</x:v>
      </x:c>
      <x:c r="S85" t="n">
        <x:v>50.66</x:v>
      </x:c>
      <x:c r="T85" t="str">
        <x:v>https://y.qq.com/music/photo_new/T062R500x500M000003tjnfQ2DkfyZ.jpg</x:v>
      </x:c>
      <x:c r="U85" s="24" t="str">
        <x:f>IFERROR(VLOOKUP(I85,'07_字典与参数'!$G$5:$J$9,2,FALSE),"未入选")</x:f>
        <x:v>未入选</x:v>
      </x:c>
      <x:c r="V85" s="24" t="str">
        <x:f>IFERROR(VLOOKUP(I85,'07_字典与参数'!$G$5:$J$9,3,FALSE),"—")</x:f>
        <x:v>—</x:v>
      </x:c>
      <x:c r="W85" s="24" t="str">
        <x:f>IF(U85="未入选","否","是")</x:f>
        <x:v>否</x:v>
      </x:c>
    </x:row>
    <x:row r="86">
      <x:c r="A86" t="n">
        <x:v>202628</x:v>
      </x:c>
      <x:c r="B86" t="str">
        <x:v>第28期（07.13-07.19）</x:v>
      </x:c>
      <x:c r="C86" t="str">
        <x:v>2026-07-13</x:v>
      </x:c>
      <x:c r="D86" t="str">
        <x:v>2026-07-19</x:v>
      </x:c>
      <x:c r="E86" t="n">
        <x:v>82</x:v>
      </x:c>
      <x:c r="F86" t="n">
        <x:v>466782905</x:v>
      </x:c>
      <x:c r="G86" t="str">
        <x:v>梦底</x:v>
      </x:c>
      <x:c r="H86" t="str">
        <x:v>海来阿木</x:v>
      </x:c>
      <x:c r="I86" t="str">
        <x:v>001bG0HK1bhUgX</x:v>
      </x:c>
      <x:c r="J86" t="str">
        <x:v>False</x:v>
      </x:c>
      <x:c r="K86" t="n">
        <x:v>72</x:v>
      </x:c>
      <x:c r="L86" t="n">
        <x:v>20</x:v>
      </x:c>
      <x:c r="M86" t="n">
        <x:v>9</x:v>
      </x:c>
      <x:c r="N86" t="n">
        <x:v>86.66295</x:v>
      </x:c>
      <x:c r="O86" t="n">
        <x:v>75.65</x:v>
      </x:c>
      <x:c r="P86" t="n">
        <x:v>0</x:v>
      </x:c>
      <x:c r="Q86" t="n">
        <x:v>0</x:v>
      </x:c>
      <x:c r="R86" t="n">
        <x:v>26.63</x:v>
      </x:c>
      <x:c r="S86" t="n">
        <x:v>38.82</x:v>
      </x:c>
      <x:c r="T86" t="str">
        <x:v>https://y.qq.com/music/photo_new/T062R500x500M000002Lcths3JW6kx.jpg</x:v>
      </x:c>
      <x:c r="U86" s="24" t="str">
        <x:f>IFERROR(VLOOKUP(I86,'07_字典与参数'!$G$5:$J$9,2,FALSE),"未入选")</x:f>
        <x:v>未入选</x:v>
      </x:c>
      <x:c r="V86" s="24" t="str">
        <x:f>IFERROR(VLOOKUP(I86,'07_字典与参数'!$G$5:$J$9,3,FALSE),"—")</x:f>
        <x:v>—</x:v>
      </x:c>
      <x:c r="W86" s="24" t="str">
        <x:f>IF(U86="未入选","否","是")</x:f>
        <x:v>否</x:v>
      </x:c>
    </x:row>
    <x:row r="87">
      <x:c r="A87" t="n">
        <x:v>202628</x:v>
      </x:c>
      <x:c r="B87" t="str">
        <x:v>第28期（07.13-07.19）</x:v>
      </x:c>
      <x:c r="C87" t="str">
        <x:v>2026-07-13</x:v>
      </x:c>
      <x:c r="D87" t="str">
        <x:v>2026-07-19</x:v>
      </x:c>
      <x:c r="E87" t="n">
        <x:v>83</x:v>
      </x:c>
      <x:c r="F87" t="n">
        <x:v>521720357</x:v>
      </x:c>
      <x:c r="G87" t="str">
        <x:v>Stay</x:v>
      </x:c>
      <x:c r="H87" t="str">
        <x:v>王俊凯</x:v>
      </x:c>
      <x:c r="I87" t="str">
        <x:v>002TplNQ18uPB9</x:v>
      </x:c>
      <x:c r="J87" t="str">
        <x:v>False</x:v>
      </x:c>
      <x:c r="K87" t="n">
        <x:v>50</x:v>
      </x:c>
      <x:c r="L87" t="n">
        <x:v>3</x:v>
      </x:c>
      <x:c r="M87" t="n">
        <x:v>24</x:v>
      </x:c>
      <x:c r="N87" t="n">
        <x:v>86.6428</x:v>
      </x:c>
      <x:c r="O87" t="n">
        <x:v>72</x:v>
      </x:c>
      <x:c r="P87" t="n">
        <x:v>0</x:v>
      </x:c>
      <x:c r="Q87" t="n">
        <x:v>0</x:v>
      </x:c>
      <x:c r="R87" t="n">
        <x:v>41.1</x:v>
      </x:c>
      <x:c r="S87" t="n">
        <x:v>50.18</x:v>
      </x:c>
      <x:c r="T87" t="str">
        <x:v>https://y.qq.com/music/photo_new/T062R500x500M000000yKB6w1WY6fo.jpg</x:v>
      </x:c>
      <x:c r="U87" s="24" t="str">
        <x:f>IFERROR(VLOOKUP(I87,'07_字典与参数'!$G$5:$J$9,2,FALSE),"未入选")</x:f>
        <x:v>未入选</x:v>
      </x:c>
      <x:c r="V87" s="24" t="str">
        <x:f>IFERROR(VLOOKUP(I87,'07_字典与参数'!$G$5:$J$9,3,FALSE),"—")</x:f>
        <x:v>—</x:v>
      </x:c>
      <x:c r="W87" s="24" t="str">
        <x:f>IF(U87="未入选","否","是")</x:f>
        <x:v>否</x:v>
      </x:c>
    </x:row>
    <x:row r="88">
      <x:c r="A88" t="n">
        <x:v>202628</x:v>
      </x:c>
      <x:c r="B88" t="str">
        <x:v>第28期（07.13-07.19）</x:v>
      </x:c>
      <x:c r="C88" t="str">
        <x:v>2026-07-13</x:v>
      </x:c>
      <x:c r="D88" t="str">
        <x:v>2026-07-19</x:v>
      </x:c>
      <x:c r="E88" t="n">
        <x:v>84</x:v>
      </x:c>
      <x:c r="F88" t="n">
        <x:v>467620041</x:v>
      </x:c>
      <x:c r="G88" t="str">
        <x:v>吉量</x:v>
      </x:c>
      <x:c r="H88" t="str">
        <x:v>周深</x:v>
      </x:c>
      <x:c r="I88" t="str">
        <x:v>004VCyBy391azx</x:v>
      </x:c>
      <x:c r="J88" t="str">
        <x:v>False</x:v>
      </x:c>
      <x:c r="K88" t="n">
        <x:v>6</x:v>
      </x:c>
      <x:c r="L88" t="n">
        <x:v>22</x:v>
      </x:c>
      <x:c r="M88" t="n">
        <x:v>1</x:v>
      </x:c>
      <x:c r="N88" t="n">
        <x:v>86.56434</x:v>
      </x:c>
      <x:c r="O88" t="n">
        <x:v>69.6</x:v>
      </x:c>
      <x:c r="P88" t="n">
        <x:v>0</x:v>
      </x:c>
      <x:c r="Q88" t="n">
        <x:v>0</x:v>
      </x:c>
      <x:c r="R88" t="n">
        <x:v>26.21</x:v>
      </x:c>
      <x:c r="S88" t="n">
        <x:v>56.92</x:v>
      </x:c>
      <x:c r="T88" t="str">
        <x:v>https://y.gtimg.cn/music/photo_new/T002R500x500M0000010e79v0CExQN_2.jpg</x:v>
      </x:c>
      <x:c r="U88" s="24" t="str">
        <x:f>IFERROR(VLOOKUP(I88,'07_字典与参数'!$G$5:$J$9,2,FALSE),"未入选")</x:f>
        <x:v>未入选</x:v>
      </x:c>
      <x:c r="V88" s="24" t="str">
        <x:f>IFERROR(VLOOKUP(I88,'07_字典与参数'!$G$5:$J$9,3,FALSE),"—")</x:f>
        <x:v>—</x:v>
      </x:c>
      <x:c r="W88" s="24" t="str">
        <x:f>IF(U88="未入选","否","是")</x:f>
        <x:v>否</x:v>
      </x:c>
    </x:row>
    <x:row r="89">
      <x:c r="A89" t="n">
        <x:v>202628</x:v>
      </x:c>
      <x:c r="B89" t="str">
        <x:v>第28期（07.13-07.19）</x:v>
      </x:c>
      <x:c r="C89" t="str">
        <x:v>2026-07-13</x:v>
      </x:c>
      <x:c r="D89" t="str">
        <x:v>2026-07-19</x:v>
      </x:c>
      <x:c r="E89" t="n">
        <x:v>85</x:v>
      </x:c>
      <x:c r="F89" t="n">
        <x:v>471987459</x:v>
      </x:c>
      <x:c r="G89" t="str">
        <x:v>无趣生活指南</x:v>
      </x:c>
      <x:c r="H89" t="str">
        <x:v>宋亚轩</x:v>
      </x:c>
      <x:c r="I89" t="str">
        <x:v>004MTdEu3oB5ZR</x:v>
      </x:c>
      <x:c r="J89" t="str">
        <x:v>False</x:v>
      </x:c>
      <x:c r="K89" t="n">
        <x:v>71</x:v>
      </x:c>
      <x:c r="L89" t="n">
        <x:v>19</x:v>
      </x:c>
      <x:c r="M89" t="n">
        <x:v>1</x:v>
      </x:c>
      <x:c r="N89" t="n">
        <x:v>86.53382</x:v>
      </x:c>
      <x:c r="O89" t="n">
        <x:v>60.18</x:v>
      </x:c>
      <x:c r="P89" t="n">
        <x:v>0</x:v>
      </x:c>
      <x:c r="Q89" t="n">
        <x:v>0</x:v>
      </x:c>
      <x:c r="R89" t="n">
        <x:v>9.61</x:v>
      </x:c>
      <x:c r="S89" t="n">
        <x:v>61.72</x:v>
      </x:c>
      <x:c r="T89" t="str">
        <x:v>https://y.gtimg.cn/music/photo_new/T002R500x500M000003Lv1d94F8P3W_1.jpg</x:v>
      </x:c>
      <x:c r="U89" s="24" t="str">
        <x:f>IFERROR(VLOOKUP(I89,'07_字典与参数'!$G$5:$J$9,2,FALSE),"未入选")</x:f>
        <x:v>未入选</x:v>
      </x:c>
      <x:c r="V89" s="24" t="str">
        <x:f>IFERROR(VLOOKUP(I89,'07_字典与参数'!$G$5:$J$9,3,FALSE),"—")</x:f>
        <x:v>—</x:v>
      </x:c>
      <x:c r="W89" s="24" t="str">
        <x:f>IF(U89="未入选","否","是")</x:f>
        <x:v>否</x:v>
      </x:c>
    </x:row>
    <x:row r="90">
      <x:c r="A90" t="n">
        <x:v>202628</x:v>
      </x:c>
      <x:c r="B90" t="str">
        <x:v>第28期（07.13-07.19）</x:v>
      </x:c>
      <x:c r="C90" t="str">
        <x:v>2026-07-13</x:v>
      </x:c>
      <x:c r="D90" t="str">
        <x:v>2026-07-19</x:v>
      </x:c>
      <x:c r="E90" t="n">
        <x:v>86</x:v>
      </x:c>
      <x:c r="F90" t="n">
        <x:v>476300984</x:v>
      </x:c>
      <x:c r="G90" t="str">
        <x:v>无人乐园</x:v>
      </x:c>
      <x:c r="H90" t="str">
        <x:v>王俊凯</x:v>
      </x:c>
      <x:c r="I90" t="str">
        <x:v>004BsuOC1hamlB</x:v>
      </x:c>
      <x:c r="J90" t="str">
        <x:v>False</x:v>
      </x:c>
      <x:c r="K90" t="n">
        <x:v>66</x:v>
      </x:c>
      <x:c r="L90" t="n">
        <x:v>17</x:v>
      </x:c>
      <x:c r="M90" t="n">
        <x:v>1</x:v>
      </x:c>
      <x:c r="N90" t="n">
        <x:v>86.30944</x:v>
      </x:c>
      <x:c r="O90" t="n">
        <x:v>71.5</x:v>
      </x:c>
      <x:c r="P90" t="n">
        <x:v>0</x:v>
      </x:c>
      <x:c r="Q90" t="n">
        <x:v>0</x:v>
      </x:c>
      <x:c r="R90" t="n">
        <x:v>37.55</x:v>
      </x:c>
      <x:c r="S90" t="n">
        <x:v>50.87</x:v>
      </x:c>
      <x:c r="T90" t="str">
        <x:v>https://y.qq.com/music/photo_new/T062R500x500M000002ExhNX0VO1Mc.jpg</x:v>
      </x:c>
      <x:c r="U90" s="24" t="str">
        <x:f>IFERROR(VLOOKUP(I90,'07_字典与参数'!$G$5:$J$9,2,FALSE),"未入选")</x:f>
        <x:v>未入选</x:v>
      </x:c>
      <x:c r="V90" s="24" t="str">
        <x:f>IFERROR(VLOOKUP(I90,'07_字典与参数'!$G$5:$J$9,3,FALSE),"—")</x:f>
        <x:v>—</x:v>
      </x:c>
      <x:c r="W90" s="24" t="str">
        <x:f>IF(U90="未入选","否","是")</x:f>
        <x:v>否</x:v>
      </x:c>
    </x:row>
    <x:row r="91">
      <x:c r="A91" t="n">
        <x:v>202628</x:v>
      </x:c>
      <x:c r="B91" t="str">
        <x:v>第28期（07.13-07.19）</x:v>
      </x:c>
      <x:c r="C91" t="str">
        <x:v>2026-07-13</x:v>
      </x:c>
      <x:c r="D91" t="str">
        <x:v>2026-07-19</x:v>
      </x:c>
      <x:c r="E91" t="n">
        <x:v>87</x:v>
      </x:c>
      <x:c r="F91" t="n">
        <x:v>513694560</x:v>
      </x:c>
      <x:c r="G91" t="str">
        <x:v>最后的借口</x:v>
      </x:c>
      <x:c r="H91" t="str">
        <x:v>h3R3刘清云,罗可Lorkin</x:v>
      </x:c>
      <x:c r="I91" t="str">
        <x:v>0009ekdK2Ilzld</x:v>
      </x:c>
      <x:c r="J91" t="str">
        <x:v>False</x:v>
      </x:c>
      <x:c r="K91" t="n">
        <x:v>103</x:v>
      </x:c>
      <x:c r="L91" t="n">
        <x:v>2</x:v>
      </x:c>
      <x:c r="M91" t="n">
        <x:v>73</x:v>
      </x:c>
      <x:c r="N91" t="n">
        <x:v>86.27443</x:v>
      </x:c>
      <x:c r="O91" t="n">
        <x:v>75.2</x:v>
      </x:c>
      <x:c r="P91" t="n">
        <x:v>0</x:v>
      </x:c>
      <x:c r="Q91" t="n">
        <x:v>0</x:v>
      </x:c>
      <x:c r="R91" t="n">
        <x:v>10.36</x:v>
      </x:c>
      <x:c r="S91" t="n">
        <x:v>42.74</x:v>
      </x:c>
      <x:c r="T91" t="str">
        <x:v>https://y.gtimg.cn/music/photo_new/T002R500x500M0000031yTwA0yq3b5_1.jpg</x:v>
      </x:c>
      <x:c r="U91" s="24" t="str">
        <x:f>IFERROR(VLOOKUP(I91,'07_字典与参数'!$G$5:$J$9,2,FALSE),"未入选")</x:f>
        <x:v>未入选</x:v>
      </x:c>
      <x:c r="V91" s="24" t="str">
        <x:f>IFERROR(VLOOKUP(I91,'07_字典与参数'!$G$5:$J$9,3,FALSE),"—")</x:f>
        <x:v>—</x:v>
      </x:c>
      <x:c r="W91" s="24" t="str">
        <x:f>IF(U91="未入选","否","是")</x:f>
        <x:v>否</x:v>
      </x:c>
    </x:row>
    <x:row r="92">
      <x:c r="A92" t="n">
        <x:v>202628</x:v>
      </x:c>
      <x:c r="B92" t="str">
        <x:v>第28期（07.13-07.19）</x:v>
      </x:c>
      <x:c r="C92" t="str">
        <x:v>2026-07-13</x:v>
      </x:c>
      <x:c r="D92" t="str">
        <x:v>2026-07-19</x:v>
      </x:c>
      <x:c r="E92" t="n">
        <x:v>88</x:v>
      </x:c>
      <x:c r="F92" t="n">
        <x:v>464961899</x:v>
      </x:c>
      <x:c r="G92" t="str">
        <x:v>失眠了</x:v>
      </x:c>
      <x:c r="H92" t="str">
        <x:v>吴琳珂Moske</x:v>
      </x:c>
      <x:c r="I92" t="str">
        <x:v>001TbwI91Lu6kB</x:v>
      </x:c>
      <x:c r="J92" t="str">
        <x:v>False</x:v>
      </x:c>
      <x:c r="K92" t="n">
        <x:v>76</x:v>
      </x:c>
      <x:c r="L92" t="n">
        <x:v>21</x:v>
      </x:c>
      <x:c r="M92" t="n">
        <x:v>19</x:v>
      </x:c>
      <x:c r="N92" t="n">
        <x:v>86.26133</x:v>
      </x:c>
      <x:c r="O92" t="n">
        <x:v>75.56</x:v>
      </x:c>
      <x:c r="P92" t="n">
        <x:v>0</x:v>
      </x:c>
      <x:c r="Q92" t="n">
        <x:v>0</x:v>
      </x:c>
      <x:c r="R92" t="n">
        <x:v>2.87</x:v>
      </x:c>
      <x:c r="S92" t="n">
        <x:v>40.6</x:v>
      </x:c>
      <x:c r="T92" t="str">
        <x:v>https://y.gtimg.cn/music/photo_new/T002R500x500M000001Eq1Sr22DGRf_1.jpg</x:v>
      </x:c>
      <x:c r="U92" s="24" t="str">
        <x:f>IFERROR(VLOOKUP(I92,'07_字典与参数'!$G$5:$J$9,2,FALSE),"未入选")</x:f>
        <x:v>未入选</x:v>
      </x:c>
      <x:c r="V92" s="24" t="str">
        <x:f>IFERROR(VLOOKUP(I92,'07_字典与参数'!$G$5:$J$9,3,FALSE),"—")</x:f>
        <x:v>—</x:v>
      </x:c>
      <x:c r="W92" s="24" t="str">
        <x:f>IF(U92="未入选","否","是")</x:f>
        <x:v>否</x:v>
      </x:c>
    </x:row>
    <x:row r="93">
      <x:c r="A93" t="n">
        <x:v>202628</x:v>
      </x:c>
      <x:c r="B93" t="str">
        <x:v>第28期（07.13-07.19）</x:v>
      </x:c>
      <x:c r="C93" t="str">
        <x:v>2026-07-13</x:v>
      </x:c>
      <x:c r="D93" t="str">
        <x:v>2026-07-19</x:v>
      </x:c>
      <x:c r="E93" t="n">
        <x:v>89</x:v>
      </x:c>
      <x:c r="F93" t="n">
        <x:v>515780030</x:v>
      </x:c>
      <x:c r="G93" t="str">
        <x:v>真相</x:v>
      </x:c>
      <x:c r="H93" t="str">
        <x:v>王俊凯</x:v>
      </x:c>
      <x:c r="I93" t="str">
        <x:v>004WWjMC2Dt1ip</x:v>
      </x:c>
      <x:c r="J93" t="str">
        <x:v>False</x:v>
      </x:c>
      <x:c r="K93" t="n">
        <x:v>61</x:v>
      </x:c>
      <x:c r="L93" t="n">
        <x:v>4</x:v>
      </x:c>
      <x:c r="M93" t="n">
        <x:v>5</x:v>
      </x:c>
      <x:c r="N93" t="n">
        <x:v>86.22064</x:v>
      </x:c>
      <x:c r="O93" t="n">
        <x:v>71.65</x:v>
      </x:c>
      <x:c r="P93" t="n">
        <x:v>0</x:v>
      </x:c>
      <x:c r="Q93" t="n">
        <x:v>0</x:v>
      </x:c>
      <x:c r="R93" t="n">
        <x:v>35.61</x:v>
      </x:c>
      <x:c r="S93" t="n">
        <x:v>50.64</x:v>
      </x:c>
      <x:c r="T93" t="str">
        <x:v>https://y.qq.com/music/photo_new/T062R500x500M000004YwMvf2ekLnQ.jpg</x:v>
      </x:c>
      <x:c r="U93" s="24" t="str">
        <x:f>IFERROR(VLOOKUP(I93,'07_字典与参数'!$G$5:$J$9,2,FALSE),"未入选")</x:f>
        <x:v>未入选</x:v>
      </x:c>
      <x:c r="V93" s="24" t="str">
        <x:f>IFERROR(VLOOKUP(I93,'07_字典与参数'!$G$5:$J$9,3,FALSE),"—")</x:f>
        <x:v>—</x:v>
      </x:c>
      <x:c r="W93" s="24" t="str">
        <x:f>IF(U93="未入选","否","是")</x:f>
        <x:v>否</x:v>
      </x:c>
    </x:row>
    <x:row r="94">
      <x:c r="A94" t="n">
        <x:v>202628</x:v>
      </x:c>
      <x:c r="B94" t="str">
        <x:v>第28期（07.13-07.19）</x:v>
      </x:c>
      <x:c r="C94" t="str">
        <x:v>2026-07-13</x:v>
      </x:c>
      <x:c r="D94" t="str">
        <x:v>2026-07-19</x:v>
      </x:c>
      <x:c r="E94" t="n">
        <x:v>90</x:v>
      </x:c>
      <x:c r="F94" t="n">
        <x:v>515779634</x:v>
      </x:c>
      <x:c r="G94" t="str">
        <x:v>I Love This Life</x:v>
      </x:c>
      <x:c r="H94" t="str">
        <x:v>王俊凯</x:v>
      </x:c>
      <x:c r="I94" t="str">
        <x:v>002snOiL3DNzr2</x:v>
      </x:c>
      <x:c r="J94" t="str">
        <x:v>False</x:v>
      </x:c>
      <x:c r="K94" t="n">
        <x:v>64</x:v>
      </x:c>
      <x:c r="L94" t="n">
        <x:v>4</x:v>
      </x:c>
      <x:c r="M94" t="n">
        <x:v>7</x:v>
      </x:c>
      <x:c r="N94" t="n">
        <x:v>86.13332</x:v>
      </x:c>
      <x:c r="O94" t="n">
        <x:v>71.61</x:v>
      </x:c>
      <x:c r="P94" t="n">
        <x:v>0</x:v>
      </x:c>
      <x:c r="Q94" t="n">
        <x:v>0</x:v>
      </x:c>
      <x:c r="R94" t="n">
        <x:v>35.14</x:v>
      </x:c>
      <x:c r="S94" t="n">
        <x:v>50.48</x:v>
      </x:c>
      <x:c r="T94" t="str">
        <x:v>https://y.qq.com/music/photo_new/T062R500x500M0000033JXxr402Nw0.jpg</x:v>
      </x:c>
      <x:c r="U94" s="24" t="str">
        <x:f>IFERROR(VLOOKUP(I94,'07_字典与参数'!$G$5:$J$9,2,FALSE),"未入选")</x:f>
        <x:v>未入选</x:v>
      </x:c>
      <x:c r="V94" s="24" t="str">
        <x:f>IFERROR(VLOOKUP(I94,'07_字典与参数'!$G$5:$J$9,3,FALSE),"—")</x:f>
        <x:v>—</x:v>
      </x:c>
      <x:c r="W94" s="24" t="str">
        <x:f>IF(U94="未入选","否","是")</x:f>
        <x:v>否</x:v>
      </x:c>
    </x:row>
    <x:row r="95">
      <x:c r="A95" t="n">
        <x:v>202628</x:v>
      </x:c>
      <x:c r="B95" t="str">
        <x:v>第28期（07.13-07.19）</x:v>
      </x:c>
      <x:c r="C95" t="str">
        <x:v>2026-07-13</x:v>
      </x:c>
      <x:c r="D95" t="str">
        <x:v>2026-07-19</x:v>
      </x:c>
      <x:c r="E95" t="n">
        <x:v>91</x:v>
      </x:c>
      <x:c r="F95" t="n">
        <x:v>513296573</x:v>
      </x:c>
      <x:c r="G95" t="str">
        <x:v>街角的晚风1997</x:v>
      </x:c>
      <x:c r="H95" t="str">
        <x:v>曾舜晞</x:v>
      </x:c>
      <x:c r="I95" t="str">
        <x:v>004Ge20S1FuiOF</x:v>
      </x:c>
      <x:c r="J95" t="str">
        <x:v>False</x:v>
      </x:c>
      <x:c r="K95" t="n">
        <x:v>110</x:v>
      </x:c>
      <x:c r="L95" t="n">
        <x:v>2</x:v>
      </x:c>
      <x:c r="M95" t="n">
        <x:v>87</x:v>
      </x:c>
      <x:c r="N95" t="n">
        <x:v>86.12658</x:v>
      </x:c>
      <x:c r="O95" t="n">
        <x:v>75.8</x:v>
      </x:c>
      <x:c r="P95" t="n">
        <x:v>0</x:v>
      </x:c>
      <x:c r="Q95" t="n">
        <x:v>0</x:v>
      </x:c>
      <x:c r="R95" t="n">
        <x:v>4.19</x:v>
      </x:c>
      <x:c r="S95" t="n">
        <x:v>22.07</x:v>
      </x:c>
      <x:c r="T95" t="str">
        <x:v>https://y.gtimg.cn/music/photo_new/T002R500x500M000002eea6O0cudxW_2.jpg</x:v>
      </x:c>
      <x:c r="U95" s="24" t="str">
        <x:f>IFERROR(VLOOKUP(I95,'07_字典与参数'!$G$5:$J$9,2,FALSE),"未入选")</x:f>
        <x:v>未入选</x:v>
      </x:c>
      <x:c r="V95" s="24" t="str">
        <x:f>IFERROR(VLOOKUP(I95,'07_字典与参数'!$G$5:$J$9,3,FALSE),"—")</x:f>
        <x:v>—</x:v>
      </x:c>
      <x:c r="W95" s="24" t="str">
        <x:f>IF(U95="未入选","否","是")</x:f>
        <x:v>否</x:v>
      </x:c>
    </x:row>
    <x:row r="96">
      <x:c r="A96" t="n">
        <x:v>202628</x:v>
      </x:c>
      <x:c r="B96" t="str">
        <x:v>第28期（07.13-07.19）</x:v>
      </x:c>
      <x:c r="C96" t="str">
        <x:v>2026-07-13</x:v>
      </x:c>
      <x:c r="D96" t="str">
        <x:v>2026-07-19</x:v>
      </x:c>
      <x:c r="E96" t="n">
        <x:v>92</x:v>
      </x:c>
      <x:c r="F96" t="n">
        <x:v>522662100</x:v>
      </x:c>
      <x:c r="G96" t="str">
        <x:v>UP IT</x:v>
      </x:c>
      <x:c r="H96" t="str">
        <x:v>刘耀文</x:v>
      </x:c>
      <x:c r="I96" t="str">
        <x:v>003envMt4H3x7x</x:v>
      </x:c>
      <x:c r="J96" t="str">
        <x:v>False</x:v>
      </x:c>
      <x:c r="K96" t="n">
        <x:v>2</x:v>
      </x:c>
      <x:c r="L96" t="n">
        <x:v>2</x:v>
      </x:c>
      <x:c r="M96" t="n">
        <x:v>2</x:v>
      </x:c>
      <x:c r="N96" t="n">
        <x:v>86.09683</x:v>
      </x:c>
      <x:c r="O96" t="n">
        <x:v>65</x:v>
      </x:c>
      <x:c r="P96" t="n">
        <x:v>0</x:v>
      </x:c>
      <x:c r="Q96" t="n">
        <x:v>0</x:v>
      </x:c>
      <x:c r="R96" t="n">
        <x:v>34.67</x:v>
      </x:c>
      <x:c r="S96" t="n">
        <x:v>56.74</x:v>
      </x:c>
      <x:c r="T96" t="str">
        <x:v>https://y.gtimg.cn/music/photo_new/T002R500x500M000003Q3flT1zkBX3_1.jpg</x:v>
      </x:c>
      <x:c r="U96" s="24" t="str">
        <x:f>IFERROR(VLOOKUP(I96,'07_字典与参数'!$G$5:$J$9,2,FALSE),"未入选")</x:f>
        <x:v>未入选</x:v>
      </x:c>
      <x:c r="V96" s="24" t="str">
        <x:f>IFERROR(VLOOKUP(I96,'07_字典与参数'!$G$5:$J$9,3,FALSE),"—")</x:f>
        <x:v>—</x:v>
      </x:c>
      <x:c r="W96" s="24" t="str">
        <x:f>IF(U96="未入选","否","是")</x:f>
        <x:v>否</x:v>
      </x:c>
    </x:row>
    <x:row r="97">
      <x:c r="A97" t="n">
        <x:v>202628</x:v>
      </x:c>
      <x:c r="B97" t="str">
        <x:v>第28期（07.13-07.19）</x:v>
      </x:c>
      <x:c r="C97" t="str">
        <x:v>2026-07-13</x:v>
      </x:c>
      <x:c r="D97" t="str">
        <x:v>2026-07-19</x:v>
      </x:c>
      <x:c r="E97" t="n">
        <x:v>93</x:v>
      </x:c>
      <x:c r="F97" t="n">
        <x:v>481957782</x:v>
      </x:c>
      <x:c r="G97" t="str">
        <x:v>烟花街</x:v>
      </x:c>
      <x:c r="H97" t="str">
        <x:v>崔十八,听潮阁</x:v>
      </x:c>
      <x:c r="I97" t="str">
        <x:v>002EsPoW4eUnsu</x:v>
      </x:c>
      <x:c r="J97" t="str">
        <x:v>False</x:v>
      </x:c>
      <x:c r="K97" t="n">
        <x:v>79</x:v>
      </x:c>
      <x:c r="L97" t="n">
        <x:v>4</x:v>
      </x:c>
      <x:c r="M97" t="n">
        <x:v>52</x:v>
      </x:c>
      <x:c r="N97" t="n">
        <x:v>86.06983</x:v>
      </x:c>
      <x:c r="O97" t="n">
        <x:v>47.05</x:v>
      </x:c>
      <x:c r="P97" t="n">
        <x:v>0</x:v>
      </x:c>
      <x:c r="Q97" t="n">
        <x:v>0</x:v>
      </x:c>
      <x:c r="R97" t="n">
        <x:v>39.74</x:v>
      </x:c>
      <x:c r="S97" t="n">
        <x:v>60.58</x:v>
      </x:c>
      <x:c r="T97" t="str">
        <x:v>https://y.gtimg.cn/music/photo_new/T002R500x500M000003VWOiA0YwIBI_1.jpg</x:v>
      </x:c>
      <x:c r="U97" s="24" t="str">
        <x:f>IFERROR(VLOOKUP(I97,'07_字典与参数'!$G$5:$J$9,2,FALSE),"未入选")</x:f>
        <x:v>未入选</x:v>
      </x:c>
      <x:c r="V97" s="24" t="str">
        <x:f>IFERROR(VLOOKUP(I97,'07_字典与参数'!$G$5:$J$9,3,FALSE),"—")</x:f>
        <x:v>—</x:v>
      </x:c>
      <x:c r="W97" s="24" t="str">
        <x:f>IF(U97="未入选","否","是")</x:f>
        <x:v>否</x:v>
      </x:c>
    </x:row>
    <x:row r="98">
      <x:c r="A98" t="n">
        <x:v>202628</x:v>
      </x:c>
      <x:c r="B98" t="str">
        <x:v>第28期（07.13-07.19）</x:v>
      </x:c>
      <x:c r="C98" t="str">
        <x:v>2026-07-13</x:v>
      </x:c>
      <x:c r="D98" t="str">
        <x:v>2026-07-19</x:v>
      </x:c>
      <x:c r="E98" t="n">
        <x:v>94</x:v>
      </x:c>
      <x:c r="F98" t="n">
        <x:v>515780154</x:v>
      </x:c>
      <x:c r="G98" t="str">
        <x:v>从前</x:v>
      </x:c>
      <x:c r="H98" t="str">
        <x:v>王俊凯</x:v>
      </x:c>
      <x:c r="I98" t="str">
        <x:v>000Ji0xi2WKRll</x:v>
      </x:c>
      <x:c r="J98" t="str">
        <x:v>False</x:v>
      </x:c>
      <x:c r="K98" t="n">
        <x:v>65</x:v>
      </x:c>
      <x:c r="L98" t="n">
        <x:v>4</x:v>
      </x:c>
      <x:c r="M98" t="n">
        <x:v>6</x:v>
      </x:c>
      <x:c r="N98" t="n">
        <x:v>86.05398</x:v>
      </x:c>
      <x:c r="O98" t="n">
        <x:v>71.6</x:v>
      </x:c>
      <x:c r="P98" t="n">
        <x:v>0</x:v>
      </x:c>
      <x:c r="Q98" t="n">
        <x:v>0</x:v>
      </x:c>
      <x:c r="R98" t="n">
        <x:v>34.32</x:v>
      </x:c>
      <x:c r="S98" t="n">
        <x:v>50.38</x:v>
      </x:c>
      <x:c r="T98" t="str">
        <x:v>https://y.qq.com/music/photo_new/T062R500x500M000001q4lBQ4YRSPD.jpg</x:v>
      </x:c>
      <x:c r="U98" s="24" t="str">
        <x:f>IFERROR(VLOOKUP(I98,'07_字典与参数'!$G$5:$J$9,2,FALSE),"未入选")</x:f>
        <x:v>未入选</x:v>
      </x:c>
      <x:c r="V98" s="24" t="str">
        <x:f>IFERROR(VLOOKUP(I98,'07_字典与参数'!$G$5:$J$9,3,FALSE),"—")</x:f>
        <x:v>—</x:v>
      </x:c>
      <x:c r="W98" s="24" t="str">
        <x:f>IF(U98="未入选","否","是")</x:f>
        <x:v>否</x:v>
      </x:c>
    </x:row>
    <x:row r="99">
      <x:c r="A99" t="n">
        <x:v>202628</x:v>
      </x:c>
      <x:c r="B99" t="str">
        <x:v>第28期（07.13-07.19）</x:v>
      </x:c>
      <x:c r="C99" t="str">
        <x:v>2026-07-13</x:v>
      </x:c>
      <x:c r="D99" t="str">
        <x:v>2026-07-19</x:v>
      </x:c>
      <x:c r="E99" t="n">
        <x:v>95</x:v>
      </x:c>
      <x:c r="F99" t="n">
        <x:v>464953063</x:v>
      </x:c>
      <x:c r="G99" t="str">
        <x:v>消逝在八月盛夏</x:v>
      </x:c>
      <x:c r="H99" t="str">
        <x:v>TF_ING张子墨</x:v>
      </x:c>
      <x:c r="I99" t="str">
        <x:v>003mA8Fo07IAmp</x:v>
      </x:c>
      <x:c r="J99" t="str">
        <x:v>False</x:v>
      </x:c>
      <x:c r="K99" t="n">
        <x:v>49</x:v>
      </x:c>
      <x:c r="L99" t="n">
        <x:v>3</x:v>
      </x:c>
      <x:c r="M99" t="n">
        <x:v>18</x:v>
      </x:c>
      <x:c r="N99" t="n">
        <x:v>86.02475</x:v>
      </x:c>
      <x:c r="O99" t="n">
        <x:v>52.93</x:v>
      </x:c>
      <x:c r="P99" t="n">
        <x:v>0</x:v>
      </x:c>
      <x:c r="Q99" t="n">
        <x:v>0</x:v>
      </x:c>
      <x:c r="R99" t="n">
        <x:v>30.45</x:v>
      </x:c>
      <x:c r="S99" t="n">
        <x:v>60.96</x:v>
      </x:c>
      <x:c r="T99" t="str">
        <x:v>https://y.gtimg.cn/music/photo_new/T002R500x500M000003pvZer4RNjFP_1.jpg</x:v>
      </x:c>
      <x:c r="U99" s="24" t="str">
        <x:f>IFERROR(VLOOKUP(I99,'07_字典与参数'!$G$5:$J$9,2,FALSE),"未入选")</x:f>
        <x:v>未入选</x:v>
      </x:c>
      <x:c r="V99" s="24" t="str">
        <x:f>IFERROR(VLOOKUP(I99,'07_字典与参数'!$G$5:$J$9,3,FALSE),"—")</x:f>
        <x:v>—</x:v>
      </x:c>
      <x:c r="W99" s="24" t="str">
        <x:f>IF(U99="未入选","否","是")</x:f>
        <x:v>否</x:v>
      </x:c>
    </x:row>
    <x:row r="100">
      <x:c r="A100" t="n">
        <x:v>202628</x:v>
      </x:c>
      <x:c r="B100" t="str">
        <x:v>第28期（07.13-07.19）</x:v>
      </x:c>
      <x:c r="C100" t="str">
        <x:v>2026-07-13</x:v>
      </x:c>
      <x:c r="D100" t="str">
        <x:v>2026-07-19</x:v>
      </x:c>
      <x:c r="E100" t="n">
        <x:v>96</x:v>
      </x:c>
      <x:c r="F100" t="n">
        <x:v>530772974</x:v>
      </x:c>
      <x:c r="G100" t="str">
        <x:v>Metal Flower</x:v>
      </x:c>
      <x:c r="H100" t="str">
        <x:v>R.E.D</x:v>
      </x:c>
      <x:c r="I100" t="str">
        <x:v>0043j4Cx4XEcBt</x:v>
      </x:c>
      <x:c r="J100" t="str">
        <x:v>True</x:v>
      </x:c>
      <x:c r="K100" t="n">
        <x:v>156</x:v>
      </x:c>
      <x:c r="L100" t="n">
        <x:v>1</x:v>
      </x:c>
      <x:c r="M100" t="n">
        <x:v>96</x:v>
      </x:c>
      <x:c r="N100" t="n">
        <x:v>85.86492</x:v>
      </x:c>
      <x:c r="O100" t="n">
        <x:v>70.37</x:v>
      </x:c>
      <x:c r="P100" t="n">
        <x:v>0</x:v>
      </x:c>
      <x:c r="Q100" t="n">
        <x:v>0</x:v>
      </x:c>
      <x:c r="R100" t="n">
        <x:v>20.6</x:v>
      </x:c>
      <x:c r="S100" t="n">
        <x:v>53.91</x:v>
      </x:c>
      <x:c r="T100" t="str">
        <x:v>https://y.gtimg.cn/music/photo_new/T002R500x500M000000u1Owg2RJzL5_1.jpg</x:v>
      </x:c>
      <x:c r="U100" s="24" t="str">
        <x:f>IFERROR(VLOOKUP(I100,'07_字典与参数'!$G$5:$J$9,2,FALSE),"未入选")</x:f>
        <x:v>未入选</x:v>
      </x:c>
      <x:c r="V100" s="24" t="str">
        <x:f>IFERROR(VLOOKUP(I100,'07_字典与参数'!$G$5:$J$9,3,FALSE),"—")</x:f>
        <x:v>—</x:v>
      </x:c>
      <x:c r="W100" s="24" t="str">
        <x:f>IF(U100="未入选","否","是")</x:f>
        <x:v>否</x:v>
      </x:c>
    </x:row>
    <x:row r="101">
      <x:c r="A101" t="n">
        <x:v>202628</x:v>
      </x:c>
      <x:c r="B101" t="str">
        <x:v>第28期（07.13-07.19）</x:v>
      </x:c>
      <x:c r="C101" t="str">
        <x:v>2026-07-13</x:v>
      </x:c>
      <x:c r="D101" t="str">
        <x:v>2026-07-19</x:v>
      </x:c>
      <x:c r="E101" t="n">
        <x:v>97</x:v>
      </x:c>
      <x:c r="F101" t="n">
        <x:v>492018231</x:v>
      </x:c>
      <x:c r="G101" t="str">
        <x:v>焰 (Born of fire)</x:v>
      </x:c>
      <x:c r="H101" t="str">
        <x:v>喻言</x:v>
      </x:c>
      <x:c r="I101" t="str">
        <x:v>002XikGC1GN4Ug</x:v>
      </x:c>
      <x:c r="J101" t="str">
        <x:v>False</x:v>
      </x:c>
      <x:c r="K101" t="n">
        <x:v>88</x:v>
      </x:c>
      <x:c r="L101" t="n">
        <x:v>9</x:v>
      </x:c>
      <x:c r="M101" t="n">
        <x:v>5</x:v>
      </x:c>
      <x:c r="N101" t="n">
        <x:v>85.85817</x:v>
      </x:c>
      <x:c r="O101" t="n">
        <x:v>44.67</x:v>
      </x:c>
      <x:c r="P101" t="n">
        <x:v>0</x:v>
      </x:c>
      <x:c r="Q101" t="n">
        <x:v>0</x:v>
      </x:c>
      <x:c r="R101" t="n">
        <x:v>16.58</x:v>
      </x:c>
      <x:c r="S101" t="n">
        <x:v>61.7</x:v>
      </x:c>
      <x:c r="T101" t="str">
        <x:v>https://y.gtimg.cn/music/photo_new/T002R500x500M000000rhRU20WI7Ce_1.jpg</x:v>
      </x:c>
      <x:c r="U101" s="24" t="str">
        <x:f>IFERROR(VLOOKUP(I101,'07_字典与参数'!$G$5:$J$9,2,FALSE),"未入选")</x:f>
        <x:v>未入选</x:v>
      </x:c>
      <x:c r="V101" s="24" t="str">
        <x:f>IFERROR(VLOOKUP(I101,'07_字典与参数'!$G$5:$J$9,3,FALSE),"—")</x:f>
        <x:v>—</x:v>
      </x:c>
      <x:c r="W101" s="24" t="str">
        <x:f>IF(U101="未入选","否","是")</x:f>
        <x:v>否</x:v>
      </x:c>
    </x:row>
    <x:row r="102">
      <x:c r="A102" t="n">
        <x:v>202628</x:v>
      </x:c>
      <x:c r="B102" t="str">
        <x:v>第28期（07.13-07.19）</x:v>
      </x:c>
      <x:c r="C102" t="str">
        <x:v>2026-07-13</x:v>
      </x:c>
      <x:c r="D102" t="str">
        <x:v>2026-07-19</x:v>
      </x:c>
      <x:c r="E102" t="n">
        <x:v>98</x:v>
      </x:c>
      <x:c r="F102" t="n">
        <x:v>472514843</x:v>
      </x:c>
      <x:c r="G102" t="str">
        <x:v>问你一个人类梦寐以求的深奥问题</x:v>
      </x:c>
      <x:c r="H102" t="str">
        <x:v>汪苏泷</x:v>
      </x:c>
      <x:c r="I102" t="str">
        <x:v>003O2jAx2Z8mad</x:v>
      </x:c>
      <x:c r="J102" t="str">
        <x:v>False</x:v>
      </x:c>
      <x:c r="K102" t="n">
        <x:v>93</x:v>
      </x:c>
      <x:c r="L102" t="n">
        <x:v>19</x:v>
      </x:c>
      <x:c r="M102" t="n">
        <x:v>5</x:v>
      </x:c>
      <x:c r="N102" t="n">
        <x:v>85.83387</x:v>
      </x:c>
      <x:c r="O102" t="n">
        <x:v>70.29</x:v>
      </x:c>
      <x:c r="P102" t="n">
        <x:v>0</x:v>
      </x:c>
      <x:c r="Q102" t="n">
        <x:v>0</x:v>
      </x:c>
      <x:c r="R102" t="n">
        <x:v>23.76</x:v>
      </x:c>
      <x:c r="S102" t="n">
        <x:v>53.62</x:v>
      </x:c>
      <x:c r="T102" t="str">
        <x:v>https://y.qq.com/music/photo_new/T062R500x500M000001MhXjs26yhdQ.jpg</x:v>
      </x:c>
      <x:c r="U102" s="24" t="str">
        <x:f>IFERROR(VLOOKUP(I102,'07_字典与参数'!$G$5:$J$9,2,FALSE),"未入选")</x:f>
        <x:v>未入选</x:v>
      </x:c>
      <x:c r="V102" s="24" t="str">
        <x:f>IFERROR(VLOOKUP(I102,'07_字典与参数'!$G$5:$J$9,3,FALSE),"—")</x:f>
        <x:v>—</x:v>
      </x:c>
      <x:c r="W102" s="24" t="str">
        <x:f>IF(U102="未入选","否","是")</x:f>
        <x:v>否</x:v>
      </x:c>
    </x:row>
    <x:row r="103">
      <x:c r="A103" t="n">
        <x:v>202628</x:v>
      </x:c>
      <x:c r="B103" t="str">
        <x:v>第28期（07.13-07.19）</x:v>
      </x:c>
      <x:c r="C103" t="str">
        <x:v>2026-07-13</x:v>
      </x:c>
      <x:c r="D103" t="str">
        <x:v>2026-07-19</x:v>
      </x:c>
      <x:c r="E103" t="n">
        <x:v>99</x:v>
      </x:c>
      <x:c r="F103" t="n">
        <x:v>474678725</x:v>
      </x:c>
      <x:c r="G103" t="str">
        <x:v>宠</x:v>
      </x:c>
      <x:c r="H103" t="str">
        <x:v>檀健次</x:v>
      </x:c>
      <x:c r="I103" t="str">
        <x:v>004F7UlD2YXJtR</x:v>
      </x:c>
      <x:c r="J103" t="str">
        <x:v>False</x:v>
      </x:c>
      <x:c r="K103" t="n">
        <x:v>80</x:v>
      </x:c>
      <x:c r="L103" t="n">
        <x:v>18</x:v>
      </x:c>
      <x:c r="M103" t="n">
        <x:v>10</x:v>
      </x:c>
      <x:c r="N103" t="n">
        <x:v>85.82426</x:v>
      </x:c>
      <x:c r="O103" t="n">
        <x:v>61.12</x:v>
      </x:c>
      <x:c r="P103" t="n">
        <x:v>0</x:v>
      </x:c>
      <x:c r="Q103" t="n">
        <x:v>0</x:v>
      </x:c>
      <x:c r="R103" t="n">
        <x:v>13.73</x:v>
      </x:c>
      <x:c r="S103" t="n">
        <x:v>60.23</x:v>
      </x:c>
      <x:c r="T103" t="str">
        <x:v>https://y.gtimg.cn/music/photo_new/T002R500x500M000001pEKRz4LW4Vx_1.jpg</x:v>
      </x:c>
      <x:c r="U103" s="24" t="str">
        <x:f>IFERROR(VLOOKUP(I103,'07_字典与参数'!$G$5:$J$9,2,FALSE),"未入选")</x:f>
        <x:v>未入选</x:v>
      </x:c>
      <x:c r="V103" s="24" t="str">
        <x:f>IFERROR(VLOOKUP(I103,'07_字典与参数'!$G$5:$J$9,3,FALSE),"—")</x:f>
        <x:v>—</x:v>
      </x:c>
      <x:c r="W103" s="24" t="str">
        <x:f>IF(U103="未入选","否","是")</x:f>
        <x:v>否</x:v>
      </x:c>
    </x:row>
    <x:row r="104">
      <x:c r="A104" t="n">
        <x:v>202628</x:v>
      </x:c>
      <x:c r="B104" t="str">
        <x:v>第28期（07.13-07.19）</x:v>
      </x:c>
      <x:c r="C104" t="str">
        <x:v>2026-07-13</x:v>
      </x:c>
      <x:c r="D104" t="str">
        <x:v>2026-07-19</x:v>
      </x:c>
      <x:c r="E104" t="n">
        <x:v>100</x:v>
      </x:c>
      <x:c r="F104" t="n">
        <x:v>516975210</x:v>
      </x:c>
      <x:c r="G104" t="str">
        <x:v>千香</x:v>
      </x:c>
      <x:c r="H104" t="str">
        <x:v>周深</x:v>
      </x:c>
      <x:c r="I104" t="str">
        <x:v>004Uik3G0sMdUW</x:v>
      </x:c>
      <x:c r="J104" t="str">
        <x:v>False</x:v>
      </x:c>
      <x:c r="K104" t="n">
        <x:v>77</x:v>
      </x:c>
      <x:c r="L104" t="n">
        <x:v>4</x:v>
      </x:c>
      <x:c r="M104" t="n">
        <x:v>10</x:v>
      </x:c>
      <x:c r="N104" t="n">
        <x:v>85.8077</x:v>
      </x:c>
      <x:c r="O104" t="n">
        <x:v>71.56</x:v>
      </x:c>
      <x:c r="P104" t="n">
        <x:v>0</x:v>
      </x:c>
      <x:c r="Q104" t="n">
        <x:v>0</x:v>
      </x:c>
      <x:c r="R104" t="n">
        <x:v>23.66</x:v>
      </x:c>
      <x:c r="S104" t="n">
        <x:v>51.09</x:v>
      </x:c>
      <x:c r="T104" t="str">
        <x:v>https://y.qq.com/music/photo_new/T062R500x500M000001xCpOz3ARHzs.jpg</x:v>
      </x:c>
      <x:c r="U104" s="24" t="str">
        <x:f>IFERROR(VLOOKUP(I104,'07_字典与参数'!$G$5:$J$9,2,FALSE),"未入选")</x:f>
        <x:v>未入选</x:v>
      </x:c>
      <x:c r="V104" s="24" t="str">
        <x:f>IFERROR(VLOOKUP(I104,'07_字典与参数'!$G$5:$J$9,3,FALSE),"—")</x:f>
        <x:v>—</x:v>
      </x:c>
      <x:c r="W104" s="24" t="str">
        <x:f>IF(U104="未入选","否","是")</x:f>
        <x:v>否</x:v>
      </x:c>
    </x:row>
    <x:row r="105">
      <x:c r="A105" t="n">
        <x:v>202628</x:v>
      </x:c>
      <x:c r="B105" t="str">
        <x:v>第28期（07.13-07.19）</x:v>
      </x:c>
      <x:c r="C105" t="str">
        <x:v>2026-07-13</x:v>
      </x:c>
      <x:c r="D105" t="str">
        <x:v>2026-07-19</x:v>
      </x:c>
      <x:c r="E105" t="n">
        <x:v>101</x:v>
      </x:c>
      <x:c r="F105" t="n">
        <x:v>478427528</x:v>
      </x:c>
      <x:c r="G105" t="str">
        <x:v>不如见一面2026</x:v>
      </x:c>
      <x:c r="H105" t="str">
        <x:v>海来阿木</x:v>
      </x:c>
      <x:c r="I105" t="str">
        <x:v>001Yebpx1l4SQo</x:v>
      </x:c>
      <x:c r="J105" t="str">
        <x:v>False</x:v>
      </x:c>
      <x:c r="K105" t="n">
        <x:v>82</x:v>
      </x:c>
      <x:c r="L105" t="n">
        <x:v>0</x:v>
      </x:c>
      <x:c r="M105" t="n">
        <x:v>0</x:v>
      </x:c>
      <x:c r="N105" t="n">
        <x:v>85.73828</x:v>
      </x:c>
      <x:c r="O105" t="n">
        <x:v>75.09</x:v>
      </x:c>
      <x:c r="P105" t="n">
        <x:v>0</x:v>
      </x:c>
      <x:c r="Q105" t="n">
        <x:v>0</x:v>
      </x:c>
      <x:c r="R105" t="n">
        <x:v>21.25</x:v>
      </x:c>
      <x:c r="S105" t="n">
        <x:v>29.23</x:v>
      </x:c>
      <x:c r="T105" t="str">
        <x:v>https://y.gtimg.cn/music/photo_new/T002R500x500M000003A9CBx4QpfFW_1.jpg</x:v>
      </x:c>
      <x:c r="U105" s="24" t="str">
        <x:f>IFERROR(VLOOKUP(I105,'07_字典与参数'!$G$5:$J$9,2,FALSE),"未入选")</x:f>
        <x:v>未入选</x:v>
      </x:c>
      <x:c r="V105" s="24" t="str">
        <x:f>IFERROR(VLOOKUP(I105,'07_字典与参数'!$G$5:$J$9,3,FALSE),"—")</x:f>
        <x:v>—</x:v>
      </x:c>
      <x:c r="W105" s="24" t="str">
        <x:f>IF(U105="未入选","否","是")</x:f>
        <x:v>否</x:v>
      </x:c>
    </x:row>
    <x:row r="106">
      <x:c r="A106" t="n">
        <x:v>202628</x:v>
      </x:c>
      <x:c r="B106" t="str">
        <x:v>第28期（07.13-07.19）</x:v>
      </x:c>
      <x:c r="C106" t="str">
        <x:v>2026-07-13</x:v>
      </x:c>
      <x:c r="D106" t="str">
        <x:v>2026-07-19</x:v>
      </x:c>
      <x:c r="E106" t="n">
        <x:v>102</x:v>
      </x:c>
      <x:c r="F106" t="n">
        <x:v>524671893</x:v>
      </x:c>
      <x:c r="G106" t="str">
        <x:v>依兰爱情故事</x:v>
      </x:c>
      <x:c r="H106" t="str">
        <x:v>金志文</x:v>
      </x:c>
      <x:c r="I106" t="str">
        <x:v>003wJze11ABhHl</x:v>
      </x:c>
      <x:c r="J106" t="str">
        <x:v>False</x:v>
      </x:c>
      <x:c r="K106" t="n">
        <x:v>137</x:v>
      </x:c>
      <x:c r="L106" t="n">
        <x:v>0</x:v>
      </x:c>
      <x:c r="M106" t="n">
        <x:v>0</x:v>
      </x:c>
      <x:c r="N106" t="n">
        <x:v>85.72995</x:v>
      </x:c>
      <x:c r="O106" t="n">
        <x:v>74.31</x:v>
      </x:c>
      <x:c r="P106" t="n">
        <x:v>0</x:v>
      </x:c>
      <x:c r="Q106" t="n">
        <x:v>0</x:v>
      </x:c>
      <x:c r="R106" t="n">
        <x:v>15.49</x:v>
      </x:c>
      <x:c r="S106" t="n">
        <x:v>42.28</x:v>
      </x:c>
      <x:c r="T106" t="str">
        <x:v>https://y.gtimg.cn/music/photo_new/T002R500x500M000003kMWUy2EinCC_2.jpg</x:v>
      </x:c>
      <x:c r="U106" s="24" t="str">
        <x:f>IFERROR(VLOOKUP(I106,'07_字典与参数'!$G$5:$J$9,2,FALSE),"未入选")</x:f>
        <x:v>未入选</x:v>
      </x:c>
      <x:c r="V106" s="24" t="str">
        <x:f>IFERROR(VLOOKUP(I106,'07_字典与参数'!$G$5:$J$9,3,FALSE),"—")</x:f>
        <x:v>—</x:v>
      </x:c>
      <x:c r="W106" s="24" t="str">
        <x:f>IF(U106="未入选","否","是")</x:f>
        <x:v>否</x:v>
      </x:c>
    </x:row>
    <x:row r="107">
      <x:c r="A107" t="n">
        <x:v>202628</x:v>
      </x:c>
      <x:c r="B107" t="str">
        <x:v>第28期（07.13-07.19）</x:v>
      </x:c>
      <x:c r="C107" t="str">
        <x:v>2026-07-13</x:v>
      </x:c>
      <x:c r="D107" t="str">
        <x:v>2026-07-19</x:v>
      </x:c>
      <x:c r="E107" t="n">
        <x:v>103</x:v>
      </x:c>
      <x:c r="F107" t="n">
        <x:v>522370786</x:v>
      </x:c>
      <x:c r="G107" t="str">
        <x:v>圆</x:v>
      </x:c>
      <x:c r="H107" t="str">
        <x:v>于文文</x:v>
      </x:c>
      <x:c r="I107" t="str">
        <x:v>000CiXne1TznfI</x:v>
      </x:c>
      <x:c r="J107" t="str">
        <x:v>False</x:v>
      </x:c>
      <x:c r="K107" t="n">
        <x:v>0</x:v>
      </x:c>
      <x:c r="L107" t="n">
        <x:v>0</x:v>
      </x:c>
      <x:c r="M107" t="n">
        <x:v>0</x:v>
      </x:c>
      <x:c r="N107" t="n">
        <x:v>85.56053</x:v>
      </x:c>
      <x:c r="O107" t="n">
        <x:v>62.69</x:v>
      </x:c>
      <x:c r="P107" t="n">
        <x:v>0</x:v>
      </x:c>
      <x:c r="Q107" t="n">
        <x:v>0</x:v>
      </x:c>
      <x:c r="R107" t="n">
        <x:v>58.18</x:v>
      </x:c>
      <x:c r="S107" t="n">
        <x:v>28.7</x:v>
      </x:c>
      <x:c r="T107" t="str">
        <x:v>https://y.gtimg.cn/music/photo_new/T002R500x500M000001AnXF325jMfu_1.jpg</x:v>
      </x:c>
      <x:c r="U107" s="24" t="str">
        <x:f>IFERROR(VLOOKUP(I107,'07_字典与参数'!$G$5:$J$9,2,FALSE),"未入选")</x:f>
        <x:v>未入选</x:v>
      </x:c>
      <x:c r="V107" s="24" t="str">
        <x:f>IFERROR(VLOOKUP(I107,'07_字典与参数'!$G$5:$J$9,3,FALSE),"—")</x:f>
        <x:v>—</x:v>
      </x:c>
      <x:c r="W107" s="24" t="str">
        <x:f>IF(U107="未入选","否","是")</x:f>
        <x:v>否</x:v>
      </x:c>
    </x:row>
    <x:row r="108">
      <x:c r="A108" t="n">
        <x:v>202628</x:v>
      </x:c>
      <x:c r="B108" t="str">
        <x:v>第28期（07.13-07.19）</x:v>
      </x:c>
      <x:c r="C108" t="str">
        <x:v>2026-07-13</x:v>
      </x:c>
      <x:c r="D108" t="str">
        <x:v>2026-07-19</x:v>
      </x:c>
      <x:c r="E108" t="n">
        <x:v>104</x:v>
      </x:c>
      <x:c r="F108" t="n">
        <x:v>524521641</x:v>
      </x:c>
      <x:c r="G108" t="str">
        <x:v>漫游</x:v>
      </x:c>
      <x:c r="H108" t="str">
        <x:v>黄子弘凡</x:v>
      </x:c>
      <x:c r="I108" t="str">
        <x:v>0009xPxG0R6G9c</x:v>
      </x:c>
      <x:c r="J108" t="str">
        <x:v>False</x:v>
      </x:c>
      <x:c r="K108" t="n">
        <x:v>68</x:v>
      </x:c>
      <x:c r="L108" t="n">
        <x:v>0</x:v>
      </x:c>
      <x:c r="M108" t="n">
        <x:v>0</x:v>
      </x:c>
      <x:c r="N108" t="n">
        <x:v>85.48611</x:v>
      </x:c>
      <x:c r="O108" t="n">
        <x:v>68.93</x:v>
      </x:c>
      <x:c r="P108" t="n">
        <x:v>0</x:v>
      </x:c>
      <x:c r="Q108" t="n">
        <x:v>0</x:v>
      </x:c>
      <x:c r="R108" t="n">
        <x:v>12.35</x:v>
      </x:c>
      <x:c r="S108" t="n">
        <x:v>54.35</x:v>
      </x:c>
      <x:c r="T108" t="str">
        <x:v>https://y.qq.com/music/photo_new/T062R500x500M0000011NdbQ2F154j.jpg</x:v>
      </x:c>
      <x:c r="U108" s="24" t="str">
        <x:f>IFERROR(VLOOKUP(I108,'07_字典与参数'!$G$5:$J$9,2,FALSE),"未入选")</x:f>
        <x:v>未入选</x:v>
      </x:c>
      <x:c r="V108" s="24" t="str">
        <x:f>IFERROR(VLOOKUP(I108,'07_字典与参数'!$G$5:$J$9,3,FALSE),"—")</x:f>
        <x:v>—</x:v>
      </x:c>
      <x:c r="W108" s="24" t="str">
        <x:f>IF(U108="未入选","否","是")</x:f>
        <x:v>否</x:v>
      </x:c>
    </x:row>
    <x:row r="109">
      <x:c r="A109" t="n">
        <x:v>202628</x:v>
      </x:c>
      <x:c r="B109" t="str">
        <x:v>第28期（07.13-07.19）</x:v>
      </x:c>
      <x:c r="C109" t="str">
        <x:v>2026-07-13</x:v>
      </x:c>
      <x:c r="D109" t="str">
        <x:v>2026-07-19</x:v>
      </x:c>
      <x:c r="E109" t="n">
        <x:v>105</x:v>
      </x:c>
      <x:c r="F109" t="n">
        <x:v>525085674</x:v>
      </x:c>
      <x:c r="G109" t="str">
        <x:v>In My Head</x:v>
      </x:c>
      <x:c r="H109" t="str">
        <x:v>MIKS</x:v>
      </x:c>
      <x:c r="I109" t="str">
        <x:v>000b8pg62ENzDu</x:v>
      </x:c>
      <x:c r="J109" t="str">
        <x:v>False</x:v>
      </x:c>
      <x:c r="K109" t="n">
        <x:v>170</x:v>
      </x:c>
      <x:c r="L109" t="n">
        <x:v>0</x:v>
      </x:c>
      <x:c r="M109" t="n">
        <x:v>0</x:v>
      </x:c>
      <x:c r="N109" t="n">
        <x:v>85.48391</x:v>
      </x:c>
      <x:c r="O109" t="n">
        <x:v>75.26</x:v>
      </x:c>
      <x:c r="P109" t="n">
        <x:v>0</x:v>
      </x:c>
      <x:c r="Q109" t="n">
        <x:v>0</x:v>
      </x:c>
      <x:c r="R109" t="n">
        <x:v>1.33</x:v>
      </x:c>
      <x:c r="S109" t="n">
        <x:v>13.79</x:v>
      </x:c>
      <x:c r="T109" t="str">
        <x:v>https://y.gtimg.cn/music/photo_new/T002R500x500M000003c6Y8R0h0KJ2_1.jpg</x:v>
      </x:c>
      <x:c r="U109" s="24" t="str">
        <x:f>IFERROR(VLOOKUP(I109,'07_字典与参数'!$G$5:$J$9,2,FALSE),"未入选")</x:f>
        <x:v>未入选</x:v>
      </x:c>
      <x:c r="V109" s="24" t="str">
        <x:f>IFERROR(VLOOKUP(I109,'07_字典与参数'!$G$5:$J$9,3,FALSE),"—")</x:f>
        <x:v>—</x:v>
      </x:c>
      <x:c r="W109" s="24" t="str">
        <x:f>IF(U109="未入选","否","是")</x:f>
        <x:v>否</x:v>
      </x:c>
    </x:row>
    <x:row r="110">
      <x:c r="A110" t="n">
        <x:v>202628</x:v>
      </x:c>
      <x:c r="B110" t="str">
        <x:v>第28期（07.13-07.19）</x:v>
      </x:c>
      <x:c r="C110" t="str">
        <x:v>2026-07-13</x:v>
      </x:c>
      <x:c r="D110" t="str">
        <x:v>2026-07-19</x:v>
      </x:c>
      <x:c r="E110" t="n">
        <x:v>106</x:v>
      </x:c>
      <x:c r="F110" t="n">
        <x:v>532366382</x:v>
      </x:c>
      <x:c r="G110" t="str">
        <x:v>天色晚了</x:v>
      </x:c>
      <x:c r="H110" t="str">
        <x:v>张远</x:v>
      </x:c>
      <x:c r="I110" t="str">
        <x:v>0005ggKe3chYYK</x:v>
      </x:c>
      <x:c r="J110" t="str">
        <x:v>False</x:v>
      </x:c>
      <x:c r="K110" t="n">
        <x:v>0</x:v>
      </x:c>
      <x:c r="L110" t="n">
        <x:v>0</x:v>
      </x:c>
      <x:c r="M110" t="n">
        <x:v>0</x:v>
      </x:c>
      <x:c r="N110" t="n">
        <x:v>85.48348</x:v>
      </x:c>
      <x:c r="O110" t="n">
        <x:v>71.85</x:v>
      </x:c>
      <x:c r="P110" t="n">
        <x:v>0</x:v>
      </x:c>
      <x:c r="Q110" t="n">
        <x:v>0</x:v>
      </x:c>
      <x:c r="R110" t="n">
        <x:v>20.65</x:v>
      </x:c>
      <x:c r="S110" t="n">
        <x:v>49.29</x:v>
      </x:c>
      <x:c r="T110" t="str">
        <x:v>https://y.gtimg.cn/music/photo_new/T002R500x500M000004EF9yp3n5tuL_2.jpg</x:v>
      </x:c>
      <x:c r="U110" s="24" t="str">
        <x:f>IFERROR(VLOOKUP(I110,'07_字典与参数'!$G$5:$J$9,2,FALSE),"未入选")</x:f>
        <x:v>未入选</x:v>
      </x:c>
      <x:c r="V110" s="24" t="str">
        <x:f>IFERROR(VLOOKUP(I110,'07_字典与参数'!$G$5:$J$9,3,FALSE),"—")</x:f>
        <x:v>—</x:v>
      </x:c>
      <x:c r="W110" s="24" t="str">
        <x:f>IF(U110="未入选","否","是")</x:f>
        <x:v>否</x:v>
      </x:c>
    </x:row>
    <x:row r="111">
      <x:c r="A111" t="n">
        <x:v>202628</x:v>
      </x:c>
      <x:c r="B111" t="str">
        <x:v>第28期（07.13-07.19）</x:v>
      </x:c>
      <x:c r="C111" t="str">
        <x:v>2026-07-13</x:v>
      </x:c>
      <x:c r="D111" t="str">
        <x:v>2026-07-19</x:v>
      </x:c>
      <x:c r="E111" t="n">
        <x:v>107</x:v>
      </x:c>
      <x:c r="F111" t="n">
        <x:v>531111308</x:v>
      </x:c>
      <x:c r="G111" t="str">
        <x:v>想得美</x:v>
      </x:c>
      <x:c r="H111" t="str">
        <x:v>TOP登陆少年组合</x:v>
      </x:c>
      <x:c r="I111" t="str">
        <x:v>003QLx9h4Y71iu</x:v>
      </x:c>
      <x:c r="J111" t="str">
        <x:v>False</x:v>
      </x:c>
      <x:c r="K111" t="n">
        <x:v>29</x:v>
      </x:c>
      <x:c r="L111" t="n">
        <x:v>0</x:v>
      </x:c>
      <x:c r="M111" t="n">
        <x:v>0</x:v>
      </x:c>
      <x:c r="N111" t="n">
        <x:v>85.42837</x:v>
      </x:c>
      <x:c r="O111" t="n">
        <x:v>71.95</x:v>
      </x:c>
      <x:c r="P111" t="n">
        <x:v>0</x:v>
      </x:c>
      <x:c r="Q111" t="n">
        <x:v>0</x:v>
      </x:c>
      <x:c r="R111" t="n">
        <x:v>19.85</x:v>
      </x:c>
      <x:c r="S111" t="n">
        <x:v>48.63</x:v>
      </x:c>
      <x:c r="T111" t="str">
        <x:v>https://y.gtimg.cn/music/photo_new/T002R500x500M000002YPc1C0WN5qn_1.jpg</x:v>
      </x:c>
      <x:c r="U111" s="24" t="str">
        <x:f>IFERROR(VLOOKUP(I111,'07_字典与参数'!$G$5:$J$9,2,FALSE),"未入选")</x:f>
        <x:v>未入选</x:v>
      </x:c>
      <x:c r="V111" s="24" t="str">
        <x:f>IFERROR(VLOOKUP(I111,'07_字典与参数'!$G$5:$J$9,3,FALSE),"—")</x:f>
        <x:v>—</x:v>
      </x:c>
      <x:c r="W111" s="24" t="str">
        <x:f>IF(U111="未入选","否","是")</x:f>
        <x:v>否</x:v>
      </x:c>
    </x:row>
    <x:row r="112">
      <x:c r="A112" t="n">
        <x:v>202628</x:v>
      </x:c>
      <x:c r="B112" t="str">
        <x:v>第28期（07.13-07.19）</x:v>
      </x:c>
      <x:c r="C112" t="str">
        <x:v>2026-07-13</x:v>
      </x:c>
      <x:c r="D112" t="str">
        <x:v>2026-07-19</x:v>
      </x:c>
      <x:c r="E112" t="n">
        <x:v>108</x:v>
      </x:c>
      <x:c r="F112" t="n">
        <x:v>517484236</x:v>
      </x:c>
      <x:c r="G112" t="str">
        <x:v>光</x:v>
      </x:c>
      <x:c r="H112" t="str">
        <x:v>陈楚生</x:v>
      </x:c>
      <x:c r="I112" t="str">
        <x:v>004JAWWq0NadAX</x:v>
      </x:c>
      <x:c r="J112" t="str">
        <x:v>False</x:v>
      </x:c>
      <x:c r="K112" t="n">
        <x:v>81</x:v>
      </x:c>
      <x:c r="L112" t="n">
        <x:v>0</x:v>
      </x:c>
      <x:c r="M112" t="n">
        <x:v>0</x:v>
      </x:c>
      <x:c r="N112" t="n">
        <x:v>85.28174</x:v>
      </x:c>
      <x:c r="O112" t="n">
        <x:v>54.9</x:v>
      </x:c>
      <x:c r="P112" t="n">
        <x:v>0</x:v>
      </x:c>
      <x:c r="Q112" t="n">
        <x:v>0</x:v>
      </x:c>
      <x:c r="R112" t="n">
        <x:v>10.48</x:v>
      </x:c>
      <x:c r="S112" t="n">
        <x:v>60.27</x:v>
      </x:c>
      <x:c r="T112" t="str">
        <x:v>https://y.gtimg.cn/music/photo_new/T002R500x500M000002ld9Tt17lb4O_1.jpg</x:v>
      </x:c>
      <x:c r="U112" s="24" t="str">
        <x:f>IFERROR(VLOOKUP(I112,'07_字典与参数'!$G$5:$J$9,2,FALSE),"未入选")</x:f>
        <x:v>未入选</x:v>
      </x:c>
      <x:c r="V112" s="24" t="str">
        <x:f>IFERROR(VLOOKUP(I112,'07_字典与参数'!$G$5:$J$9,3,FALSE),"—")</x:f>
        <x:v>—</x:v>
      </x:c>
      <x:c r="W112" s="24" t="str">
        <x:f>IF(U112="未入选","否","是")</x:f>
        <x:v>否</x:v>
      </x:c>
    </x:row>
    <x:row r="113">
      <x:c r="A113" t="n">
        <x:v>202628</x:v>
      </x:c>
      <x:c r="B113" t="str">
        <x:v>第28期（07.13-07.19）</x:v>
      </x:c>
      <x:c r="C113" t="str">
        <x:v>2026-07-13</x:v>
      </x:c>
      <x:c r="D113" t="str">
        <x:v>2026-07-19</x:v>
      </x:c>
      <x:c r="E113" t="n">
        <x:v>109</x:v>
      </x:c>
      <x:c r="F113" t="n">
        <x:v>529862221</x:v>
      </x:c>
      <x:c r="G113" t="str">
        <x:v>遗忘之海（Sea of Remnants）</x:v>
      </x:c>
      <x:c r="H113" t="str">
        <x:v>Alan Walker,张韶涵</x:v>
      </x:c>
      <x:c r="I113" t="str">
        <x:v>0041PT4w38s81i</x:v>
      </x:c>
      <x:c r="J113" t="str">
        <x:v>False</x:v>
      </x:c>
      <x:c r="K113" t="n">
        <x:v>53</x:v>
      </x:c>
      <x:c r="L113" t="n">
        <x:v>0</x:v>
      </x:c>
      <x:c r="M113" t="n">
        <x:v>0</x:v>
      </x:c>
      <x:c r="N113" t="n">
        <x:v>85.01182</x:v>
      </x:c>
      <x:c r="O113" t="n">
        <x:v>74.09</x:v>
      </x:c>
      <x:c r="P113" t="n">
        <x:v>0</x:v>
      </x:c>
      <x:c r="Q113" t="n">
        <x:v>0</x:v>
      </x:c>
      <x:c r="R113" t="n">
        <x:v>4.08</x:v>
      </x:c>
      <x:c r="S113" t="n">
        <x:v>33.63</x:v>
      </x:c>
      <x:c r="T113" t="str">
        <x:v>https://y.gtimg.cn/music/photo_new/T002R500x500M000003NU8b73skCMh_2.jpg</x:v>
      </x:c>
      <x:c r="U113" s="24" t="str">
        <x:f>IFERROR(VLOOKUP(I113,'07_字典与参数'!$G$5:$J$9,2,FALSE),"未入选")</x:f>
        <x:v>未入选</x:v>
      </x:c>
      <x:c r="V113" s="24" t="str">
        <x:f>IFERROR(VLOOKUP(I113,'07_字典与参数'!$G$5:$J$9,3,FALSE),"—")</x:f>
        <x:v>—</x:v>
      </x:c>
      <x:c r="W113" s="24" t="str">
        <x:f>IF(U113="未入选","否","是")</x:f>
        <x:v>否</x:v>
      </x:c>
    </x:row>
    <x:row r="114">
      <x:c r="A114" t="n">
        <x:v>202628</x:v>
      </x:c>
      <x:c r="B114" t="str">
        <x:v>第28期（07.13-07.19）</x:v>
      </x:c>
      <x:c r="C114" t="str">
        <x:v>2026-07-13</x:v>
      </x:c>
      <x:c r="D114" t="str">
        <x:v>2026-07-19</x:v>
      </x:c>
      <x:c r="E114" t="n">
        <x:v>110</x:v>
      </x:c>
      <x:c r="F114" t="n">
        <x:v>531358137</x:v>
      </x:c>
      <x:c r="G114" t="str">
        <x:v>Floating</x:v>
      </x:c>
      <x:c r="H114" t="str">
        <x:v>闫桉</x:v>
      </x:c>
      <x:c r="I114" t="str">
        <x:v>003SoYda3TDRy1</x:v>
      </x:c>
      <x:c r="J114" t="str">
        <x:v>False</x:v>
      </x:c>
      <x:c r="K114" t="n">
        <x:v>0</x:v>
      </x:c>
      <x:c r="L114" t="n">
        <x:v>0</x:v>
      </x:c>
      <x:c r="M114" t="n">
        <x:v>0</x:v>
      </x:c>
      <x:c r="N114" t="n">
        <x:v>84.92319</x:v>
      </x:c>
      <x:c r="O114" t="n">
        <x:v>72.18</x:v>
      </x:c>
      <x:c r="P114" t="n">
        <x:v>0</x:v>
      </x:c>
      <x:c r="Q114" t="n">
        <x:v>0</x:v>
      </x:c>
      <x:c r="R114" t="n">
        <x:v>35.05</x:v>
      </x:c>
      <x:c r="S114" t="n">
        <x:v>40.02</x:v>
      </x:c>
      <x:c r="T114" t="str">
        <x:v>https://y.gtimg.cn/music/photo_new/T002R500x500M000000j9vMb0sbbCl_1.jpg</x:v>
      </x:c>
      <x:c r="U114" s="24" t="str">
        <x:f>IFERROR(VLOOKUP(I114,'07_字典与参数'!$G$5:$J$9,2,FALSE),"未入选")</x:f>
        <x:v>未入选</x:v>
      </x:c>
      <x:c r="V114" s="24" t="str">
        <x:f>IFERROR(VLOOKUP(I114,'07_字典与参数'!$G$5:$J$9,3,FALSE),"—")</x:f>
        <x:v>—</x:v>
      </x:c>
      <x:c r="W114" s="24" t="str">
        <x:f>IF(U114="未入选","否","是")</x:f>
        <x:v>否</x:v>
      </x:c>
    </x:row>
    <x:row r="115">
      <x:c r="A115" t="n">
        <x:v>202628</x:v>
      </x:c>
      <x:c r="B115" t="str">
        <x:v>第28期（07.13-07.19）</x:v>
      </x:c>
      <x:c r="C115" t="str">
        <x:v>2026-07-13</x:v>
      </x:c>
      <x:c r="D115" t="str">
        <x:v>2026-07-19</x:v>
      </x:c>
      <x:c r="E115" t="n">
        <x:v>111</x:v>
      </x:c>
      <x:c r="F115" t="n">
        <x:v>529851668</x:v>
      </x:c>
      <x:c r="G115" t="str">
        <x:v>全世界陪我出发</x:v>
      </x:c>
      <x:c r="H115" t="str">
        <x:v>TF家族,TF家族-官俊臣,TF家族-张桂源,TF家族-张函瑞,TF家族-王橹杰,TF家族-王烁然,TF家族-左奇函,TF家族-陈奕恒,TF家族-杨博文,TF家族-杨涵博,TF家族-张奕然,TF家族-聂玮辰,TF家族-陈思罕,TF家族-魏子宸,TF家族-李煜东,TF家族-陈浚铭</x:v>
      </x:c>
      <x:c r="I115" t="str">
        <x:v>003RIqye0gr9MB</x:v>
      </x:c>
      <x:c r="J115" t="str">
        <x:v>False</x:v>
      </x:c>
      <x:c r="K115" t="n">
        <x:v>31</x:v>
      </x:c>
      <x:c r="L115" t="n">
        <x:v>0</x:v>
      </x:c>
      <x:c r="M115" t="n">
        <x:v>0</x:v>
      </x:c>
      <x:c r="N115" t="n">
        <x:v>84.88014</x:v>
      </x:c>
      <x:c r="O115" t="n">
        <x:v>72.57</x:v>
      </x:c>
      <x:c r="P115" t="n">
        <x:v>0</x:v>
      </x:c>
      <x:c r="Q115" t="n">
        <x:v>0</x:v>
      </x:c>
      <x:c r="R115" t="n">
        <x:v>15.19</x:v>
      </x:c>
      <x:c r="S115" t="n">
        <x:v>43.03</x:v>
      </x:c>
      <x:c r="T115" t="str">
        <x:v>https://y.gtimg.cn/music/photo_new/T002R500x500M000000dn6vm1EN6ax_1.jpg</x:v>
      </x:c>
      <x:c r="U115" s="24" t="str">
        <x:f>IFERROR(VLOOKUP(I115,'07_字典与参数'!$G$5:$J$9,2,FALSE),"未入选")</x:f>
        <x:v>未入选</x:v>
      </x:c>
      <x:c r="V115" s="24" t="str">
        <x:f>IFERROR(VLOOKUP(I115,'07_字典与参数'!$G$5:$J$9,3,FALSE),"—")</x:f>
        <x:v>—</x:v>
      </x:c>
      <x:c r="W115" s="24" t="str">
        <x:f>IF(U115="未入选","否","是")</x:f>
        <x:v>否</x:v>
      </x:c>
    </x:row>
    <x:row r="116">
      <x:c r="A116" t="n">
        <x:v>202628</x:v>
      </x:c>
      <x:c r="B116" t="str">
        <x:v>第28期（07.13-07.19）</x:v>
      </x:c>
      <x:c r="C116" t="str">
        <x:v>2026-07-13</x:v>
      </x:c>
      <x:c r="D116" t="str">
        <x:v>2026-07-19</x:v>
      </x:c>
      <x:c r="E116" t="n">
        <x:v>112</x:v>
      </x:c>
      <x:c r="F116" t="n">
        <x:v>478805623</x:v>
      </x:c>
      <x:c r="G116" t="str">
        <x:v>热烈盛开</x:v>
      </x:c>
      <x:c r="H116" t="str">
        <x:v>周深</x:v>
      </x:c>
      <x:c r="I116" t="str">
        <x:v>002Od4YI4Y4cC7</x:v>
      </x:c>
      <x:c r="J116" t="str">
        <x:v>False</x:v>
      </x:c>
      <x:c r="K116" t="n">
        <x:v>87</x:v>
      </x:c>
      <x:c r="L116" t="n">
        <x:v>0</x:v>
      </x:c>
      <x:c r="M116" t="n">
        <x:v>0</x:v>
      </x:c>
      <x:c r="N116" t="n">
        <x:v>84.68291</x:v>
      </x:c>
      <x:c r="O116" t="n">
        <x:v>71.31</x:v>
      </x:c>
      <x:c r="P116" t="n">
        <x:v>0</x:v>
      </x:c>
      <x:c r="Q116" t="n">
        <x:v>0</x:v>
      </x:c>
      <x:c r="R116" t="n">
        <x:v>9.06</x:v>
      </x:c>
      <x:c r="S116" t="n">
        <x:v>47.74</x:v>
      </x:c>
      <x:c r="T116" t="str">
        <x:v>https://y.gtimg.cn/music/photo_new/T002R500x500M000001R9ZrA3WgkUO_2.jpg</x:v>
      </x:c>
      <x:c r="U116" s="24" t="str">
        <x:f>IFERROR(VLOOKUP(I116,'07_字典与参数'!$G$5:$J$9,2,FALSE),"未入选")</x:f>
        <x:v>未入选</x:v>
      </x:c>
      <x:c r="V116" s="24" t="str">
        <x:f>IFERROR(VLOOKUP(I116,'07_字典与参数'!$G$5:$J$9,3,FALSE),"—")</x:f>
        <x:v>—</x:v>
      </x:c>
      <x:c r="W116" s="24" t="str">
        <x:f>IF(U116="未入选","否","是")</x:f>
        <x:v>否</x:v>
      </x:c>
    </x:row>
    <x:row r="117">
      <x:c r="A117" t="n">
        <x:v>202628</x:v>
      </x:c>
      <x:c r="B117" t="str">
        <x:v>第28期（07.13-07.19）</x:v>
      </x:c>
      <x:c r="C117" t="str">
        <x:v>2026-07-13</x:v>
      </x:c>
      <x:c r="D117" t="str">
        <x:v>2026-07-19</x:v>
      </x:c>
      <x:c r="E117" t="n">
        <x:v>113</x:v>
      </x:c>
      <x:c r="F117" t="n">
        <x:v>532441524</x:v>
      </x:c>
      <x:c r="G117" t="str">
        <x:v>过海</x:v>
      </x:c>
      <x:c r="H117" t="str">
        <x:v>王赫野,黄龄</x:v>
      </x:c>
      <x:c r="I117" t="str">
        <x:v>003DEzAQ3HSB9l</x:v>
      </x:c>
      <x:c r="J117" t="str">
        <x:v>False</x:v>
      </x:c>
      <x:c r="K117" t="n">
        <x:v>0</x:v>
      </x:c>
      <x:c r="L117" t="n">
        <x:v>0</x:v>
      </x:c>
      <x:c r="M117" t="n">
        <x:v>0</x:v>
      </x:c>
      <x:c r="N117" t="n">
        <x:v>84.58428</x:v>
      </x:c>
      <x:c r="O117" t="n">
        <x:v>71.11</x:v>
      </x:c>
      <x:c r="P117" t="n">
        <x:v>0</x:v>
      </x:c>
      <x:c r="Q117" t="n">
        <x:v>0</x:v>
      </x:c>
      <x:c r="R117" t="n">
        <x:v>16.93</x:v>
      </x:c>
      <x:c r="S117" t="n">
        <x:v>47.3</x:v>
      </x:c>
      <x:c r="T117" t="str">
        <x:v>https://y.gtimg.cn/music/photo_new/T002R500x500M000003sDdGY2FtUY2_1.jpg</x:v>
      </x:c>
      <x:c r="U117" s="24" t="n">
        <x:f>IFERROR(VLOOKUP(I117,'07_字典与参数'!$G$5:$J$9,2,FALSE),"未入选")</x:f>
        <x:v>87.5</x:v>
      </x:c>
      <x:c r="V117" s="24" t="str">
        <x:f>IFERROR(VLOOKUP(I117,'07_字典与参数'!$G$5:$J$9,3,FALSE),"—")</x:f>
        <x:v>过海</x:v>
      </x:c>
      <x:c r="W117" s="24" t="str">
        <x:f>IF(U117="未入选","否","是")</x:f>
        <x:v>是</x:v>
      </x:c>
    </x:row>
    <x:row r="118">
      <x:c r="A118" t="n">
        <x:v>202628</x:v>
      </x:c>
      <x:c r="B118" t="str">
        <x:v>第28期（07.13-07.19）</x:v>
      </x:c>
      <x:c r="C118" t="str">
        <x:v>2026-07-13</x:v>
      </x:c>
      <x:c r="D118" t="str">
        <x:v>2026-07-19</x:v>
      </x:c>
      <x:c r="E118" t="n">
        <x:v>114</x:v>
      </x:c>
      <x:c r="F118" t="n">
        <x:v>531999871</x:v>
      </x:c>
      <x:c r="G118" t="str">
        <x:v>心跳赫兹 (Love Got Me Ooh)</x:v>
      </x:c>
      <x:c r="H118" t="str">
        <x:v>A2O MAY</x:v>
      </x:c>
      <x:c r="I118" t="str">
        <x:v>001xOKCT3wNoKB</x:v>
      </x:c>
      <x:c r="J118" t="str">
        <x:v>False</x:v>
      </x:c>
      <x:c r="K118" t="n">
        <x:v>0</x:v>
      </x:c>
      <x:c r="L118" t="n">
        <x:v>0</x:v>
      </x:c>
      <x:c r="M118" t="n">
        <x:v>0</x:v>
      </x:c>
      <x:c r="N118" t="n">
        <x:v>84.54176</x:v>
      </x:c>
      <x:c r="O118" t="n">
        <x:v>72.32</x:v>
      </x:c>
      <x:c r="P118" t="n">
        <x:v>0</x:v>
      </x:c>
      <x:c r="Q118" t="n">
        <x:v>0</x:v>
      </x:c>
      <x:c r="R118" t="n">
        <x:v>11.31</x:v>
      </x:c>
      <x:c r="S118" t="n">
        <x:v>43.1</x:v>
      </x:c>
      <x:c r="T118" t="str">
        <x:v>https://y.gtimg.cn/music/photo_new/T002R500x500M000002qB0Ds2U9Vvy_1.jpg</x:v>
      </x:c>
      <x:c r="U118" s="24" t="str">
        <x:f>IFERROR(VLOOKUP(I118,'07_字典与参数'!$G$5:$J$9,2,FALSE),"未入选")</x:f>
        <x:v>未入选</x:v>
      </x:c>
      <x:c r="V118" s="24" t="str">
        <x:f>IFERROR(VLOOKUP(I118,'07_字典与参数'!$G$5:$J$9,3,FALSE),"—")</x:f>
        <x:v>—</x:v>
      </x:c>
      <x:c r="W118" s="24" t="str">
        <x:f>IF(U118="未入选","否","是")</x:f>
        <x:v>否</x:v>
      </x:c>
    </x:row>
    <x:row r="119">
      <x:c r="A119" t="n">
        <x:v>202628</x:v>
      </x:c>
      <x:c r="B119" t="str">
        <x:v>第28期（07.13-07.19）</x:v>
      </x:c>
      <x:c r="C119" t="str">
        <x:v>2026-07-13</x:v>
      </x:c>
      <x:c r="D119" t="str">
        <x:v>2026-07-19</x:v>
      </x:c>
      <x:c r="E119" t="n">
        <x:v>115</x:v>
      </x:c>
      <x:c r="F119" t="n">
        <x:v>531181249</x:v>
      </x:c>
      <x:c r="G119" t="str">
        <x:v>玄翎谣</x:v>
      </x:c>
      <x:c r="H119" t="str">
        <x:v>鸣潮先约电台,jkinss,薄荷_Miint</x:v>
      </x:c>
      <x:c r="I119" t="str">
        <x:v>000rB2Ck1bZTZW</x:v>
      </x:c>
      <x:c r="J119" t="str">
        <x:v>False</x:v>
      </x:c>
      <x:c r="K119" t="n">
        <x:v>0</x:v>
      </x:c>
      <x:c r="L119" t="n">
        <x:v>0</x:v>
      </x:c>
      <x:c r="M119" t="n">
        <x:v>0</x:v>
      </x:c>
      <x:c r="N119" t="n">
        <x:v>84.43124</x:v>
      </x:c>
      <x:c r="O119" t="n">
        <x:v>71.75</x:v>
      </x:c>
      <x:c r="P119" t="n">
        <x:v>0</x:v>
      </x:c>
      <x:c r="Q119" t="n">
        <x:v>0</x:v>
      </x:c>
      <x:c r="R119" t="n">
        <x:v>4.36</x:v>
      </x:c>
      <x:c r="S119" t="n">
        <x:v>45.56</x:v>
      </x:c>
      <x:c r="T119" t="str">
        <x:v>https://y.gtimg.cn/music/photo_new/T002R500x500M000001rovrt1tUywT_1.jpg</x:v>
      </x:c>
      <x:c r="U119" s="24" t="str">
        <x:f>IFERROR(VLOOKUP(I119,'07_字典与参数'!$G$5:$J$9,2,FALSE),"未入选")</x:f>
        <x:v>未入选</x:v>
      </x:c>
      <x:c r="V119" s="24" t="str">
        <x:f>IFERROR(VLOOKUP(I119,'07_字典与参数'!$G$5:$J$9,3,FALSE),"—")</x:f>
        <x:v>—</x:v>
      </x:c>
      <x:c r="W119" s="24" t="str">
        <x:f>IF(U119="未入选","否","是")</x:f>
        <x:v>否</x:v>
      </x:c>
    </x:row>
    <x:row r="120">
      <x:c r="A120" t="n">
        <x:v>202628</x:v>
      </x:c>
      <x:c r="B120" t="str">
        <x:v>第28期（07.13-07.19）</x:v>
      </x:c>
      <x:c r="C120" t="str">
        <x:v>2026-07-13</x:v>
      </x:c>
      <x:c r="D120" t="str">
        <x:v>2026-07-19</x:v>
      </x:c>
      <x:c r="E120" t="n">
        <x:v>116</x:v>
      </x:c>
      <x:c r="F120" t="n">
        <x:v>522370784</x:v>
      </x:c>
      <x:c r="G120" t="str">
        <x:v>原来活着</x:v>
      </x:c>
      <x:c r="H120" t="str">
        <x:v>于文文</x:v>
      </x:c>
      <x:c r="I120" t="str">
        <x:v>003uYCcj01z8AI</x:v>
      </x:c>
      <x:c r="J120" t="str">
        <x:v>False</x:v>
      </x:c>
      <x:c r="K120" t="n">
        <x:v>0</x:v>
      </x:c>
      <x:c r="L120" t="n">
        <x:v>0</x:v>
      </x:c>
      <x:c r="M120" t="n">
        <x:v>0</x:v>
      </x:c>
      <x:c r="N120" t="n">
        <x:v>84.36664</x:v>
      </x:c>
      <x:c r="O120" t="n">
        <x:v>50.79</x:v>
      </x:c>
      <x:c r="P120" t="n">
        <x:v>0</x:v>
      </x:c>
      <x:c r="Q120" t="n">
        <x:v>0</x:v>
      </x:c>
      <x:c r="R120" t="n">
        <x:v>59.28</x:v>
      </x:c>
      <x:c r="S120" t="n">
        <x:v>20.81</x:v>
      </x:c>
      <x:c r="T120" t="str">
        <x:v>https://y.gtimg.cn/music/photo_new/T002R500x500M000001AnXF325jMfu_1.jpg</x:v>
      </x:c>
      <x:c r="U120" s="24" t="str">
        <x:f>IFERROR(VLOOKUP(I120,'07_字典与参数'!$G$5:$J$9,2,FALSE),"未入选")</x:f>
        <x:v>未入选</x:v>
      </x:c>
      <x:c r="V120" s="24" t="str">
        <x:f>IFERROR(VLOOKUP(I120,'07_字典与参数'!$G$5:$J$9,3,FALSE),"—")</x:f>
        <x:v>—</x:v>
      </x:c>
      <x:c r="W120" s="24" t="str">
        <x:f>IF(U120="未入选","否","是")</x:f>
        <x:v>否</x:v>
      </x:c>
    </x:row>
    <x:row r="121">
      <x:c r="A121" t="n">
        <x:v>202628</x:v>
      </x:c>
      <x:c r="B121" t="str">
        <x:v>第28期（07.13-07.19）</x:v>
      </x:c>
      <x:c r="C121" t="str">
        <x:v>2026-07-13</x:v>
      </x:c>
      <x:c r="D121" t="str">
        <x:v>2026-07-19</x:v>
      </x:c>
      <x:c r="E121" t="n">
        <x:v>117</x:v>
      </x:c>
      <x:c r="F121" t="n">
        <x:v>491996814</x:v>
      </x:c>
      <x:c r="G121" t="str">
        <x:v>本末</x:v>
      </x:c>
      <x:c r="H121" t="str">
        <x:v>任素汐</x:v>
      </x:c>
      <x:c r="I121" t="str">
        <x:v>001sTnpM1Kw5aa</x:v>
      </x:c>
      <x:c r="J121" t="str">
        <x:v>False</x:v>
      </x:c>
      <x:c r="K121" t="n">
        <x:v>128</x:v>
      </x:c>
      <x:c r="L121" t="n">
        <x:v>0</x:v>
      </x:c>
      <x:c r="M121" t="n">
        <x:v>0</x:v>
      </x:c>
      <x:c r="N121" t="n">
        <x:v>84.22538</x:v>
      </x:c>
      <x:c r="O121" t="n">
        <x:v>72.86</x:v>
      </x:c>
      <x:c r="P121" t="n">
        <x:v>0</x:v>
      </x:c>
      <x:c r="Q121" t="n">
        <x:v>0</x:v>
      </x:c>
      <x:c r="R121" t="n">
        <x:v>5.27</x:v>
      </x:c>
      <x:c r="S121" t="n">
        <x:v>40.41</x:v>
      </x:c>
      <x:c r="T121" t="str">
        <x:v>https://y.gtimg.cn/music/photo_new/T002R500x500M0000033vNiW2uLR2S_1.jpg</x:v>
      </x:c>
      <x:c r="U121" s="24" t="str">
        <x:f>IFERROR(VLOOKUP(I121,'07_字典与参数'!$G$5:$J$9,2,FALSE),"未入选")</x:f>
        <x:v>未入选</x:v>
      </x:c>
      <x:c r="V121" s="24" t="str">
        <x:f>IFERROR(VLOOKUP(I121,'07_字典与参数'!$G$5:$J$9,3,FALSE),"—")</x:f>
        <x:v>—</x:v>
      </x:c>
      <x:c r="W121" s="24" t="str">
        <x:f>IF(U121="未入选","否","是")</x:f>
        <x:v>否</x:v>
      </x:c>
    </x:row>
    <x:row r="122">
      <x:c r="A122" t="n">
        <x:v>202628</x:v>
      </x:c>
      <x:c r="B122" t="str">
        <x:v>第28期（07.13-07.19）</x:v>
      </x:c>
      <x:c r="C122" t="str">
        <x:v>2026-07-13</x:v>
      </x:c>
      <x:c r="D122" t="str">
        <x:v>2026-07-19</x:v>
      </x:c>
      <x:c r="E122" t="n">
        <x:v>118</x:v>
      </x:c>
      <x:c r="F122" t="n">
        <x:v>513183075</x:v>
      </x:c>
      <x:c r="G122" t="str">
        <x:v>一见如故</x:v>
      </x:c>
      <x:c r="H122" t="str">
        <x:v>许嵩</x:v>
      </x:c>
      <x:c r="I122" t="str">
        <x:v>002ioSAK2ftAqy</x:v>
      </x:c>
      <x:c r="J122" t="str">
        <x:v>False</x:v>
      </x:c>
      <x:c r="K122" t="n">
        <x:v>78</x:v>
      </x:c>
      <x:c r="L122" t="n">
        <x:v>0</x:v>
      </x:c>
      <x:c r="M122" t="n">
        <x:v>0</x:v>
      </x:c>
      <x:c r="N122" t="n">
        <x:v>84.20438</x:v>
      </x:c>
      <x:c r="O122" t="n">
        <x:v>71.92</x:v>
      </x:c>
      <x:c r="P122" t="n">
        <x:v>0</x:v>
      </x:c>
      <x:c r="Q122" t="n">
        <x:v>0</x:v>
      </x:c>
      <x:c r="R122" t="n">
        <x:v>7.6</x:v>
      </x:c>
      <x:c r="S122" t="n">
        <x:v>43.66</x:v>
      </x:c>
      <x:c r="T122" t="str">
        <x:v>https://y.gtimg.cn/music/photo_new/T002R500x500M000001Oqn952HAPRk_1.jpg</x:v>
      </x:c>
      <x:c r="U122" s="24" t="str">
        <x:f>IFERROR(VLOOKUP(I122,'07_字典与参数'!$G$5:$J$9,2,FALSE),"未入选")</x:f>
        <x:v>未入选</x:v>
      </x:c>
      <x:c r="V122" s="24" t="str">
        <x:f>IFERROR(VLOOKUP(I122,'07_字典与参数'!$G$5:$J$9,3,FALSE),"—")</x:f>
        <x:v>—</x:v>
      </x:c>
      <x:c r="W122" s="24" t="str">
        <x:f>IF(U122="未入选","否","是")</x:f>
        <x:v>否</x:v>
      </x:c>
    </x:row>
    <x:row r="123">
      <x:c r="A123" t="n">
        <x:v>202628</x:v>
      </x:c>
      <x:c r="B123" t="str">
        <x:v>第28期（07.13-07.19）</x:v>
      </x:c>
      <x:c r="C123" t="str">
        <x:v>2026-07-13</x:v>
      </x:c>
      <x:c r="D123" t="str">
        <x:v>2026-07-19</x:v>
      </x:c>
      <x:c r="E123" t="n">
        <x:v>119</x:v>
      </x:c>
      <x:c r="F123" t="n">
        <x:v>474604193</x:v>
      </x:c>
      <x:c r="G123" t="str">
        <x:v>锁</x:v>
      </x:c>
      <x:c r="H123" t="str">
        <x:v>TF_ING张子墨</x:v>
      </x:c>
      <x:c r="I123" t="str">
        <x:v>0031DL8C2JpFzq</x:v>
      </x:c>
      <x:c r="J123" t="str">
        <x:v>False</x:v>
      </x:c>
      <x:c r="K123" t="n">
        <x:v>94</x:v>
      </x:c>
      <x:c r="L123" t="n">
        <x:v>0</x:v>
      </x:c>
      <x:c r="M123" t="n">
        <x:v>0</x:v>
      </x:c>
      <x:c r="N123" t="n">
        <x:v>83.94415</x:v>
      </x:c>
      <x:c r="O123" t="n">
        <x:v>72.75</x:v>
      </x:c>
      <x:c r="P123" t="n">
        <x:v>0</x:v>
      </x:c>
      <x:c r="Q123" t="n">
        <x:v>0</x:v>
      </x:c>
      <x:c r="R123" t="n">
        <x:v>17.77</x:v>
      </x:c>
      <x:c r="S123" t="n">
        <x:v>30.41</x:v>
      </x:c>
      <x:c r="T123" t="str">
        <x:v>https://y.gtimg.cn/music/photo_new/T002R500x500M000000XPnel0Xsj5B_1.jpg</x:v>
      </x:c>
      <x:c r="U123" s="24" t="str">
        <x:f>IFERROR(VLOOKUP(I123,'07_字典与参数'!$G$5:$J$9,2,FALSE),"未入选")</x:f>
        <x:v>未入选</x:v>
      </x:c>
      <x:c r="V123" s="24" t="str">
        <x:f>IFERROR(VLOOKUP(I123,'07_字典与参数'!$G$5:$J$9,3,FALSE),"—")</x:f>
        <x:v>—</x:v>
      </x:c>
      <x:c r="W123" s="24" t="str">
        <x:f>IF(U123="未入选","否","是")</x:f>
        <x:v>否</x:v>
      </x:c>
    </x:row>
    <x:row r="124">
      <x:c r="A124" t="n">
        <x:v>202628</x:v>
      </x:c>
      <x:c r="B124" t="str">
        <x:v>第28期（07.13-07.19）</x:v>
      </x:c>
      <x:c r="C124" t="str">
        <x:v>2026-07-13</x:v>
      </x:c>
      <x:c r="D124" t="str">
        <x:v>2026-07-19</x:v>
      </x:c>
      <x:c r="E124" t="n">
        <x:v>120</x:v>
      </x:c>
      <x:c r="F124" t="n">
        <x:v>507703039</x:v>
      </x:c>
      <x:c r="G124" t="str">
        <x:v>也许在下雨天 (眼泪才不被看见)</x:v>
      </x:c>
      <x:c r="H124" t="str">
        <x:v>何遇Hayu,Crybird</x:v>
      </x:c>
      <x:c r="I124" t="str">
        <x:v>003hjJ9O4AiBl9</x:v>
      </x:c>
      <x:c r="J124" t="str">
        <x:v>False</x:v>
      </x:c>
      <x:c r="K124" t="n">
        <x:v>108</x:v>
      </x:c>
      <x:c r="L124" t="n">
        <x:v>0</x:v>
      </x:c>
      <x:c r="M124" t="n">
        <x:v>0</x:v>
      </x:c>
      <x:c r="N124" t="n">
        <x:v>83.77671</x:v>
      </x:c>
      <x:c r="O124" t="n">
        <x:v>72.32</x:v>
      </x:c>
      <x:c r="P124" t="n">
        <x:v>0</x:v>
      </x:c>
      <x:c r="Q124" t="n">
        <x:v>0</x:v>
      </x:c>
      <x:c r="R124" t="n">
        <x:v>18.53</x:v>
      </x:c>
      <x:c r="S124" t="n">
        <x:v>36</x:v>
      </x:c>
      <x:c r="T124" t="str">
        <x:v>https://y.gtimg.cn/music/photo_new/T002R500x500M000001xNQMK1OvExE_2.jpg</x:v>
      </x:c>
      <x:c r="U124" s="24" t="str">
        <x:f>IFERROR(VLOOKUP(I124,'07_字典与参数'!$G$5:$J$9,2,FALSE),"未入选")</x:f>
        <x:v>未入选</x:v>
      </x:c>
      <x:c r="V124" s="24" t="str">
        <x:f>IFERROR(VLOOKUP(I124,'07_字典与参数'!$G$5:$J$9,3,FALSE),"—")</x:f>
        <x:v>—</x:v>
      </x:c>
      <x:c r="W124" s="24" t="str">
        <x:f>IF(U124="未入选","否","是")</x:f>
        <x:v>否</x:v>
      </x:c>
    </x:row>
    <x:row r="125">
      <x:c r="A125" t="n">
        <x:v>202628</x:v>
      </x:c>
      <x:c r="B125" t="str">
        <x:v>第28期（07.13-07.19）</x:v>
      </x:c>
      <x:c r="C125" t="str">
        <x:v>2026-07-13</x:v>
      </x:c>
      <x:c r="D125" t="str">
        <x:v>2026-07-19</x:v>
      </x:c>
      <x:c r="E125" t="n">
        <x:v>121</x:v>
      </x:c>
      <x:c r="F125" t="n">
        <x:v>533093011</x:v>
      </x:c>
      <x:c r="G125" t="str">
        <x:v>拜托拜托</x:v>
      </x:c>
      <x:c r="H125" t="str">
        <x:v>TF家族,TF家族-吕政熙,TF家族-杨云皓,TF家族-侯王子,TF家族-刘禹辰,TF家族-余政霖,TF家族-高铭阳,TF家族-任玄哲,TF家族-皮子渝,TF家族-智恩涵,TF家族-沈子航,TF家族-杨林好,TF家族-朱映宸,TF家族-张誉严,‌TF家族-陈璟翊,TF家族-胡阿米,TF家族-魏新航,TF家族-佟弋,TF家族-赵俊羽,TF家族-刘瀚辰,TF家族-陈燊,TF家族-越艺晨</x:v>
      </x:c>
      <x:c r="I125" t="str">
        <x:v>000OCI2w2CUB1T</x:v>
      </x:c>
      <x:c r="J125" t="str">
        <x:v>False</x:v>
      </x:c>
      <x:c r="K125" t="n">
        <x:v>0</x:v>
      </x:c>
      <x:c r="L125" t="n">
        <x:v>0</x:v>
      </x:c>
      <x:c r="M125" t="n">
        <x:v>0</x:v>
      </x:c>
      <x:c r="N125" t="n">
        <x:v>83.67885</x:v>
      </x:c>
      <x:c r="O125" t="n">
        <x:v>56.3</x:v>
      </x:c>
      <x:c r="P125" t="n">
        <x:v>0</x:v>
      </x:c>
      <x:c r="Q125" t="n">
        <x:v>0</x:v>
      </x:c>
      <x:c r="R125" t="n">
        <x:v>13.11</x:v>
      </x:c>
      <x:c r="S125" t="n">
        <x:v>56.5</x:v>
      </x:c>
      <x:c r="T125" t="str">
        <x:v>https://y.gtimg.cn/music/photo_new/T002R500x500M000000ZOvCx2j7dwx_1.jpg</x:v>
      </x:c>
      <x:c r="U125" s="24" t="str">
        <x:f>IFERROR(VLOOKUP(I125,'07_字典与参数'!$G$5:$J$9,2,FALSE),"未入选")</x:f>
        <x:v>未入选</x:v>
      </x:c>
      <x:c r="V125" s="24" t="str">
        <x:f>IFERROR(VLOOKUP(I125,'07_字典与参数'!$G$5:$J$9,3,FALSE),"—")</x:f>
        <x:v>—</x:v>
      </x:c>
      <x:c r="W125" s="24" t="str">
        <x:f>IF(U125="未入选","否","是")</x:f>
        <x:v>否</x:v>
      </x:c>
    </x:row>
    <x:row r="126">
      <x:c r="A126" t="n">
        <x:v>202628</x:v>
      </x:c>
      <x:c r="B126" t="str">
        <x:v>第28期（07.13-07.19）</x:v>
      </x:c>
      <x:c r="C126" t="str">
        <x:v>2026-07-13</x:v>
      </x:c>
      <x:c r="D126" t="str">
        <x:v>2026-07-19</x:v>
      </x:c>
      <x:c r="E126" t="n">
        <x:v>122</x:v>
      </x:c>
      <x:c r="F126" t="n">
        <x:v>511979926</x:v>
      </x:c>
      <x:c r="G126" t="str">
        <x:v>古风2026</x:v>
      </x:c>
      <x:c r="H126" t="str">
        <x:v>一颗狼星,糯米Nomi,倪浩毅,指尖笑,草帽酱,执素兮,平生不晚,浅影阿</x:v>
      </x:c>
      <x:c r="I126" t="str">
        <x:v>002BNkDq46SfPr</x:v>
      </x:c>
      <x:c r="J126" t="str">
        <x:v>False</x:v>
      </x:c>
      <x:c r="K126" t="n">
        <x:v>134</x:v>
      </x:c>
      <x:c r="L126" t="n">
        <x:v>0</x:v>
      </x:c>
      <x:c r="M126" t="n">
        <x:v>0</x:v>
      </x:c>
      <x:c r="N126" t="n">
        <x:v>83.6343</x:v>
      </x:c>
      <x:c r="O126" t="n">
        <x:v>73.08</x:v>
      </x:c>
      <x:c r="P126" t="n">
        <x:v>0</x:v>
      </x:c>
      <x:c r="Q126" t="n">
        <x:v>0</x:v>
      </x:c>
      <x:c r="R126" t="n">
        <x:v>2.25</x:v>
      </x:c>
      <x:c r="S126" t="n">
        <x:v>20.68</x:v>
      </x:c>
      <x:c r="T126" t="str">
        <x:v>https://y.gtimg.cn/music/photo_new/T002R500x500M000002KRyi405Zmjv_1.jpg</x:v>
      </x:c>
      <x:c r="U126" s="24" t="str">
        <x:f>IFERROR(VLOOKUP(I126,'07_字典与参数'!$G$5:$J$9,2,FALSE),"未入选")</x:f>
        <x:v>未入选</x:v>
      </x:c>
      <x:c r="V126" s="24" t="str">
        <x:f>IFERROR(VLOOKUP(I126,'07_字典与参数'!$G$5:$J$9,3,FALSE),"—")</x:f>
        <x:v>—</x:v>
      </x:c>
      <x:c r="W126" s="24" t="str">
        <x:f>IF(U126="未入选","否","是")</x:f>
        <x:v>否</x:v>
      </x:c>
    </x:row>
    <x:row r="127">
      <x:c r="A127" t="n">
        <x:v>202628</x:v>
      </x:c>
      <x:c r="B127" t="str">
        <x:v>第28期（07.13-07.19）</x:v>
      </x:c>
      <x:c r="C127" t="str">
        <x:v>2026-07-13</x:v>
      </x:c>
      <x:c r="D127" t="str">
        <x:v>2026-07-19</x:v>
      </x:c>
      <x:c r="E127" t="n">
        <x:v>123</x:v>
      </x:c>
      <x:c r="F127" t="n">
        <x:v>522370782</x:v>
      </x:c>
      <x:c r="G127" t="str">
        <x:v>无常</x:v>
      </x:c>
      <x:c r="H127" t="str">
        <x:v>于文文</x:v>
      </x:c>
      <x:c r="I127" t="str">
        <x:v>001iGWqk0G4Sce</x:v>
      </x:c>
      <x:c r="J127" t="str">
        <x:v>False</x:v>
      </x:c>
      <x:c r="K127" t="n">
        <x:v>0</x:v>
      </x:c>
      <x:c r="L127" t="n">
        <x:v>0</x:v>
      </x:c>
      <x:c r="M127" t="n">
        <x:v>0</x:v>
      </x:c>
      <x:c r="N127" t="n">
        <x:v>83.53663</x:v>
      </x:c>
      <x:c r="O127" t="n">
        <x:v>50.43</x:v>
      </x:c>
      <x:c r="P127" t="n">
        <x:v>0</x:v>
      </x:c>
      <x:c r="Q127" t="n">
        <x:v>0</x:v>
      </x:c>
      <x:c r="R127" t="n">
        <x:v>57.73</x:v>
      </x:c>
      <x:c r="S127" t="n">
        <x:v>9.66</x:v>
      </x:c>
      <x:c r="T127" t="str">
        <x:v>https://y.gtimg.cn/music/photo_new/T002R500x500M000001AnXF325jMfu_1.jpg</x:v>
      </x:c>
      <x:c r="U127" s="24" t="str">
        <x:f>IFERROR(VLOOKUP(I127,'07_字典与参数'!$G$5:$J$9,2,FALSE),"未入选")</x:f>
        <x:v>未入选</x:v>
      </x:c>
      <x:c r="V127" s="24" t="str">
        <x:f>IFERROR(VLOOKUP(I127,'07_字典与参数'!$G$5:$J$9,3,FALSE),"—")</x:f>
        <x:v>—</x:v>
      </x:c>
      <x:c r="W127" s="24" t="str">
        <x:f>IF(U127="未入选","否","是")</x:f>
        <x:v>否</x:v>
      </x:c>
    </x:row>
    <x:row r="128">
      <x:c r="A128" t="n">
        <x:v>202628</x:v>
      </x:c>
      <x:c r="B128" t="str">
        <x:v>第28期（07.13-07.19）</x:v>
      </x:c>
      <x:c r="C128" t="str">
        <x:v>2026-07-13</x:v>
      </x:c>
      <x:c r="D128" t="str">
        <x:v>2026-07-19</x:v>
      </x:c>
      <x:c r="E128" t="n">
        <x:v>124</x:v>
      </x:c>
      <x:c r="F128" t="n">
        <x:v>522370781</x:v>
      </x:c>
      <x:c r="G128" t="str">
        <x:v>是什么</x:v>
      </x:c>
      <x:c r="H128" t="str">
        <x:v>于文文</x:v>
      </x:c>
      <x:c r="I128" t="str">
        <x:v>001tAmUX2ALtul</x:v>
      </x:c>
      <x:c r="J128" t="str">
        <x:v>False</x:v>
      </x:c>
      <x:c r="K128" t="n">
        <x:v>0</x:v>
      </x:c>
      <x:c r="L128" t="n">
        <x:v>0</x:v>
      </x:c>
      <x:c r="M128" t="n">
        <x:v>0</x:v>
      </x:c>
      <x:c r="N128" t="n">
        <x:v>83.49356</x:v>
      </x:c>
      <x:c r="O128" t="n">
        <x:v>50.48</x:v>
      </x:c>
      <x:c r="P128" t="n">
        <x:v>0</x:v>
      </x:c>
      <x:c r="Q128" t="n">
        <x:v>0</x:v>
      </x:c>
      <x:c r="R128" t="n">
        <x:v>57.67</x:v>
      </x:c>
      <x:c r="S128" t="n">
        <x:v>7.36</x:v>
      </x:c>
      <x:c r="T128" t="str">
        <x:v>https://y.gtimg.cn/music/photo_new/T002R500x500M000001AnXF325jMfu_1.jpg</x:v>
      </x:c>
      <x:c r="U128" s="24" t="str">
        <x:f>IFERROR(VLOOKUP(I128,'07_字典与参数'!$G$5:$J$9,2,FALSE),"未入选")</x:f>
        <x:v>未入选</x:v>
      </x:c>
      <x:c r="V128" s="24" t="str">
        <x:f>IFERROR(VLOOKUP(I128,'07_字典与参数'!$G$5:$J$9,3,FALSE),"—")</x:f>
        <x:v>—</x:v>
      </x:c>
      <x:c r="W128" s="24" t="str">
        <x:f>IF(U128="未入选","否","是")</x:f>
        <x:v>否</x:v>
      </x:c>
    </x:row>
    <x:row r="129">
      <x:c r="A129" t="n">
        <x:v>202628</x:v>
      </x:c>
      <x:c r="B129" t="str">
        <x:v>第28期（07.13-07.19）</x:v>
      </x:c>
      <x:c r="C129" t="str">
        <x:v>2026-07-13</x:v>
      </x:c>
      <x:c r="D129" t="str">
        <x:v>2026-07-19</x:v>
      </x:c>
      <x:c r="E129" t="n">
        <x:v>125</x:v>
      </x:c>
      <x:c r="F129" t="n">
        <x:v>474412513</x:v>
      </x:c>
      <x:c r="G129" t="str">
        <x:v>七月的极光</x:v>
      </x:c>
      <x:c r="H129" t="str">
        <x:v>周杰伦</x:v>
      </x:c>
      <x:c r="I129" t="str">
        <x:v>003wwuRJ3OmrGc</x:v>
      </x:c>
      <x:c r="J129" t="str">
        <x:v>False</x:v>
      </x:c>
      <x:c r="K129" t="n">
        <x:v>100</x:v>
      </x:c>
      <x:c r="L129" t="n">
        <x:v>0</x:v>
      </x:c>
      <x:c r="M129" t="n">
        <x:v>0</x:v>
      </x:c>
      <x:c r="N129" t="n">
        <x:v>83.45294</x:v>
      </x:c>
      <x:c r="O129" t="n">
        <x:v>71.99</x:v>
      </x:c>
      <x:c r="P129" t="n">
        <x:v>0</x:v>
      </x:c>
      <x:c r="Q129" t="n">
        <x:v>0</x:v>
      </x:c>
      <x:c r="R129" t="n">
        <x:v>12.12</x:v>
      </x:c>
      <x:c r="S129" t="n">
        <x:v>39.95</x:v>
      </x:c>
      <x:c r="T129" t="str">
        <x:v>https://y.gtimg.cn/music/photo_new/T002R500x500M0000041WVfh2vtlJE_1.jpg</x:v>
      </x:c>
      <x:c r="U129" s="24" t="str">
        <x:f>IFERROR(VLOOKUP(I129,'07_字典与参数'!$G$5:$J$9,2,FALSE),"未入选")</x:f>
        <x:v>未入选</x:v>
      </x:c>
      <x:c r="V129" s="24" t="str">
        <x:f>IFERROR(VLOOKUP(I129,'07_字典与参数'!$G$5:$J$9,3,FALSE),"—")</x:f>
        <x:v>—</x:v>
      </x:c>
      <x:c r="W129" s="24" t="str">
        <x:f>IF(U129="未入选","否","是")</x:f>
        <x:v>否</x:v>
      </x:c>
    </x:row>
    <x:row r="130">
      <x:c r="A130" t="n">
        <x:v>202628</x:v>
      </x:c>
      <x:c r="B130" t="str">
        <x:v>第28期（07.13-07.19）</x:v>
      </x:c>
      <x:c r="C130" t="str">
        <x:v>2026-07-13</x:v>
      </x:c>
      <x:c r="D130" t="str">
        <x:v>2026-07-19</x:v>
      </x:c>
      <x:c r="E130" t="n">
        <x:v>126</x:v>
      </x:c>
      <x:c r="F130" t="n">
        <x:v>503612889</x:v>
      </x:c>
      <x:c r="G130" t="str">
        <x:v>渡</x:v>
      </x:c>
      <x:c r="H130" t="str">
        <x:v>周深</x:v>
      </x:c>
      <x:c r="I130" t="str">
        <x:v>004XNL6L36CrFC</x:v>
      </x:c>
      <x:c r="J130" t="str">
        <x:v>False</x:v>
      </x:c>
      <x:c r="K130" t="n">
        <x:v>96</x:v>
      </x:c>
      <x:c r="L130" t="n">
        <x:v>0</x:v>
      </x:c>
      <x:c r="M130" t="n">
        <x:v>0</x:v>
      </x:c>
      <x:c r="N130" t="n">
        <x:v>83.33622</x:v>
      </x:c>
      <x:c r="O130" t="n">
        <x:v>65.6</x:v>
      </x:c>
      <x:c r="P130" t="n">
        <x:v>0</x:v>
      </x:c>
      <x:c r="Q130" t="n">
        <x:v>0</x:v>
      </x:c>
      <x:c r="R130" t="n">
        <x:v>5.07</x:v>
      </x:c>
      <x:c r="S130" t="n">
        <x:v>51.77</x:v>
      </x:c>
      <x:c r="T130" t="str">
        <x:v>https://y.gtimg.cn/music/photo_new/T002R500x500M000000QqmQq1hKTuB_1.jpg</x:v>
      </x:c>
      <x:c r="U130" s="24" t="str">
        <x:f>IFERROR(VLOOKUP(I130,'07_字典与参数'!$G$5:$J$9,2,FALSE),"未入选")</x:f>
        <x:v>未入选</x:v>
      </x:c>
      <x:c r="V130" s="24" t="str">
        <x:f>IFERROR(VLOOKUP(I130,'07_字典与参数'!$G$5:$J$9,3,FALSE),"—")</x:f>
        <x:v>—</x:v>
      </x:c>
      <x:c r="W130" s="24" t="str">
        <x:f>IF(U130="未入选","否","是")</x:f>
        <x:v>否</x:v>
      </x:c>
    </x:row>
    <x:row r="131">
      <x:c r="A131" t="n">
        <x:v>202628</x:v>
      </x:c>
      <x:c r="B131" t="str">
        <x:v>第28期（07.13-07.19）</x:v>
      </x:c>
      <x:c r="C131" t="str">
        <x:v>2026-07-13</x:v>
      </x:c>
      <x:c r="D131" t="str">
        <x:v>2026-07-19</x:v>
      </x:c>
      <x:c r="E131" t="n">
        <x:v>127</x:v>
      </x:c>
      <x:c r="F131" t="n">
        <x:v>531377175</x:v>
      </x:c>
      <x:c r="G131" t="str">
        <x:v>破晓</x:v>
      </x:c>
      <x:c r="H131" t="str">
        <x:v>十个勤天</x:v>
      </x:c>
      <x:c r="I131" t="str">
        <x:v>0040bFEa46eiwG</x:v>
      </x:c>
      <x:c r="J131" t="str">
        <x:v>False</x:v>
      </x:c>
      <x:c r="K131" t="n">
        <x:v>107</x:v>
      </x:c>
      <x:c r="L131" t="n">
        <x:v>0</x:v>
      </x:c>
      <x:c r="M131" t="n">
        <x:v>0</x:v>
      </x:c>
      <x:c r="N131" t="n">
        <x:v>83.331</x:v>
      </x:c>
      <x:c r="O131" t="n">
        <x:v>63.04</x:v>
      </x:c>
      <x:c r="P131" t="n">
        <x:v>0</x:v>
      </x:c>
      <x:c r="Q131" t="n">
        <x:v>0</x:v>
      </x:c>
      <x:c r="R131" t="n">
        <x:v>6.99</x:v>
      </x:c>
      <x:c r="S131" t="n">
        <x:v>53.3</x:v>
      </x:c>
      <x:c r="T131" t="str">
        <x:v>https://y.gtimg.cn/music/photo_new/T002R500x500M000003jlUc82XQcof_1.jpg</x:v>
      </x:c>
      <x:c r="U131" s="24" t="str">
        <x:f>IFERROR(VLOOKUP(I131,'07_字典与参数'!$G$5:$J$9,2,FALSE),"未入选")</x:f>
        <x:v>未入选</x:v>
      </x:c>
      <x:c r="V131" s="24" t="str">
        <x:f>IFERROR(VLOOKUP(I131,'07_字典与参数'!$G$5:$J$9,3,FALSE),"—")</x:f>
        <x:v>—</x:v>
      </x:c>
      <x:c r="W131" s="24" t="str">
        <x:f>IF(U131="未入选","否","是")</x:f>
        <x:v>否</x:v>
      </x:c>
    </x:row>
    <x:row r="132">
      <x:c r="A132" t="n">
        <x:v>202628</x:v>
      </x:c>
      <x:c r="B132" t="str">
        <x:v>第28期（07.13-07.19）</x:v>
      </x:c>
      <x:c r="C132" t="str">
        <x:v>2026-07-13</x:v>
      </x:c>
      <x:c r="D132" t="str">
        <x:v>2026-07-19</x:v>
      </x:c>
      <x:c r="E132" t="n">
        <x:v>128</x:v>
      </x:c>
      <x:c r="F132" t="n">
        <x:v>511809673</x:v>
      </x:c>
      <x:c r="G132" t="str">
        <x:v>人间</x:v>
      </x:c>
      <x:c r="H132" t="str">
        <x:v>刘宇宁</x:v>
      </x:c>
      <x:c r="I132" t="str">
        <x:v>002dyLPw3kRsuA</x:v>
      </x:c>
      <x:c r="J132" t="str">
        <x:v>False</x:v>
      </x:c>
      <x:c r="K132" t="n">
        <x:v>105</x:v>
      </x:c>
      <x:c r="L132" t="n">
        <x:v>0</x:v>
      </x:c>
      <x:c r="M132" t="n">
        <x:v>0</x:v>
      </x:c>
      <x:c r="N132" t="n">
        <x:v>83.32819</x:v>
      </x:c>
      <x:c r="O132" t="n">
        <x:v>70.11</x:v>
      </x:c>
      <x:c r="P132" t="n">
        <x:v>0</x:v>
      </x:c>
      <x:c r="Q132" t="n">
        <x:v>0</x:v>
      </x:c>
      <x:c r="R132" t="n">
        <x:v>14.42</x:v>
      </x:c>
      <x:c r="S132" t="n">
        <x:v>46.49</x:v>
      </x:c>
      <x:c r="T132" t="str">
        <x:v>https://y.qq.com/music/photo_new/T062R500x500M000001Plf3T3zraRt.jpg</x:v>
      </x:c>
      <x:c r="U132" s="24" t="str">
        <x:f>IFERROR(VLOOKUP(I132,'07_字典与参数'!$G$5:$J$9,2,FALSE),"未入选")</x:f>
        <x:v>未入选</x:v>
      </x:c>
      <x:c r="V132" s="24" t="str">
        <x:f>IFERROR(VLOOKUP(I132,'07_字典与参数'!$G$5:$J$9,3,FALSE),"—")</x:f>
        <x:v>—</x:v>
      </x:c>
      <x:c r="W132" s="24" t="str">
        <x:f>IF(U132="未入选","否","是")</x:f>
        <x:v>否</x:v>
      </x:c>
    </x:row>
    <x:row r="133">
      <x:c r="A133" t="n">
        <x:v>202628</x:v>
      </x:c>
      <x:c r="B133" t="str">
        <x:v>第28期（07.13-07.19）</x:v>
      </x:c>
      <x:c r="C133" t="str">
        <x:v>2026-07-13</x:v>
      </x:c>
      <x:c r="D133" t="str">
        <x:v>2026-07-19</x:v>
      </x:c>
      <x:c r="E133" t="n">
        <x:v>129</x:v>
      </x:c>
      <x:c r="F133" t="n">
        <x:v>513759558</x:v>
      </x:c>
      <x:c r="G133" t="str">
        <x:v>浮生若梦</x:v>
      </x:c>
      <x:c r="H133" t="str">
        <x:v>周深</x:v>
      </x:c>
      <x:c r="I133" t="str">
        <x:v>002ElBqW0fEWXI</x:v>
      </x:c>
      <x:c r="J133" t="str">
        <x:v>False</x:v>
      </x:c>
      <x:c r="K133" t="n">
        <x:v>98</x:v>
      </x:c>
      <x:c r="L133" t="n">
        <x:v>0</x:v>
      </x:c>
      <x:c r="M133" t="n">
        <x:v>0</x:v>
      </x:c>
      <x:c r="N133" t="n">
        <x:v>83.29579</x:v>
      </x:c>
      <x:c r="O133" t="n">
        <x:v>67.95</x:v>
      </x:c>
      <x:c r="P133" t="n">
        <x:v>0</x:v>
      </x:c>
      <x:c r="Q133" t="n">
        <x:v>0</x:v>
      </x:c>
      <x:c r="R133" t="n">
        <x:v>8.57</x:v>
      </x:c>
      <x:c r="S133" t="n">
        <x:v>50</x:v>
      </x:c>
      <x:c r="T133" t="str">
        <x:v>https://y.qq.com/music/photo_new/T062R500x500M000003O2ogG11M5da.jpg</x:v>
      </x:c>
      <x:c r="U133" s="24" t="str">
        <x:f>IFERROR(VLOOKUP(I133,'07_字典与参数'!$G$5:$J$9,2,FALSE),"未入选")</x:f>
        <x:v>未入选</x:v>
      </x:c>
      <x:c r="V133" s="24" t="str">
        <x:f>IFERROR(VLOOKUP(I133,'07_字典与参数'!$G$5:$J$9,3,FALSE),"—")</x:f>
        <x:v>—</x:v>
      </x:c>
      <x:c r="W133" s="24" t="str">
        <x:f>IF(U133="未入选","否","是")</x:f>
        <x:v>否</x:v>
      </x:c>
    </x:row>
    <x:row r="134">
      <x:c r="A134" t="n">
        <x:v>202628</x:v>
      </x:c>
      <x:c r="B134" t="str">
        <x:v>第28期（07.13-07.19）</x:v>
      </x:c>
      <x:c r="C134" t="str">
        <x:v>2026-07-13</x:v>
      </x:c>
      <x:c r="D134" t="str">
        <x:v>2026-07-19</x:v>
      </x:c>
      <x:c r="E134" t="n">
        <x:v>130</x:v>
      </x:c>
      <x:c r="F134" t="n">
        <x:v>480650223</x:v>
      </x:c>
      <x:c r="G134" t="str">
        <x:v>昨晚我环游了地球</x:v>
      </x:c>
      <x:c r="H134" t="str">
        <x:v>汪苏泷</x:v>
      </x:c>
      <x:c r="I134" t="str">
        <x:v>003RhiFk16EeF7</x:v>
      </x:c>
      <x:c r="J134" t="str">
        <x:v>False</x:v>
      </x:c>
      <x:c r="K134" t="n">
        <x:v>113</x:v>
      </x:c>
      <x:c r="L134" t="n">
        <x:v>0</x:v>
      </x:c>
      <x:c r="M134" t="n">
        <x:v>0</x:v>
      </x:c>
      <x:c r="N134" t="n">
        <x:v>83.26869</x:v>
      </x:c>
      <x:c r="O134" t="n">
        <x:v>68.12</x:v>
      </x:c>
      <x:c r="P134" t="n">
        <x:v>0</x:v>
      </x:c>
      <x:c r="Q134" t="n">
        <x:v>0</x:v>
      </x:c>
      <x:c r="R134" t="n">
        <x:v>6.28</x:v>
      </x:c>
      <x:c r="S134" t="n">
        <x:v>49.92</x:v>
      </x:c>
      <x:c r="T134" t="str">
        <x:v>https://y.gtimg.cn/music/photo_new/T002R500x500M000000A1M903iHvyT_4.jpg</x:v>
      </x:c>
      <x:c r="U134" s="24" t="str">
        <x:f>IFERROR(VLOOKUP(I134,'07_字典与参数'!$G$5:$J$9,2,FALSE),"未入选")</x:f>
        <x:v>未入选</x:v>
      </x:c>
      <x:c r="V134" s="24" t="str">
        <x:f>IFERROR(VLOOKUP(I134,'07_字典与参数'!$G$5:$J$9,3,FALSE),"—")</x:f>
        <x:v>—</x:v>
      </x:c>
      <x:c r="W134" s="24" t="str">
        <x:f>IF(U134="未入选","否","是")</x:f>
        <x:v>否</x:v>
      </x:c>
    </x:row>
    <x:row r="135">
      <x:c r="A135" t="n">
        <x:v>202628</x:v>
      </x:c>
      <x:c r="B135" t="str">
        <x:v>第28期（07.13-07.19）</x:v>
      </x:c>
      <x:c r="C135" t="str">
        <x:v>2026-07-13</x:v>
      </x:c>
      <x:c r="D135" t="str">
        <x:v>2026-07-19</x:v>
      </x:c>
      <x:c r="E135" t="n">
        <x:v>131</x:v>
      </x:c>
      <x:c r="F135" t="n">
        <x:v>495396282</x:v>
      </x:c>
      <x:c r="G135" t="str">
        <x:v>一曲相思(欲问青天这人生有几何)</x:v>
      </x:c>
      <x:c r="H135" t="str">
        <x:v>海来阿木</x:v>
      </x:c>
      <x:c r="I135" t="str">
        <x:v>0029SPEq1UThNj</x:v>
      </x:c>
      <x:c r="J135" t="str">
        <x:v>False</x:v>
      </x:c>
      <x:c r="K135" t="n">
        <x:v>124</x:v>
      </x:c>
      <x:c r="L135" t="n">
        <x:v>0</x:v>
      </x:c>
      <x:c r="M135" t="n">
        <x:v>0</x:v>
      </x:c>
      <x:c r="N135" t="n">
        <x:v>82.97982</x:v>
      </x:c>
      <x:c r="O135" t="n">
        <x:v>71.79</x:v>
      </x:c>
      <x:c r="P135" t="n">
        <x:v>0</x:v>
      </x:c>
      <x:c r="Q135" t="n">
        <x:v>0</x:v>
      </x:c>
      <x:c r="R135" t="n">
        <x:v>20.83</x:v>
      </x:c>
      <x:c r="S135" t="n">
        <x:v>24.87</x:v>
      </x:c>
      <x:c r="T135" t="str">
        <x:v>https://y.gtimg.cn/music/photo_new/T002R500x500M0000034yzah0TRjti_1.jpg</x:v>
      </x:c>
      <x:c r="U135" s="24" t="str">
        <x:f>IFERROR(VLOOKUP(I135,'07_字典与参数'!$G$5:$J$9,2,FALSE),"未入选")</x:f>
        <x:v>未入选</x:v>
      </x:c>
      <x:c r="V135" s="24" t="str">
        <x:f>IFERROR(VLOOKUP(I135,'07_字典与参数'!$G$5:$J$9,3,FALSE),"—")</x:f>
        <x:v>—</x:v>
      </x:c>
      <x:c r="W135" s="24" t="str">
        <x:f>IF(U135="未入选","否","是")</x:f>
        <x:v>否</x:v>
      </x:c>
    </x:row>
    <x:row r="136">
      <x:c r="A136" t="n">
        <x:v>202628</x:v>
      </x:c>
      <x:c r="B136" t="str">
        <x:v>第28期（07.13-07.19）</x:v>
      </x:c>
      <x:c r="C136" t="str">
        <x:v>2026-07-13</x:v>
      </x:c>
      <x:c r="D136" t="str">
        <x:v>2026-07-19</x:v>
      </x:c>
      <x:c r="E136" t="n">
        <x:v>132</x:v>
      </x:c>
      <x:c r="F136" t="n">
        <x:v>512975549</x:v>
      </x:c>
      <x:c r="G136" t="str">
        <x:v>洛阳纸</x:v>
      </x:c>
      <x:c r="H136" t="str">
        <x:v>许嵩</x:v>
      </x:c>
      <x:c r="I136" t="str">
        <x:v>000iOs7F4gQ4VR</x:v>
      </x:c>
      <x:c r="J136" t="str">
        <x:v>False</x:v>
      </x:c>
      <x:c r="K136" t="n">
        <x:v>101</x:v>
      </x:c>
      <x:c r="L136" t="n">
        <x:v>0</x:v>
      </x:c>
      <x:c r="M136" t="n">
        <x:v>0</x:v>
      </x:c>
      <x:c r="N136" t="n">
        <x:v>82.95084</x:v>
      </x:c>
      <x:c r="O136" t="n">
        <x:v>71.32</x:v>
      </x:c>
      <x:c r="P136" t="n">
        <x:v>0</x:v>
      </x:c>
      <x:c r="Q136" t="n">
        <x:v>0</x:v>
      </x:c>
      <x:c r="R136" t="n">
        <x:v>7.98</x:v>
      </x:c>
      <x:c r="S136" t="n">
        <x:v>41.04</x:v>
      </x:c>
      <x:c r="T136" t="str">
        <x:v>https://y.gtimg.cn/music/photo_new/T002R500x500M000001Oqn952HAPRk_1.jpg</x:v>
      </x:c>
      <x:c r="U136" s="24" t="str">
        <x:f>IFERROR(VLOOKUP(I136,'07_字典与参数'!$G$5:$J$9,2,FALSE),"未入选")</x:f>
        <x:v>未入选</x:v>
      </x:c>
      <x:c r="V136" s="24" t="str">
        <x:f>IFERROR(VLOOKUP(I136,'07_字典与参数'!$G$5:$J$9,3,FALSE),"—")</x:f>
        <x:v>—</x:v>
      </x:c>
      <x:c r="W136" s="24" t="str">
        <x:f>IF(U136="未入选","否","是")</x:f>
        <x:v>否</x:v>
      </x:c>
    </x:row>
    <x:row r="137">
      <x:c r="A137" t="n">
        <x:v>202628</x:v>
      </x:c>
      <x:c r="B137" t="str">
        <x:v>第28期（07.13-07.19）</x:v>
      </x:c>
      <x:c r="C137" t="str">
        <x:v>2026-07-13</x:v>
      </x:c>
      <x:c r="D137" t="str">
        <x:v>2026-07-19</x:v>
      </x:c>
      <x:c r="E137" t="n">
        <x:v>133</x:v>
      </x:c>
      <x:c r="F137" t="n">
        <x:v>532082556</x:v>
      </x:c>
      <x:c r="G137" t="str">
        <x:v>Too Many Lies</x:v>
      </x:c>
      <x:c r="H137" t="str">
        <x:v>钱锟 (KUN)</x:v>
      </x:c>
      <x:c r="I137" t="str">
        <x:v>000ZXvVA0u0JGI</x:v>
      </x:c>
      <x:c r="J137" t="str">
        <x:v>False</x:v>
      </x:c>
      <x:c r="K137" t="n">
        <x:v>0</x:v>
      </x:c>
      <x:c r="L137" t="n">
        <x:v>0</x:v>
      </x:c>
      <x:c r="M137" t="n">
        <x:v>0</x:v>
      </x:c>
      <x:c r="N137" t="n">
        <x:v>82.88526</x:v>
      </x:c>
      <x:c r="O137" t="n">
        <x:v>41.23</x:v>
      </x:c>
      <x:c r="P137" t="n">
        <x:v>0</x:v>
      </x:c>
      <x:c r="Q137" t="n">
        <x:v>0</x:v>
      </x:c>
      <x:c r="R137" t="n">
        <x:v>53.66</x:v>
      </x:c>
      <x:c r="S137" t="n">
        <x:v>42.56</x:v>
      </x:c>
      <x:c r="T137" t="str">
        <x:v>https://y.gtimg.cn/music/photo_new/T002R500x500M000004fXplH0mttA1_1.jpg</x:v>
      </x:c>
      <x:c r="U137" s="24" t="str">
        <x:f>IFERROR(VLOOKUP(I137,'07_字典与参数'!$G$5:$J$9,2,FALSE),"未入选")</x:f>
        <x:v>未入选</x:v>
      </x:c>
      <x:c r="V137" s="24" t="str">
        <x:f>IFERROR(VLOOKUP(I137,'07_字典与参数'!$G$5:$J$9,3,FALSE),"—")</x:f>
        <x:v>—</x:v>
      </x:c>
      <x:c r="W137" s="24" t="str">
        <x:f>IF(U137="未入选","否","是")</x:f>
        <x:v>否</x:v>
      </x:c>
    </x:row>
    <x:row r="138">
      <x:c r="A138" t="n">
        <x:v>202628</x:v>
      </x:c>
      <x:c r="B138" t="str">
        <x:v>第28期（07.13-07.19）</x:v>
      </x:c>
      <x:c r="C138" t="str">
        <x:v>2026-07-13</x:v>
      </x:c>
      <x:c r="D138" t="str">
        <x:v>2026-07-19</x:v>
      </x:c>
      <x:c r="E138" t="n">
        <x:v>134</x:v>
      </x:c>
      <x:c r="F138" t="n">
        <x:v>513183119</x:v>
      </x:c>
      <x:c r="G138" t="str">
        <x:v>心安之地</x:v>
      </x:c>
      <x:c r="H138" t="str">
        <x:v>许嵩</x:v>
      </x:c>
      <x:c r="I138" t="str">
        <x:v>000h1psW2HN90S</x:v>
      </x:c>
      <x:c r="J138" t="str">
        <x:v>False</x:v>
      </x:c>
      <x:c r="K138" t="n">
        <x:v>91</x:v>
      </x:c>
      <x:c r="L138" t="n">
        <x:v>0</x:v>
      </x:c>
      <x:c r="M138" t="n">
        <x:v>0</x:v>
      </x:c>
      <x:c r="N138" t="n">
        <x:v>82.83511</x:v>
      </x:c>
      <x:c r="O138" t="n">
        <x:v>70.91</x:v>
      </x:c>
      <x:c r="P138" t="n">
        <x:v>0</x:v>
      </x:c>
      <x:c r="Q138" t="n">
        <x:v>0</x:v>
      </x:c>
      <x:c r="R138" t="n">
        <x:v>6.47</x:v>
      </x:c>
      <x:c r="S138" t="n">
        <x:v>42.3</x:v>
      </x:c>
      <x:c r="T138" t="str">
        <x:v>https://y.gtimg.cn/music/photo_new/T002R500x500M000001Oqn952HAPRk_1.jpg</x:v>
      </x:c>
      <x:c r="U138" s="24" t="str">
        <x:f>IFERROR(VLOOKUP(I138,'07_字典与参数'!$G$5:$J$9,2,FALSE),"未入选")</x:f>
        <x:v>未入选</x:v>
      </x:c>
      <x:c r="V138" s="24" t="str">
        <x:f>IFERROR(VLOOKUP(I138,'07_字典与参数'!$G$5:$J$9,3,FALSE),"—")</x:f>
        <x:v>—</x:v>
      </x:c>
      <x:c r="W138" s="24" t="str">
        <x:f>IF(U138="未入选","否","是")</x:f>
        <x:v>否</x:v>
      </x:c>
    </x:row>
    <x:row r="139">
      <x:c r="A139" t="n">
        <x:v>202628</x:v>
      </x:c>
      <x:c r="B139" t="str">
        <x:v>第28期（07.13-07.19）</x:v>
      </x:c>
      <x:c r="C139" t="str">
        <x:v>2026-07-13</x:v>
      </x:c>
      <x:c r="D139" t="str">
        <x:v>2026-07-19</x:v>
      </x:c>
      <x:c r="E139" t="n">
        <x:v>135</x:v>
      </x:c>
      <x:c r="F139" t="n">
        <x:v>512152956</x:v>
      </x:c>
      <x:c r="G139" t="str">
        <x:v>以为有以后</x:v>
      </x:c>
      <x:c r="H139" t="str">
        <x:v>李廷旭</x:v>
      </x:c>
      <x:c r="I139" t="str">
        <x:v>001lkVOI2SdXSS</x:v>
      </x:c>
      <x:c r="J139" t="str">
        <x:v>False</x:v>
      </x:c>
      <x:c r="K139" t="n">
        <x:v>0</x:v>
      </x:c>
      <x:c r="L139" t="n">
        <x:v>0</x:v>
      </x:c>
      <x:c r="M139" t="n">
        <x:v>0</x:v>
      </x:c>
      <x:c r="N139" t="n">
        <x:v>82.55726</x:v>
      </x:c>
      <x:c r="O139" t="n">
        <x:v>72.21</x:v>
      </x:c>
      <x:c r="P139" t="n">
        <x:v>0</x:v>
      </x:c>
      <x:c r="Q139" t="n">
        <x:v>0</x:v>
      </x:c>
      <x:c r="R139" t="n">
        <x:v>0.9</x:v>
      </x:c>
      <x:c r="S139" t="n">
        <x:v>3.28</x:v>
      </x:c>
      <x:c r="T139" t="str">
        <x:v>https://y.gtimg.cn/music/photo_new/T002R500x500M00000364HbC0r03Ed_2.jpg</x:v>
      </x:c>
      <x:c r="U139" s="24" t="str">
        <x:f>IFERROR(VLOOKUP(I139,'07_字典与参数'!$G$5:$J$9,2,FALSE),"未入选")</x:f>
        <x:v>未入选</x:v>
      </x:c>
      <x:c r="V139" s="24" t="str">
        <x:f>IFERROR(VLOOKUP(I139,'07_字典与参数'!$G$5:$J$9,3,FALSE),"—")</x:f>
        <x:v>—</x:v>
      </x:c>
      <x:c r="W139" s="24" t="str">
        <x:f>IF(U139="未入选","否","是")</x:f>
        <x:v>否</x:v>
      </x:c>
    </x:row>
    <x:row r="140">
      <x:c r="A140" t="n">
        <x:v>202628</x:v>
      </x:c>
      <x:c r="B140" t="str">
        <x:v>第28期（07.13-07.19）</x:v>
      </x:c>
      <x:c r="C140" t="str">
        <x:v>2026-07-13</x:v>
      </x:c>
      <x:c r="D140" t="str">
        <x:v>2026-07-19</x:v>
      </x:c>
      <x:c r="E140" t="n">
        <x:v>136</x:v>
      </x:c>
      <x:c r="F140" t="n">
        <x:v>492295463</x:v>
      </x:c>
      <x:c r="G140" t="str">
        <x:v>隐瞒</x:v>
      </x:c>
      <x:c r="H140" t="str">
        <x:v>TF_ING邓佳鑫</x:v>
      </x:c>
      <x:c r="I140" t="str">
        <x:v>002Bw7Br2V7OZF</x:v>
      </x:c>
      <x:c r="J140" t="str">
        <x:v>False</x:v>
      </x:c>
      <x:c r="K140" t="n">
        <x:v>115</x:v>
      </x:c>
      <x:c r="L140" t="n">
        <x:v>0</x:v>
      </x:c>
      <x:c r="M140" t="n">
        <x:v>0</x:v>
      </x:c>
      <x:c r="N140" t="n">
        <x:v>82.44593</x:v>
      </x:c>
      <x:c r="O140" t="n">
        <x:v>51.13</x:v>
      </x:c>
      <x:c r="P140" t="n">
        <x:v>0</x:v>
      </x:c>
      <x:c r="Q140" t="n">
        <x:v>0</x:v>
      </x:c>
      <x:c r="R140" t="n">
        <x:v>21.75</x:v>
      </x:c>
      <x:c r="S140" t="n">
        <x:v>54.78</x:v>
      </x:c>
      <x:c r="T140" t="str">
        <x:v>https://y.gtimg.cn/music/photo_new/T002R500x500M000004A6rAz2YPGz5_1.jpg</x:v>
      </x:c>
      <x:c r="U140" s="24" t="str">
        <x:f>IFERROR(VLOOKUP(I140,'07_字典与参数'!$G$5:$J$9,2,FALSE),"未入选")</x:f>
        <x:v>未入选</x:v>
      </x:c>
      <x:c r="V140" s="24" t="str">
        <x:f>IFERROR(VLOOKUP(I140,'07_字典与参数'!$G$5:$J$9,3,FALSE),"—")</x:f>
        <x:v>—</x:v>
      </x:c>
      <x:c r="W140" s="24" t="str">
        <x:f>IF(U140="未入选","否","是")</x:f>
        <x:v>否</x:v>
      </x:c>
    </x:row>
    <x:row r="141">
      <x:c r="A141" t="n">
        <x:v>202628</x:v>
      </x:c>
      <x:c r="B141" t="str">
        <x:v>第28期（07.13-07.19）</x:v>
      </x:c>
      <x:c r="C141" t="str">
        <x:v>2026-07-13</x:v>
      </x:c>
      <x:c r="D141" t="str">
        <x:v>2026-07-19</x:v>
      </x:c>
      <x:c r="E141" t="n">
        <x:v>137</x:v>
      </x:c>
      <x:c r="F141" t="n">
        <x:v>530520415</x:v>
      </x:c>
      <x:c r="G141" t="str">
        <x:v>浓雾</x:v>
      </x:c>
      <x:c r="H141" t="str">
        <x:v>Mr.岑</x:v>
      </x:c>
      <x:c r="I141" t="str">
        <x:v>0021tUBT3YVJzS</x:v>
      </x:c>
      <x:c r="J141" t="str">
        <x:v>False</x:v>
      </x:c>
      <x:c r="K141" t="n">
        <x:v>0</x:v>
      </x:c>
      <x:c r="L141" t="n">
        <x:v>0</x:v>
      </x:c>
      <x:c r="M141" t="n">
        <x:v>0</x:v>
      </x:c>
      <x:c r="N141" t="n">
        <x:v>82.29628</x:v>
      </x:c>
      <x:c r="O141" t="n">
        <x:v>50.81</x:v>
      </x:c>
      <x:c r="P141" t="n">
        <x:v>0</x:v>
      </x:c>
      <x:c r="Q141" t="n">
        <x:v>0</x:v>
      </x:c>
      <x:c r="R141" t="n">
        <x:v>54.39</x:v>
      </x:c>
      <x:c r="S141" t="n">
        <x:v>20.97</x:v>
      </x:c>
      <x:c r="T141" t="str">
        <x:v>https://y.gtimg.cn/music/photo_new/T002R500x500M000004VMOxL1DzkyR_1.jpg</x:v>
      </x:c>
      <x:c r="U141" s="24" t="str">
        <x:f>IFERROR(VLOOKUP(I141,'07_字典与参数'!$G$5:$J$9,2,FALSE),"未入选")</x:f>
        <x:v>未入选</x:v>
      </x:c>
      <x:c r="V141" s="24" t="str">
        <x:f>IFERROR(VLOOKUP(I141,'07_字典与参数'!$G$5:$J$9,3,FALSE),"—")</x:f>
        <x:v>—</x:v>
      </x:c>
      <x:c r="W141" s="24" t="str">
        <x:f>IF(U141="未入选","否","是")</x:f>
        <x:v>否</x:v>
      </x:c>
    </x:row>
    <x:row r="142">
      <x:c r="A142" t="n">
        <x:v>202628</x:v>
      </x:c>
      <x:c r="B142" t="str">
        <x:v>第28期（07.13-07.19）</x:v>
      </x:c>
      <x:c r="C142" t="str">
        <x:v>2026-07-13</x:v>
      </x:c>
      <x:c r="D142" t="str">
        <x:v>2026-07-19</x:v>
      </x:c>
      <x:c r="E142" t="n">
        <x:v>138</x:v>
      </x:c>
      <x:c r="F142" t="n">
        <x:v>513183074</x:v>
      </x:c>
      <x:c r="G142" t="str">
        <x:v>老歌</x:v>
      </x:c>
      <x:c r="H142" t="str">
        <x:v>许嵩</x:v>
      </x:c>
      <x:c r="I142" t="str">
        <x:v>001dHWRw44FBP3</x:v>
      </x:c>
      <x:c r="J142" t="str">
        <x:v>False</x:v>
      </x:c>
      <x:c r="K142" t="n">
        <x:v>97</x:v>
      </x:c>
      <x:c r="L142" t="n">
        <x:v>0</x:v>
      </x:c>
      <x:c r="M142" t="n">
        <x:v>0</x:v>
      </x:c>
      <x:c r="N142" t="n">
        <x:v>82.26118</x:v>
      </x:c>
      <x:c r="O142" t="n">
        <x:v>70.74</x:v>
      </x:c>
      <x:c r="P142" t="n">
        <x:v>0</x:v>
      </x:c>
      <x:c r="Q142" t="n">
        <x:v>0</x:v>
      </x:c>
      <x:c r="R142" t="n">
        <x:v>4.66</x:v>
      </x:c>
      <x:c r="S142" t="n">
        <x:v>40.88</x:v>
      </x:c>
      <x:c r="T142" t="str">
        <x:v>https://y.gtimg.cn/music/photo_new/T002R500x500M000001Oqn952HAPRk_1.jpg</x:v>
      </x:c>
      <x:c r="U142" s="24" t="str">
        <x:f>IFERROR(VLOOKUP(I142,'07_字典与参数'!$G$5:$J$9,2,FALSE),"未入选")</x:f>
        <x:v>未入选</x:v>
      </x:c>
      <x:c r="V142" s="24" t="str">
        <x:f>IFERROR(VLOOKUP(I142,'07_字典与参数'!$G$5:$J$9,3,FALSE),"—")</x:f>
        <x:v>—</x:v>
      </x:c>
      <x:c r="W142" s="24" t="str">
        <x:f>IF(U142="未入选","否","是")</x:f>
        <x:v>否</x:v>
      </x:c>
    </x:row>
    <x:row r="143">
      <x:c r="A143" t="n">
        <x:v>202628</x:v>
      </x:c>
      <x:c r="B143" t="str">
        <x:v>第28期（07.13-07.19）</x:v>
      </x:c>
      <x:c r="C143" t="str">
        <x:v>2026-07-13</x:v>
      </x:c>
      <x:c r="D143" t="str">
        <x:v>2026-07-19</x:v>
      </x:c>
      <x:c r="E143" t="n">
        <x:v>139</x:v>
      </x:c>
      <x:c r="F143" t="n">
        <x:v>518768695</x:v>
      </x:c>
      <x:c r="G143" t="str">
        <x:v>你从春天走来</x:v>
      </x:c>
      <x:c r="H143" t="str">
        <x:v>刘若英</x:v>
      </x:c>
      <x:c r="I143" t="str">
        <x:v>002QwHdc11MAzQ</x:v>
      </x:c>
      <x:c r="J143" t="str">
        <x:v>False</x:v>
      </x:c>
      <x:c r="K143" t="n">
        <x:v>114</x:v>
      </x:c>
      <x:c r="L143" t="n">
        <x:v>0</x:v>
      </x:c>
      <x:c r="M143" t="n">
        <x:v>0</x:v>
      </x:c>
      <x:c r="N143" t="n">
        <x:v>82.26028</x:v>
      </x:c>
      <x:c r="O143" t="n">
        <x:v>71.83</x:v>
      </x:c>
      <x:c r="P143" t="n">
        <x:v>0</x:v>
      </x:c>
      <x:c r="Q143" t="n">
        <x:v>0</x:v>
      </x:c>
      <x:c r="R143" t="n">
        <x:v>2.45</x:v>
      </x:c>
      <x:c r="S143" t="n">
        <x:v>6.6</x:v>
      </x:c>
      <x:c r="T143" t="str">
        <x:v>https://y.gtimg.cn/music/photo_new/T002R500x500M000003PHxFb4EbMCi_1.jpg</x:v>
      </x:c>
      <x:c r="U143" s="24" t="str">
        <x:f>IFERROR(VLOOKUP(I143,'07_字典与参数'!$G$5:$J$9,2,FALSE),"未入选")</x:f>
        <x:v>未入选</x:v>
      </x:c>
      <x:c r="V143" s="24" t="str">
        <x:f>IFERROR(VLOOKUP(I143,'07_字典与参数'!$G$5:$J$9,3,FALSE),"—")</x:f>
        <x:v>—</x:v>
      </x:c>
      <x:c r="W143" s="24" t="str">
        <x:f>IF(U143="未入选","否","是")</x:f>
        <x:v>否</x:v>
      </x:c>
    </x:row>
    <x:row r="144">
      <x:c r="A144" t="n">
        <x:v>202628</x:v>
      </x:c>
      <x:c r="B144" t="str">
        <x:v>第28期（07.13-07.19）</x:v>
      </x:c>
      <x:c r="C144" t="str">
        <x:v>2026-07-13</x:v>
      </x:c>
      <x:c r="D144" t="str">
        <x:v>2026-07-19</x:v>
      </x:c>
      <x:c r="E144" t="n">
        <x:v>140</x:v>
      </x:c>
      <x:c r="F144" t="n">
        <x:v>514417457</x:v>
      </x:c>
      <x:c r="G144" t="str">
        <x:v>略略略略略</x:v>
      </x:c>
      <x:c r="H144" t="str">
        <x:v>TOP登陆少年组合</x:v>
      </x:c>
      <x:c r="I144" t="str">
        <x:v>000QuvKj4aCfBU</x:v>
      </x:c>
      <x:c r="J144" t="str">
        <x:v>False</x:v>
      </x:c>
      <x:c r="K144" t="n">
        <x:v>92</x:v>
      </x:c>
      <x:c r="L144" t="n">
        <x:v>0</x:v>
      </x:c>
      <x:c r="M144" t="n">
        <x:v>0</x:v>
      </x:c>
      <x:c r="N144" t="n">
        <x:v>82.24576</x:v>
      </x:c>
      <x:c r="O144" t="n">
        <x:v>69.26</x:v>
      </x:c>
      <x:c r="P144" t="n">
        <x:v>0</x:v>
      </x:c>
      <x:c r="Q144" t="n">
        <x:v>0</x:v>
      </x:c>
      <x:c r="R144" t="n">
        <x:v>11.95</x:v>
      </x:c>
      <x:c r="S144" t="n">
        <x:v>43.86</x:v>
      </x:c>
      <x:c r="T144" t="str">
        <x:v>https://y.gtimg.cn/music/photo_new/T002R500x500M000002rYBVh2iOMHZ_2.jpg</x:v>
      </x:c>
      <x:c r="U144" s="24" t="str">
        <x:f>IFERROR(VLOOKUP(I144,'07_字典与参数'!$G$5:$J$9,2,FALSE),"未入选")</x:f>
        <x:v>未入选</x:v>
      </x:c>
      <x:c r="V144" s="24" t="str">
        <x:f>IFERROR(VLOOKUP(I144,'07_字典与参数'!$G$5:$J$9,3,FALSE),"—")</x:f>
        <x:v>—</x:v>
      </x:c>
      <x:c r="W144" s="24" t="str">
        <x:f>IF(U144="未入选","否","是")</x:f>
        <x:v>否</x:v>
      </x:c>
    </x:row>
    <x:row r="145">
      <x:c r="A145" t="n">
        <x:v>202628</x:v>
      </x:c>
      <x:c r="B145" t="str">
        <x:v>第28期（07.13-07.19）</x:v>
      </x:c>
      <x:c r="C145" t="str">
        <x:v>2026-07-13</x:v>
      </x:c>
      <x:c r="D145" t="str">
        <x:v>2026-07-19</x:v>
      </x:c>
      <x:c r="E145" t="n">
        <x:v>141</x:v>
      </x:c>
      <x:c r="F145" t="n">
        <x:v>520238249</x:v>
      </x:c>
      <x:c r="G145" t="str">
        <x:v>看山</x:v>
      </x:c>
      <x:c r="H145" t="str">
        <x:v>方大树,灯叔</x:v>
      </x:c>
      <x:c r="I145" t="str">
        <x:v>00445tP34GOx8n</x:v>
      </x:c>
      <x:c r="J145" t="str">
        <x:v>False</x:v>
      </x:c>
      <x:c r="K145" t="n">
        <x:v>121</x:v>
      </x:c>
      <x:c r="L145" t="n">
        <x:v>0</x:v>
      </x:c>
      <x:c r="M145" t="n">
        <x:v>0</x:v>
      </x:c>
      <x:c r="N145" t="n">
        <x:v>82.20422</x:v>
      </x:c>
      <x:c r="O145" t="n">
        <x:v>71.09</x:v>
      </x:c>
      <x:c r="P145" t="n">
        <x:v>0</x:v>
      </x:c>
      <x:c r="Q145" t="n">
        <x:v>0</x:v>
      </x:c>
      <x:c r="R145" t="n">
        <x:v>4.26</x:v>
      </x:c>
      <x:c r="S145" t="n">
        <x:v>36.19</x:v>
      </x:c>
      <x:c r="T145" t="str">
        <x:v>https://y.gtimg.cn/music/photo_new/T002R500x500M000003lKa1y3gVIvi_1.jpg</x:v>
      </x:c>
      <x:c r="U145" s="24" t="str">
        <x:f>IFERROR(VLOOKUP(I145,'07_字典与参数'!$G$5:$J$9,2,FALSE),"未入选")</x:f>
        <x:v>未入选</x:v>
      </x:c>
      <x:c r="V145" s="24" t="str">
        <x:f>IFERROR(VLOOKUP(I145,'07_字典与参数'!$G$5:$J$9,3,FALSE),"—")</x:f>
        <x:v>—</x:v>
      </x:c>
      <x:c r="W145" s="24" t="str">
        <x:f>IF(U145="未入选","否","是")</x:f>
        <x:v>否</x:v>
      </x:c>
    </x:row>
    <x:row r="146">
      <x:c r="A146" t="n">
        <x:v>202628</x:v>
      </x:c>
      <x:c r="B146" t="str">
        <x:v>第28期（07.13-07.19）</x:v>
      </x:c>
      <x:c r="C146" t="str">
        <x:v>2026-07-13</x:v>
      </x:c>
      <x:c r="D146" t="str">
        <x:v>2026-07-19</x:v>
      </x:c>
      <x:c r="E146" t="n">
        <x:v>142</x:v>
      </x:c>
      <x:c r="F146" t="n">
        <x:v>491996849</x:v>
      </x:c>
      <x:c r="G146" t="str">
        <x:v>张仙语三</x:v>
      </x:c>
      <x:c r="H146" t="str">
        <x:v>任素汐</x:v>
      </x:c>
      <x:c r="I146" t="str">
        <x:v>004Jrpe7322cCK</x:v>
      </x:c>
      <x:c r="J146" t="str">
        <x:v>False</x:v>
      </x:c>
      <x:c r="K146" t="n">
        <x:v>99</x:v>
      </x:c>
      <x:c r="L146" t="n">
        <x:v>0</x:v>
      </x:c>
      <x:c r="M146" t="n">
        <x:v>0</x:v>
      </x:c>
      <x:c r="N146" t="n">
        <x:v>82.03306</x:v>
      </x:c>
      <x:c r="O146" t="n">
        <x:v>71.22</x:v>
      </x:c>
      <x:c r="P146" t="n">
        <x:v>0</x:v>
      </x:c>
      <x:c r="Q146" t="n">
        <x:v>0</x:v>
      </x:c>
      <x:c r="R146" t="n">
        <x:v>1.49</x:v>
      </x:c>
      <x:c r="S146" t="n">
        <x:v>30.84</x:v>
      </x:c>
      <x:c r="T146" t="str">
        <x:v>https://y.gtimg.cn/music/photo_new/T002R500x500M0000033vNiW2uLR2S_1.jpg</x:v>
      </x:c>
      <x:c r="U146" s="24" t="str">
        <x:f>IFERROR(VLOOKUP(I146,'07_字典与参数'!$G$5:$J$9,2,FALSE),"未入选")</x:f>
        <x:v>未入选</x:v>
      </x:c>
      <x:c r="V146" s="24" t="str">
        <x:f>IFERROR(VLOOKUP(I146,'07_字典与参数'!$G$5:$J$9,3,FALSE),"—")</x:f>
        <x:v>—</x:v>
      </x:c>
      <x:c r="W146" s="24" t="str">
        <x:f>IF(U146="未入选","否","是")</x:f>
        <x:v>否</x:v>
      </x:c>
    </x:row>
    <x:row r="147">
      <x:c r="A147" t="n">
        <x:v>202628</x:v>
      </x:c>
      <x:c r="B147" t="str">
        <x:v>第28期（07.13-07.19）</x:v>
      </x:c>
      <x:c r="C147" t="str">
        <x:v>2026-07-13</x:v>
      </x:c>
      <x:c r="D147" t="str">
        <x:v>2026-07-19</x:v>
      </x:c>
      <x:c r="E147" t="n">
        <x:v>143</x:v>
      </x:c>
      <x:c r="F147" t="n">
        <x:v>531361192</x:v>
      </x:c>
      <x:c r="G147" t="str">
        <x:v>Talk that shhh</x:v>
      </x:c>
      <x:c r="H147" t="str">
        <x:v>余宇涵</x:v>
      </x:c>
      <x:c r="I147" t="str">
        <x:v>000w87HB0fSuTX</x:v>
      </x:c>
      <x:c r="J147" t="str">
        <x:v>False</x:v>
      </x:c>
      <x:c r="K147" t="n">
        <x:v>13</x:v>
      </x:c>
      <x:c r="L147" t="n">
        <x:v>0</x:v>
      </x:c>
      <x:c r="M147" t="n">
        <x:v>0</x:v>
      </x:c>
      <x:c r="N147" t="n">
        <x:v>82.02702</x:v>
      </x:c>
      <x:c r="O147" t="n">
        <x:v>62.27</x:v>
      </x:c>
      <x:c r="P147" t="n">
        <x:v>0</x:v>
      </x:c>
      <x:c r="Q147" t="n">
        <x:v>0</x:v>
      </x:c>
      <x:c r="R147" t="n">
        <x:v>29.9</x:v>
      </x:c>
      <x:c r="S147" t="n">
        <x:v>49.05</x:v>
      </x:c>
      <x:c r="T147" t="str">
        <x:v>https://y.gtimg.cn/music/photo_new/T002R500x500M000002kWebq0vOfiC_1.jpg</x:v>
      </x:c>
      <x:c r="U147" s="24" t="str">
        <x:f>IFERROR(VLOOKUP(I147,'07_字典与参数'!$G$5:$J$9,2,FALSE),"未入选")</x:f>
        <x:v>未入选</x:v>
      </x:c>
      <x:c r="V147" s="24" t="str">
        <x:f>IFERROR(VLOOKUP(I147,'07_字典与参数'!$G$5:$J$9,3,FALSE),"—")</x:f>
        <x:v>—</x:v>
      </x:c>
      <x:c r="W147" s="24" t="str">
        <x:f>IF(U147="未入选","否","是")</x:f>
        <x:v>否</x:v>
      </x:c>
    </x:row>
    <x:row r="148">
      <x:c r="A148" t="n">
        <x:v>202628</x:v>
      </x:c>
      <x:c r="B148" t="str">
        <x:v>第28期（07.13-07.19）</x:v>
      </x:c>
      <x:c r="C148" t="str">
        <x:v>2026-07-13</x:v>
      </x:c>
      <x:c r="D148" t="str">
        <x:v>2026-07-19</x:v>
      </x:c>
      <x:c r="E148" t="n">
        <x:v>144</x:v>
      </x:c>
      <x:c r="F148" t="n">
        <x:v>530520409</x:v>
      </x:c>
      <x:c r="G148" t="str">
        <x:v>烟雨八月</x:v>
      </x:c>
      <x:c r="H148" t="str">
        <x:v>Mr.岑</x:v>
      </x:c>
      <x:c r="I148" t="str">
        <x:v>002TVyv74JPeW8</x:v>
      </x:c>
      <x:c r="J148" t="str">
        <x:v>False</x:v>
      </x:c>
      <x:c r="K148" t="n">
        <x:v>0</x:v>
      </x:c>
      <x:c r="L148" t="n">
        <x:v>0</x:v>
      </x:c>
      <x:c r="M148" t="n">
        <x:v>0</x:v>
      </x:c>
      <x:c r="N148" t="n">
        <x:v>82.01276</x:v>
      </x:c>
      <x:c r="O148" t="n">
        <x:v>50.46</x:v>
      </x:c>
      <x:c r="P148" t="n">
        <x:v>0</x:v>
      </x:c>
      <x:c r="Q148" t="n">
        <x:v>0</x:v>
      </x:c>
      <x:c r="R148" t="n">
        <x:v>53.97</x:v>
      </x:c>
      <x:c r="S148" t="n">
        <x:v>16.3</x:v>
      </x:c>
      <x:c r="T148" t="str">
        <x:v>https://y.gtimg.cn/music/photo_new/T002R500x500M000004VMOxL1DzkyR_1.jpg</x:v>
      </x:c>
      <x:c r="U148" s="24" t="str">
        <x:f>IFERROR(VLOOKUP(I148,'07_字典与参数'!$G$5:$J$9,2,FALSE),"未入选")</x:f>
        <x:v>未入选</x:v>
      </x:c>
      <x:c r="V148" s="24" t="str">
        <x:f>IFERROR(VLOOKUP(I148,'07_字典与参数'!$G$5:$J$9,3,FALSE),"—")</x:f>
        <x:v>—</x:v>
      </x:c>
      <x:c r="W148" s="24" t="str">
        <x:f>IF(U148="未入选","否","是")</x:f>
        <x:v>否</x:v>
      </x:c>
    </x:row>
    <x:row r="149">
      <x:c r="A149" t="n">
        <x:v>202628</x:v>
      </x:c>
      <x:c r="B149" t="str">
        <x:v>第28期（07.13-07.19）</x:v>
      </x:c>
      <x:c r="C149" t="str">
        <x:v>2026-07-13</x:v>
      </x:c>
      <x:c r="D149" t="str">
        <x:v>2026-07-19</x:v>
      </x:c>
      <x:c r="E149" t="n">
        <x:v>145</x:v>
      </x:c>
      <x:c r="F149" t="n">
        <x:v>522370783</x:v>
      </x:c>
      <x:c r="G149" t="str">
        <x:v>自由</x:v>
      </x:c>
      <x:c r="H149" t="str">
        <x:v>于文文</x:v>
      </x:c>
      <x:c r="I149" t="str">
        <x:v>00271fzl1r91s3</x:v>
      </x:c>
      <x:c r="J149" t="str">
        <x:v>False</x:v>
      </x:c>
      <x:c r="K149" t="n">
        <x:v>0</x:v>
      </x:c>
      <x:c r="L149" t="n">
        <x:v>0</x:v>
      </x:c>
      <x:c r="M149" t="n">
        <x:v>0</x:v>
      </x:c>
      <x:c r="N149" t="n">
        <x:v>82.00638</x:v>
      </x:c>
      <x:c r="O149" t="n">
        <x:v>50.19</x:v>
      </x:c>
      <x:c r="P149" t="n">
        <x:v>0</x:v>
      </x:c>
      <x:c r="Q149" t="n">
        <x:v>0</x:v>
      </x:c>
      <x:c r="R149" t="n">
        <x:v>54.26</x:v>
      </x:c>
      <x:c r="S149" t="n">
        <x:v>7.06</x:v>
      </x:c>
      <x:c r="T149" t="str">
        <x:v>https://y.gtimg.cn/music/photo_new/T002R500x500M000001AnXF325jMfu_1.jpg</x:v>
      </x:c>
      <x:c r="U149" s="24" t="str">
        <x:f>IFERROR(VLOOKUP(I149,'07_字典与参数'!$G$5:$J$9,2,FALSE),"未入选")</x:f>
        <x:v>未入选</x:v>
      </x:c>
      <x:c r="V149" s="24" t="str">
        <x:f>IFERROR(VLOOKUP(I149,'07_字典与参数'!$G$5:$J$9,3,FALSE),"—")</x:f>
        <x:v>—</x:v>
      </x:c>
      <x:c r="W149" s="24" t="str">
        <x:f>IF(U149="未入选","否","是")</x:f>
        <x:v>否</x:v>
      </x:c>
    </x:row>
    <x:row r="150">
      <x:c r="A150" t="n">
        <x:v>202628</x:v>
      </x:c>
      <x:c r="B150" t="str">
        <x:v>第28期（07.13-07.19）</x:v>
      </x:c>
      <x:c r="C150" t="str">
        <x:v>2026-07-13</x:v>
      </x:c>
      <x:c r="D150" t="str">
        <x:v>2026-07-19</x:v>
      </x:c>
      <x:c r="E150" t="n">
        <x:v>146</x:v>
      </x:c>
      <x:c r="F150" t="n">
        <x:v>491996827</x:v>
      </x:c>
      <x:c r="G150" t="str">
        <x:v>别来无恙</x:v>
      </x:c>
      <x:c r="H150" t="str">
        <x:v>任素汐</x:v>
      </x:c>
      <x:c r="I150" t="str">
        <x:v>000bBKeM3mhVCL</x:v>
      </x:c>
      <x:c r="J150" t="str">
        <x:v>False</x:v>
      </x:c>
      <x:c r="K150" t="n">
        <x:v>122</x:v>
      </x:c>
      <x:c r="L150" t="n">
        <x:v>0</x:v>
      </x:c>
      <x:c r="M150" t="n">
        <x:v>0</x:v>
      </x:c>
      <x:c r="N150" t="n">
        <x:v>81.94741</x:v>
      </x:c>
      <x:c r="O150" t="n">
        <x:v>71.09</x:v>
      </x:c>
      <x:c r="P150" t="n">
        <x:v>0</x:v>
      </x:c>
      <x:c r="Q150" t="n">
        <x:v>0</x:v>
      </x:c>
      <x:c r="R150" t="n">
        <x:v>4.21</x:v>
      </x:c>
      <x:c r="S150" t="n">
        <x:v>30.19</x:v>
      </x:c>
      <x:c r="T150" t="str">
        <x:v>https://y.gtimg.cn/music/photo_new/T002R500x500M0000033vNiW2uLR2S_1.jpg</x:v>
      </x:c>
      <x:c r="U150" s="24" t="str">
        <x:f>IFERROR(VLOOKUP(I150,'07_字典与参数'!$G$5:$J$9,2,FALSE),"未入选")</x:f>
        <x:v>未入选</x:v>
      </x:c>
      <x:c r="V150" s="24" t="str">
        <x:f>IFERROR(VLOOKUP(I150,'07_字典与参数'!$G$5:$J$9,3,FALSE),"—")</x:f>
        <x:v>—</x:v>
      </x:c>
      <x:c r="W150" s="24" t="str">
        <x:f>IF(U150="未入选","否","是")</x:f>
        <x:v>否</x:v>
      </x:c>
    </x:row>
    <x:row r="151">
      <x:c r="A151" t="n">
        <x:v>202628</x:v>
      </x:c>
      <x:c r="B151" t="str">
        <x:v>第28期（07.13-07.19）</x:v>
      </x:c>
      <x:c r="C151" t="str">
        <x:v>2026-07-13</x:v>
      </x:c>
      <x:c r="D151" t="str">
        <x:v>2026-07-19</x:v>
      </x:c>
      <x:c r="E151" t="n">
        <x:v>147</x:v>
      </x:c>
      <x:c r="F151" t="n">
        <x:v>485769620</x:v>
      </x:c>
      <x:c r="G151" t="str">
        <x:v>月下煮茶</x:v>
      </x:c>
      <x:c r="H151" t="str">
        <x:v>陈佳</x:v>
      </x:c>
      <x:c r="I151" t="str">
        <x:v>002iOnEw2PFuF6</x:v>
      </x:c>
      <x:c r="J151" t="str">
        <x:v>False</x:v>
      </x:c>
      <x:c r="K151" t="n">
        <x:v>109</x:v>
      </x:c>
      <x:c r="L151" t="n">
        <x:v>0</x:v>
      </x:c>
      <x:c r="M151" t="n">
        <x:v>0</x:v>
      </x:c>
      <x:c r="N151" t="n">
        <x:v>81.62683</x:v>
      </x:c>
      <x:c r="O151" t="n">
        <x:v>70.65</x:v>
      </x:c>
      <x:c r="P151" t="n">
        <x:v>0</x:v>
      </x:c>
      <x:c r="Q151" t="n">
        <x:v>0</x:v>
      </x:c>
      <x:c r="R151" t="n">
        <x:v>7.26</x:v>
      </x:c>
      <x:c r="S151" t="n">
        <x:v>30.82</x:v>
      </x:c>
      <x:c r="T151" t="str">
        <x:v>https://y.gtimg.cn/music/photo_new/T002R500x500M0000001LdBa3HeROT_5.jpg</x:v>
      </x:c>
      <x:c r="U151" s="24" t="str">
        <x:f>IFERROR(VLOOKUP(I151,'07_字典与参数'!$G$5:$J$9,2,FALSE),"未入选")</x:f>
        <x:v>未入选</x:v>
      </x:c>
      <x:c r="V151" s="24" t="str">
        <x:f>IFERROR(VLOOKUP(I151,'07_字典与参数'!$G$5:$J$9,3,FALSE),"—")</x:f>
        <x:v>—</x:v>
      </x:c>
      <x:c r="W151" s="24" t="str">
        <x:f>IF(U151="未入选","否","是")</x:f>
        <x:v>否</x:v>
      </x:c>
    </x:row>
    <x:row r="152">
      <x:c r="A152" t="n">
        <x:v>202628</x:v>
      </x:c>
      <x:c r="B152" t="str">
        <x:v>第28期（07.13-07.19）</x:v>
      </x:c>
      <x:c r="C152" t="str">
        <x:v>2026-07-13</x:v>
      </x:c>
      <x:c r="D152" t="str">
        <x:v>2026-07-19</x:v>
      </x:c>
      <x:c r="E152" t="n">
        <x:v>148</x:v>
      </x:c>
      <x:c r="F152" t="n">
        <x:v>530520412</x:v>
      </x:c>
      <x:c r="G152" t="str">
        <x:v>晚风写的信</x:v>
      </x:c>
      <x:c r="H152" t="str">
        <x:v>Mr.岑</x:v>
      </x:c>
      <x:c r="I152" t="str">
        <x:v>003gQczP3B3KDn</x:v>
      </x:c>
      <x:c r="J152" t="str">
        <x:v>False</x:v>
      </x:c>
      <x:c r="K152" t="n">
        <x:v>0</x:v>
      </x:c>
      <x:c r="L152" t="n">
        <x:v>0</x:v>
      </x:c>
      <x:c r="M152" t="n">
        <x:v>0</x:v>
      </x:c>
      <x:c r="N152" t="n">
        <x:v>81.47872</x:v>
      </x:c>
      <x:c r="O152" t="n">
        <x:v>50.4</x:v>
      </x:c>
      <x:c r="P152" t="n">
        <x:v>0</x:v>
      </x:c>
      <x:c r="Q152" t="n">
        <x:v>0</x:v>
      </x:c>
      <x:c r="R152" t="n">
        <x:v>52.72</x:v>
      </x:c>
      <x:c r="S152" t="n">
        <x:v>16.56</x:v>
      </x:c>
      <x:c r="T152" t="str">
        <x:v>https://y.gtimg.cn/music/photo_new/T002R500x500M000004VMOxL1DzkyR_1.jpg</x:v>
      </x:c>
      <x:c r="U152" s="24" t="str">
        <x:f>IFERROR(VLOOKUP(I152,'07_字典与参数'!$G$5:$J$9,2,FALSE),"未入选")</x:f>
        <x:v>未入选</x:v>
      </x:c>
      <x:c r="V152" s="24" t="str">
        <x:f>IFERROR(VLOOKUP(I152,'07_字典与参数'!$G$5:$J$9,3,FALSE),"—")</x:f>
        <x:v>—</x:v>
      </x:c>
      <x:c r="W152" s="24" t="str">
        <x:f>IF(U152="未入选","否","是")</x:f>
        <x:v>否</x:v>
      </x:c>
    </x:row>
    <x:row r="153">
      <x:c r="A153" t="n">
        <x:v>202628</x:v>
      </x:c>
      <x:c r="B153" t="str">
        <x:v>第28期（07.13-07.19）</x:v>
      </x:c>
      <x:c r="C153" t="str">
        <x:v>2026-07-13</x:v>
      </x:c>
      <x:c r="D153" t="str">
        <x:v>2026-07-19</x:v>
      </x:c>
      <x:c r="E153" t="n">
        <x:v>149</x:v>
      </x:c>
      <x:c r="F153" t="n">
        <x:v>530223961</x:v>
      </x:c>
      <x:c r="G153" t="str">
        <x:v>夏日底片（不可战胜的夏天）</x:v>
      </x:c>
      <x:c r="H153" t="str">
        <x:v>逵逵爱唱歌（KuiKui）,还是可以</x:v>
      </x:c>
      <x:c r="I153" t="str">
        <x:v>001cxhhO3G8Y3R</x:v>
      </x:c>
      <x:c r="J153" t="str">
        <x:v>False</x:v>
      </x:c>
      <x:c r="K153" t="n">
        <x:v>0</x:v>
      </x:c>
      <x:c r="L153" t="n">
        <x:v>0</x:v>
      </x:c>
      <x:c r="M153" t="n">
        <x:v>0</x:v>
      </x:c>
      <x:c r="N153" t="n">
        <x:v>81.46629</x:v>
      </x:c>
      <x:c r="O153" t="n">
        <x:v>67.47</x:v>
      </x:c>
      <x:c r="P153" t="n">
        <x:v>0</x:v>
      </x:c>
      <x:c r="Q153" t="n">
        <x:v>0</x:v>
      </x:c>
      <x:c r="R153" t="n">
        <x:v>4.02</x:v>
      </x:c>
      <x:c r="S153" t="n">
        <x:v>43.92</x:v>
      </x:c>
      <x:c r="T153" t="str">
        <x:v>https://y.gtimg.cn/music/photo_new/T002R500x500M0000011Yv8k3o8BKB_1.jpg</x:v>
      </x:c>
      <x:c r="U153" s="24" t="str">
        <x:f>IFERROR(VLOOKUP(I153,'07_字典与参数'!$G$5:$J$9,2,FALSE),"未入选")</x:f>
        <x:v>未入选</x:v>
      </x:c>
      <x:c r="V153" s="24" t="str">
        <x:f>IFERROR(VLOOKUP(I153,'07_字典与参数'!$G$5:$J$9,3,FALSE),"—")</x:f>
        <x:v>—</x:v>
      </x:c>
      <x:c r="W153" s="24" t="str">
        <x:f>IF(U153="未入选","否","是")</x:f>
        <x:v>否</x:v>
      </x:c>
    </x:row>
    <x:row r="154">
      <x:c r="A154" t="n">
        <x:v>202628</x:v>
      </x:c>
      <x:c r="B154" t="str">
        <x:v>第28期（07.13-07.19）</x:v>
      </x:c>
      <x:c r="C154" t="str">
        <x:v>2026-07-13</x:v>
      </x:c>
      <x:c r="D154" t="str">
        <x:v>2026-07-19</x:v>
      </x:c>
      <x:c r="E154" t="n">
        <x:v>150</x:v>
      </x:c>
      <x:c r="F154" t="n">
        <x:v>485736028</x:v>
      </x:c>
      <x:c r="G154" t="str">
        <x:v>Run Wild（向风而野）</x:v>
      </x:c>
      <x:c r="H154" t="str">
        <x:v>是晚星呀</x:v>
      </x:c>
      <x:c r="I154" t="str">
        <x:v>004dZt8y0kkzGX</x:v>
      </x:c>
      <x:c r="J154" t="str">
        <x:v>False</x:v>
      </x:c>
      <x:c r="K154" t="n">
        <x:v>123</x:v>
      </x:c>
      <x:c r="L154" t="n">
        <x:v>0</x:v>
      </x:c>
      <x:c r="M154" t="n">
        <x:v>0</x:v>
      </x:c>
      <x:c r="N154" t="n">
        <x:v>81.39215</x:v>
      </x:c>
      <x:c r="O154" t="n">
        <x:v>70.14</x:v>
      </x:c>
      <x:c r="P154" t="n">
        <x:v>0</x:v>
      </x:c>
      <x:c r="Q154" t="n">
        <x:v>0</x:v>
      </x:c>
      <x:c r="R154" t="n">
        <x:v>21.66</x:v>
      </x:c>
      <x:c r="S154" t="n">
        <x:v>24.02</x:v>
      </x:c>
      <x:c r="T154" t="str">
        <x:v>https://y.gtimg.cn/music/photo_new/T002R500x500M000002I05GE3f5zSh_3.jpg</x:v>
      </x:c>
      <x:c r="U154" s="24" t="str">
        <x:f>IFERROR(VLOOKUP(I154,'07_字典与参数'!$G$5:$J$9,2,FALSE),"未入选")</x:f>
        <x:v>未入选</x:v>
      </x:c>
      <x:c r="V154" s="24" t="str">
        <x:f>IFERROR(VLOOKUP(I154,'07_字典与参数'!$G$5:$J$9,3,FALSE),"—")</x:f>
        <x:v>—</x:v>
      </x:c>
      <x:c r="W154" s="24" t="str">
        <x:f>IF(U154="未入选","否","是")</x:f>
        <x:v>否</x:v>
      </x:c>
    </x:row>
    <x:row r="155">
      <x:c r="A155" t="n">
        <x:v>202628</x:v>
      </x:c>
      <x:c r="B155" t="str">
        <x:v>第28期（07.13-07.19）</x:v>
      </x:c>
      <x:c r="C155" t="str">
        <x:v>2026-07-13</x:v>
      </x:c>
      <x:c r="D155" t="str">
        <x:v>2026-07-19</x:v>
      </x:c>
      <x:c r="E155" t="n">
        <x:v>151</x:v>
      </x:c>
      <x:c r="F155" t="n">
        <x:v>490409162</x:v>
      </x:c>
      <x:c r="G155" t="str">
        <x:v>满心愧疚 </x:v>
      </x:c>
      <x:c r="H155" t="str">
        <x:v>金润吉</x:v>
      </x:c>
      <x:c r="I155" t="str">
        <x:v>003ht8Pb1OsDla</x:v>
      </x:c>
      <x:c r="J155" t="str">
        <x:v>False</x:v>
      </x:c>
      <x:c r="K155" t="n">
        <x:v>116</x:v>
      </x:c>
      <x:c r="L155" t="n">
        <x:v>0</x:v>
      </x:c>
      <x:c r="M155" t="n">
        <x:v>0</x:v>
      </x:c>
      <x:c r="N155" t="n">
        <x:v>81.38576</x:v>
      </x:c>
      <x:c r="O155" t="n">
        <x:v>70.42</x:v>
      </x:c>
      <x:c r="P155" t="n">
        <x:v>0</x:v>
      </x:c>
      <x:c r="Q155" t="n">
        <x:v>0</x:v>
      </x:c>
      <x:c r="R155" t="n">
        <x:v>14.89</x:v>
      </x:c>
      <x:c r="S155" t="n">
        <x:v>21.65</x:v>
      </x:c>
      <x:c r="T155" t="str">
        <x:v>https://y.gtimg.cn/music/photo_new/T002R500x500M000000cpsDu4LdGQl_1.jpg</x:v>
      </x:c>
      <x:c r="U155" s="24" t="str">
        <x:f>IFERROR(VLOOKUP(I155,'07_字典与参数'!$G$5:$J$9,2,FALSE),"未入选")</x:f>
        <x:v>未入选</x:v>
      </x:c>
      <x:c r="V155" s="24" t="str">
        <x:f>IFERROR(VLOOKUP(I155,'07_字典与参数'!$G$5:$J$9,3,FALSE),"—")</x:f>
        <x:v>—</x:v>
      </x:c>
      <x:c r="W155" s="24" t="str">
        <x:f>IF(U155="未入选","否","是")</x:f>
        <x:v>否</x:v>
      </x:c>
    </x:row>
    <x:row r="156">
      <x:c r="A156" t="n">
        <x:v>202628</x:v>
      </x:c>
      <x:c r="B156" t="str">
        <x:v>第28期（07.13-07.19）</x:v>
      </x:c>
      <x:c r="C156" t="str">
        <x:v>2026-07-13</x:v>
      </x:c>
      <x:c r="D156" t="str">
        <x:v>2026-07-19</x:v>
      </x:c>
      <x:c r="E156" t="n">
        <x:v>152</x:v>
      </x:c>
      <x:c r="F156" t="n">
        <x:v>512967685</x:v>
      </x:c>
      <x:c r="G156" t="str">
        <x:v>赤子</x:v>
      </x:c>
      <x:c r="H156" t="str">
        <x:v>周深</x:v>
      </x:c>
      <x:c r="I156" t="str">
        <x:v>0010pjD24VRte6</x:v>
      </x:c>
      <x:c r="J156" t="str">
        <x:v>False</x:v>
      </x:c>
      <x:c r="K156" t="n">
        <x:v>111</x:v>
      </x:c>
      <x:c r="L156" t="n">
        <x:v>0</x:v>
      </x:c>
      <x:c r="M156" t="n">
        <x:v>0</x:v>
      </x:c>
      <x:c r="N156" t="n">
        <x:v>81.29994</x:v>
      </x:c>
      <x:c r="O156" t="n">
        <x:v>64.87</x:v>
      </x:c>
      <x:c r="P156" t="n">
        <x:v>0</x:v>
      </x:c>
      <x:c r="Q156" t="n">
        <x:v>0</x:v>
      </x:c>
      <x:c r="R156" t="n">
        <x:v>7</x:v>
      </x:c>
      <x:c r="S156" t="n">
        <x:v>46.29</x:v>
      </x:c>
      <x:c r="T156" t="str">
        <x:v>https://y.qq.com/music/photo_new/T062R500x500M0000015O72c2P9HAO.jpg</x:v>
      </x:c>
      <x:c r="U156" s="24" t="str">
        <x:f>IFERROR(VLOOKUP(I156,'07_字典与参数'!$G$5:$J$9,2,FALSE),"未入选")</x:f>
        <x:v>未入选</x:v>
      </x:c>
      <x:c r="V156" s="24" t="str">
        <x:f>IFERROR(VLOOKUP(I156,'07_字典与参数'!$G$5:$J$9,3,FALSE),"—")</x:f>
        <x:v>—</x:v>
      </x:c>
      <x:c r="W156" s="24" t="str">
        <x:f>IF(U156="未入选","否","是")</x:f>
        <x:v>否</x:v>
      </x:c>
    </x:row>
    <x:row r="157">
      <x:c r="A157" t="n">
        <x:v>202628</x:v>
      </x:c>
      <x:c r="B157" t="str">
        <x:v>第28期（07.13-07.19）</x:v>
      </x:c>
      <x:c r="C157" t="str">
        <x:v>2026-07-13</x:v>
      </x:c>
      <x:c r="D157" t="str">
        <x:v>2026-07-19</x:v>
      </x:c>
      <x:c r="E157" t="n">
        <x:v>153</x:v>
      </x:c>
      <x:c r="F157" t="n">
        <x:v>531623400</x:v>
      </x:c>
      <x:c r="G157" t="str">
        <x:v>PeterPen (彼得潘)</x:v>
      </x:c>
      <x:c r="H157" t="str">
        <x:v>功夫胖KUNGFU-PEN,Rapeter</x:v>
      </x:c>
      <x:c r="I157" t="str">
        <x:v>002u1sqt275i8k</x:v>
      </x:c>
      <x:c r="J157" t="str">
        <x:v>False</x:v>
      </x:c>
      <x:c r="K157" t="n">
        <x:v>0</x:v>
      </x:c>
      <x:c r="L157" t="n">
        <x:v>0</x:v>
      </x:c>
      <x:c r="M157" t="n">
        <x:v>0</x:v>
      </x:c>
      <x:c r="N157" t="n">
        <x:v>81.25616</x:v>
      </x:c>
      <x:c r="O157" t="n">
        <x:v>67.8</x:v>
      </x:c>
      <x:c r="P157" t="n">
        <x:v>0</x:v>
      </x:c>
      <x:c r="Q157" t="n">
        <x:v>0</x:v>
      </x:c>
      <x:c r="R157" t="n">
        <x:v>2.62</x:v>
      </x:c>
      <x:c r="S157" t="n">
        <x:v>42.82</x:v>
      </x:c>
      <x:c r="T157" t="str">
        <x:v>https://y.gtimg.cn/music/photo_new/T002R500x500M000002rr8W61LY7Ls_1.jpg</x:v>
      </x:c>
      <x:c r="U157" s="24" t="str">
        <x:f>IFERROR(VLOOKUP(I157,'07_字典与参数'!$G$5:$J$9,2,FALSE),"未入选")</x:f>
        <x:v>未入选</x:v>
      </x:c>
      <x:c r="V157" s="24" t="str">
        <x:f>IFERROR(VLOOKUP(I157,'07_字典与参数'!$G$5:$J$9,3,FALSE),"—")</x:f>
        <x:v>—</x:v>
      </x:c>
      <x:c r="W157" s="24" t="str">
        <x:f>IF(U157="未入选","否","是")</x:f>
        <x:v>否</x:v>
      </x:c>
    </x:row>
    <x:row r="158">
      <x:c r="A158" t="n">
        <x:v>202628</x:v>
      </x:c>
      <x:c r="B158" t="str">
        <x:v>第28期（07.13-07.19）</x:v>
      </x:c>
      <x:c r="C158" t="str">
        <x:v>2026-07-13</x:v>
      </x:c>
      <x:c r="D158" t="str">
        <x:v>2026-07-19</x:v>
      </x:c>
      <x:c r="E158" t="n">
        <x:v>154</x:v>
      </x:c>
      <x:c r="F158" t="n">
        <x:v>517370193</x:v>
      </x:c>
      <x:c r="G158" t="str">
        <x:v>怎么能</x:v>
      </x:c>
      <x:c r="H158" t="str">
        <x:v>侯明昊</x:v>
      </x:c>
      <x:c r="I158" t="str">
        <x:v>003NyZSD2d3zPD</x:v>
      </x:c>
      <x:c r="J158" t="str">
        <x:v>False</x:v>
      </x:c>
      <x:c r="K158" t="n">
        <x:v>69</x:v>
      </x:c>
      <x:c r="L158" t="n">
        <x:v>0</x:v>
      </x:c>
      <x:c r="M158" t="n">
        <x:v>0</x:v>
      </x:c>
      <x:c r="N158" t="n">
        <x:v>81.24268</x:v>
      </x:c>
      <x:c r="O158" t="n">
        <x:v>61.9</x:v>
      </x:c>
      <x:c r="P158" t="n">
        <x:v>0</x:v>
      </x:c>
      <x:c r="Q158" t="n">
        <x:v>0</x:v>
      </x:c>
      <x:c r="R158" t="n">
        <x:v>11.01</x:v>
      </x:c>
      <x:c r="S158" t="n">
        <x:v>49.44</x:v>
      </x:c>
      <x:c r="T158" t="str">
        <x:v>https://y.gtimg.cn/music/photo_new/T002R500x500M000000SnDwr12zILh_2.jpg</x:v>
      </x:c>
      <x:c r="U158" s="24" t="str">
        <x:f>IFERROR(VLOOKUP(I158,'07_字典与参数'!$G$5:$J$9,2,FALSE),"未入选")</x:f>
        <x:v>未入选</x:v>
      </x:c>
      <x:c r="V158" s="24" t="str">
        <x:f>IFERROR(VLOOKUP(I158,'07_字典与参数'!$G$5:$J$9,3,FALSE),"—")</x:f>
        <x:v>—</x:v>
      </x:c>
      <x:c r="W158" s="24" t="str">
        <x:f>IF(U158="未入选","否","是")</x:f>
        <x:v>否</x:v>
      </x:c>
    </x:row>
    <x:row r="159">
      <x:c r="A159" t="n">
        <x:v>202628</x:v>
      </x:c>
      <x:c r="B159" t="str">
        <x:v>第28期（07.13-07.19）</x:v>
      </x:c>
      <x:c r="C159" t="str">
        <x:v>2026-07-13</x:v>
      </x:c>
      <x:c r="D159" t="str">
        <x:v>2026-07-19</x:v>
      </x:c>
      <x:c r="E159" t="n">
        <x:v>155</x:v>
      </x:c>
      <x:c r="F159" t="n">
        <x:v>530520417</x:v>
      </x:c>
      <x:c r="G159" t="str">
        <x:v>被夕阳打翻的柑橘酱</x:v>
      </x:c>
      <x:c r="H159" t="str">
        <x:v>Mr.岑</x:v>
      </x:c>
      <x:c r="I159" t="str">
        <x:v>001nSfTx11b1Eg</x:v>
      </x:c>
      <x:c r="J159" t="str">
        <x:v>False</x:v>
      </x:c>
      <x:c r="K159" t="n">
        <x:v>0</x:v>
      </x:c>
      <x:c r="L159" t="n">
        <x:v>0</x:v>
      </x:c>
      <x:c r="M159" t="n">
        <x:v>0</x:v>
      </x:c>
      <x:c r="N159" t="n">
        <x:v>81.20588</x:v>
      </x:c>
      <x:c r="O159" t="n">
        <x:v>50.22</x:v>
      </x:c>
      <x:c r="P159" t="n">
        <x:v>0</x:v>
      </x:c>
      <x:c r="Q159" t="n">
        <x:v>0</x:v>
      </x:c>
      <x:c r="R159" t="n">
        <x:v>52.33</x:v>
      </x:c>
      <x:c r="S159" t="n">
        <x:v>8.46</x:v>
      </x:c>
      <x:c r="T159" t="str">
        <x:v>https://y.gtimg.cn/music/photo_new/T002R500x500M000004VMOxL1DzkyR_1.jpg</x:v>
      </x:c>
      <x:c r="U159" s="24" t="str">
        <x:f>IFERROR(VLOOKUP(I159,'07_字典与参数'!$G$5:$J$9,2,FALSE),"未入选")</x:f>
        <x:v>未入选</x:v>
      </x:c>
      <x:c r="V159" s="24" t="str">
        <x:f>IFERROR(VLOOKUP(I159,'07_字典与参数'!$G$5:$J$9,3,FALSE),"—")</x:f>
        <x:v>—</x:v>
      </x:c>
      <x:c r="W159" s="24" t="str">
        <x:f>IF(U159="未入选","否","是")</x:f>
        <x:v>否</x:v>
      </x:c>
    </x:row>
    <x:row r="160">
      <x:c r="A160" t="n">
        <x:v>202628</x:v>
      </x:c>
      <x:c r="B160" t="str">
        <x:v>第28期（07.13-07.19）</x:v>
      </x:c>
      <x:c r="C160" t="str">
        <x:v>2026-07-13</x:v>
      </x:c>
      <x:c r="D160" t="str">
        <x:v>2026-07-19</x:v>
      </x:c>
      <x:c r="E160" t="n">
        <x:v>156</x:v>
      </x:c>
      <x:c r="F160" t="n">
        <x:v>491667172</x:v>
      </x:c>
      <x:c r="G160" t="str">
        <x:v>我把心事说给风</x:v>
      </x:c>
      <x:c r="H160" t="str">
        <x:v>卡带森林</x:v>
      </x:c>
      <x:c r="I160" t="str">
        <x:v>000OQmxP3RSXvi</x:v>
      </x:c>
      <x:c r="J160" t="str">
        <x:v>False</x:v>
      </x:c>
      <x:c r="K160" t="n">
        <x:v>125</x:v>
      </x:c>
      <x:c r="L160" t="n">
        <x:v>0</x:v>
      </x:c>
      <x:c r="M160" t="n">
        <x:v>0</x:v>
      </x:c>
      <x:c r="N160" t="n">
        <x:v>81.13658</x:v>
      </x:c>
      <x:c r="O160" t="n">
        <x:v>65.81</x:v>
      </x:c>
      <x:c r="P160" t="n">
        <x:v>0</x:v>
      </x:c>
      <x:c r="Q160" t="n">
        <x:v>0</x:v>
      </x:c>
      <x:c r="R160" t="n">
        <x:v>32.49</x:v>
      </x:c>
      <x:c r="S160" t="n">
        <x:v>39.8</x:v>
      </x:c>
      <x:c r="T160" t="str">
        <x:v>https://y.gtimg.cn/music/photo_new/T002R500x500M000000IRsNV4XLaqL_1.jpg</x:v>
      </x:c>
      <x:c r="U160" s="24" t="str">
        <x:f>IFERROR(VLOOKUP(I160,'07_字典与参数'!$G$5:$J$9,2,FALSE),"未入选")</x:f>
        <x:v>未入选</x:v>
      </x:c>
      <x:c r="V160" s="24" t="str">
        <x:f>IFERROR(VLOOKUP(I160,'07_字典与参数'!$G$5:$J$9,3,FALSE),"—")</x:f>
        <x:v>—</x:v>
      </x:c>
      <x:c r="W160" s="24" t="str">
        <x:f>IF(U160="未入选","否","是")</x:f>
        <x:v>否</x:v>
      </x:c>
    </x:row>
    <x:row r="161">
      <x:c r="A161" t="n">
        <x:v>202628</x:v>
      </x:c>
      <x:c r="B161" t="str">
        <x:v>第28期（07.13-07.19）</x:v>
      </x:c>
      <x:c r="C161" t="str">
        <x:v>2026-07-13</x:v>
      </x:c>
      <x:c r="D161" t="str">
        <x:v>2026-07-19</x:v>
      </x:c>
      <x:c r="E161" t="n">
        <x:v>157</x:v>
      </x:c>
      <x:c r="F161" t="n">
        <x:v>493990931</x:v>
      </x:c>
      <x:c r="G161" t="str">
        <x:v>Alive</x:v>
      </x:c>
      <x:c r="H161" t="str">
        <x:v>王嘉尔,五月天 阿信</x:v>
      </x:c>
      <x:c r="I161" t="str">
        <x:v>0013X2Uy17E28w</x:v>
      </x:c>
      <x:c r="J161" t="str">
        <x:v>False</x:v>
      </x:c>
      <x:c r="K161" t="n">
        <x:v>0</x:v>
      </x:c>
      <x:c r="L161" t="n">
        <x:v>0</x:v>
      </x:c>
      <x:c r="M161" t="n">
        <x:v>0</x:v>
      </x:c>
      <x:c r="N161" t="n">
        <x:v>81.05252</x:v>
      </x:c>
      <x:c r="O161" t="n">
        <x:v>70.46</x:v>
      </x:c>
      <x:c r="P161" t="n">
        <x:v>0</x:v>
      </x:c>
      <x:c r="Q161" t="n">
        <x:v>0</x:v>
      </x:c>
      <x:c r="R161" t="n">
        <x:v>3.56</x:v>
      </x:c>
      <x:c r="S161" t="n">
        <x:v>16.57</x:v>
      </x:c>
      <x:c r="T161" t="str">
        <x:v>https://y.gtimg.cn/music/photo_new/T002R500x500M000001PC3JU3e688L_2.jpg</x:v>
      </x:c>
      <x:c r="U161" s="24" t="str">
        <x:f>IFERROR(VLOOKUP(I161,'07_字典与参数'!$G$5:$J$9,2,FALSE),"未入选")</x:f>
        <x:v>未入选</x:v>
      </x:c>
      <x:c r="V161" s="24" t="str">
        <x:f>IFERROR(VLOOKUP(I161,'07_字典与参数'!$G$5:$J$9,3,FALSE),"—")</x:f>
        <x:v>—</x:v>
      </x:c>
      <x:c r="W161" s="24" t="str">
        <x:f>IF(U161="未入选","否","是")</x:f>
        <x:v>否</x:v>
      </x:c>
    </x:row>
    <x:row r="162">
      <x:c r="A162" t="n">
        <x:v>202628</x:v>
      </x:c>
      <x:c r="B162" t="str">
        <x:v>第28期（07.13-07.19）</x:v>
      </x:c>
      <x:c r="C162" t="str">
        <x:v>2026-07-13</x:v>
      </x:c>
      <x:c r="D162" t="str">
        <x:v>2026-07-19</x:v>
      </x:c>
      <x:c r="E162" t="n">
        <x:v>158</x:v>
      </x:c>
      <x:c r="F162" t="n">
        <x:v>530732609</x:v>
      </x:c>
      <x:c r="G162" t="str">
        <x:v>梦中的阿哥</x:v>
      </x:c>
      <x:c r="H162" t="str">
        <x:v>梅度</x:v>
      </x:c>
      <x:c r="I162" t="str">
        <x:v>003e2ZAa32mybA</x:v>
      </x:c>
      <x:c r="J162" t="str">
        <x:v>False</x:v>
      </x:c>
      <x:c r="K162" t="n">
        <x:v>0</x:v>
      </x:c>
      <x:c r="L162" t="n">
        <x:v>0</x:v>
      </x:c>
      <x:c r="M162" t="n">
        <x:v>0</x:v>
      </x:c>
      <x:c r="N162" t="n">
        <x:v>81.04861</x:v>
      </x:c>
      <x:c r="O162" t="n">
        <x:v>65.58</x:v>
      </x:c>
      <x:c r="P162" t="n">
        <x:v>0</x:v>
      </x:c>
      <x:c r="Q162" t="n">
        <x:v>0</x:v>
      </x:c>
      <x:c r="R162" t="n">
        <x:v>22.16</x:v>
      </x:c>
      <x:c r="S162" t="n">
        <x:v>42.59</x:v>
      </x:c>
      <x:c r="T162" t="str">
        <x:v>https://y.gtimg.cn/music/photo_new/T002R500x500M000000bmqZw0jSGvI_2.jpg</x:v>
      </x:c>
      <x:c r="U162" s="24" t="str">
        <x:f>IFERROR(VLOOKUP(I162,'07_字典与参数'!$G$5:$J$9,2,FALSE),"未入选")</x:f>
        <x:v>未入选</x:v>
      </x:c>
      <x:c r="V162" s="24" t="str">
        <x:f>IFERROR(VLOOKUP(I162,'07_字典与参数'!$G$5:$J$9,3,FALSE),"—")</x:f>
        <x:v>—</x:v>
      </x:c>
      <x:c r="W162" s="24" t="str">
        <x:f>IF(U162="未入选","否","是")</x:f>
        <x:v>否</x:v>
      </x:c>
    </x:row>
    <x:row r="163">
      <x:c r="A163" t="n">
        <x:v>202628</x:v>
      </x:c>
      <x:c r="B163" t="str">
        <x:v>第28期（07.13-07.19）</x:v>
      </x:c>
      <x:c r="C163" t="str">
        <x:v>2026-07-13</x:v>
      </x:c>
      <x:c r="D163" t="str">
        <x:v>2026-07-19</x:v>
      </x:c>
      <x:c r="E163" t="n">
        <x:v>159</x:v>
      </x:c>
      <x:c r="F163" t="n">
        <x:v>530520411</x:v>
      </x:c>
      <x:c r="G163" t="str">
        <x:v>标本</x:v>
      </x:c>
      <x:c r="H163" t="str">
        <x:v>Mr.岑</x:v>
      </x:c>
      <x:c r="I163" t="str">
        <x:v>0043v9md0Y9OWF</x:v>
      </x:c>
      <x:c r="J163" t="str">
        <x:v>False</x:v>
      </x:c>
      <x:c r="K163" t="n">
        <x:v>0</x:v>
      </x:c>
      <x:c r="L163" t="n">
        <x:v>0</x:v>
      </x:c>
      <x:c r="M163" t="n">
        <x:v>0</x:v>
      </x:c>
      <x:c r="N163" t="n">
        <x:v>81.01026</x:v>
      </x:c>
      <x:c r="O163" t="n">
        <x:v>50.25</x:v>
      </x:c>
      <x:c r="P163" t="n">
        <x:v>0</x:v>
      </x:c>
      <x:c r="Q163" t="n">
        <x:v>0</x:v>
      </x:c>
      <x:c r="R163" t="n">
        <x:v>51.89</x:v>
      </x:c>
      <x:c r="S163" t="n">
        <x:v>7.24</x:v>
      </x:c>
      <x:c r="T163" t="str">
        <x:v>https://y.gtimg.cn/music/photo_new/T002R500x500M000004VMOxL1DzkyR_1.jpg</x:v>
      </x:c>
      <x:c r="U163" s="24" t="str">
        <x:f>IFERROR(VLOOKUP(I163,'07_字典与参数'!$G$5:$J$9,2,FALSE),"未入选")</x:f>
        <x:v>未入选</x:v>
      </x:c>
      <x:c r="V163" s="24" t="str">
        <x:f>IFERROR(VLOOKUP(I163,'07_字典与参数'!$G$5:$J$9,3,FALSE),"—")</x:f>
        <x:v>—</x:v>
      </x:c>
      <x:c r="W163" s="24" t="str">
        <x:f>IF(U163="未入选","否","是")</x:f>
        <x:v>否</x:v>
      </x:c>
    </x:row>
    <x:row r="164">
      <x:c r="A164" t="n">
        <x:v>202628</x:v>
      </x:c>
      <x:c r="B164" t="str">
        <x:v>第28期（07.13-07.19）</x:v>
      </x:c>
      <x:c r="C164" t="str">
        <x:v>2026-07-13</x:v>
      </x:c>
      <x:c r="D164" t="str">
        <x:v>2026-07-19</x:v>
      </x:c>
      <x:c r="E164" t="n">
        <x:v>160</x:v>
      </x:c>
      <x:c r="F164" t="n">
        <x:v>533340250</x:v>
      </x:c>
      <x:c r="G164" t="str">
        <x:v>逞强</x:v>
      </x:c>
      <x:c r="H164" t="str">
        <x:v>丁禹兮</x:v>
      </x:c>
      <x:c r="I164" t="str">
        <x:v>002l3OmG2lEfdB</x:v>
      </x:c>
      <x:c r="J164" t="str">
        <x:v>False</x:v>
      </x:c>
      <x:c r="K164" t="n">
        <x:v>0</x:v>
      </x:c>
      <x:c r="L164" t="n">
        <x:v>0</x:v>
      </x:c>
      <x:c r="M164" t="n">
        <x:v>0</x:v>
      </x:c>
      <x:c r="N164" t="n">
        <x:v>81.00023</x:v>
      </x:c>
      <x:c r="O164" t="n">
        <x:v>54.09</x:v>
      </x:c>
      <x:c r="P164" t="n">
        <x:v>0</x:v>
      </x:c>
      <x:c r="Q164" t="n">
        <x:v>0</x:v>
      </x:c>
      <x:c r="R164" t="n">
        <x:v>36.14</x:v>
      </x:c>
      <x:c r="S164" t="n">
        <x:v>48.18</x:v>
      </x:c>
      <x:c r="T164" t="str">
        <x:v>https://y.gtimg.cn/music/photo_new/T002R500x500M000004HXwrK4YUDaz_1.jpg</x:v>
      </x:c>
      <x:c r="U164" s="24" t="str">
        <x:f>IFERROR(VLOOKUP(I164,'07_字典与参数'!$G$5:$J$9,2,FALSE),"未入选")</x:f>
        <x:v>未入选</x:v>
      </x:c>
      <x:c r="V164" s="24" t="str">
        <x:f>IFERROR(VLOOKUP(I164,'07_字典与参数'!$G$5:$J$9,3,FALSE),"—")</x:f>
        <x:v>—</x:v>
      </x:c>
      <x:c r="W164" s="24" t="str">
        <x:f>IF(U164="未入选","否","是")</x:f>
        <x:v>否</x:v>
      </x:c>
    </x:row>
    <x:row r="165">
      <x:c r="A165" t="n">
        <x:v>202628</x:v>
      </x:c>
      <x:c r="B165" t="str">
        <x:v>第28期（07.13-07.19）</x:v>
      </x:c>
      <x:c r="C165" t="str">
        <x:v>2026-07-13</x:v>
      </x:c>
      <x:c r="D165" t="str">
        <x:v>2026-07-19</x:v>
      </x:c>
      <x:c r="E165" t="n">
        <x:v>161</x:v>
      </x:c>
      <x:c r="F165" t="n">
        <x:v>480650225</x:v>
      </x:c>
      <x:c r="G165" t="str">
        <x:v>疯狂爱人</x:v>
      </x:c>
      <x:c r="H165" t="str">
        <x:v>汪苏泷</x:v>
      </x:c>
      <x:c r="I165" t="str">
        <x:v>001ObIOx0ODZvP</x:v>
      </x:c>
      <x:c r="J165" t="str">
        <x:v>False</x:v>
      </x:c>
      <x:c r="K165" t="n">
        <x:v>132</x:v>
      </x:c>
      <x:c r="L165" t="n">
        <x:v>0</x:v>
      </x:c>
      <x:c r="M165" t="n">
        <x:v>0</x:v>
      </x:c>
      <x:c r="N165" t="n">
        <x:v>80.79896</x:v>
      </x:c>
      <x:c r="O165" t="n">
        <x:v>64.94</x:v>
      </x:c>
      <x:c r="P165" t="n">
        <x:v>0</x:v>
      </x:c>
      <x:c r="Q165" t="n">
        <x:v>0</x:v>
      </x:c>
      <x:c r="R165" t="n">
        <x:v>2.85</x:v>
      </x:c>
      <x:c r="S165" t="n">
        <x:v>44.66</x:v>
      </x:c>
      <x:c r="T165" t="str">
        <x:v>https://y.gtimg.cn/music/photo_new/T002R500x500M000000A1M903iHvyT_4.jpg</x:v>
      </x:c>
      <x:c r="U165" s="24" t="str">
        <x:f>IFERROR(VLOOKUP(I165,'07_字典与参数'!$G$5:$J$9,2,FALSE),"未入选")</x:f>
        <x:v>未入选</x:v>
      </x:c>
      <x:c r="V165" s="24" t="str">
        <x:f>IFERROR(VLOOKUP(I165,'07_字典与参数'!$G$5:$J$9,3,FALSE),"—")</x:f>
        <x:v>—</x:v>
      </x:c>
      <x:c r="W165" s="24" t="str">
        <x:f>IF(U165="未入选","否","是")</x:f>
        <x:v>否</x:v>
      </x:c>
    </x:row>
    <x:row r="166">
      <x:c r="A166" t="n">
        <x:v>202628</x:v>
      </x:c>
      <x:c r="B166" t="str">
        <x:v>第28期（07.13-07.19）</x:v>
      </x:c>
      <x:c r="C166" t="str">
        <x:v>2026-07-13</x:v>
      </x:c>
      <x:c r="D166" t="str">
        <x:v>2026-07-19</x:v>
      </x:c>
      <x:c r="E166" t="n">
        <x:v>162</x:v>
      </x:c>
      <x:c r="F166" t="n">
        <x:v>530520407</x:v>
      </x:c>
      <x:c r="G166" t="str">
        <x:v>请允许我最后一次为你哭泣</x:v>
      </x:c>
      <x:c r="H166" t="str">
        <x:v>Mr.岑</x:v>
      </x:c>
      <x:c r="I166" t="str">
        <x:v>000fQvCm1pirvi</x:v>
      </x:c>
      <x:c r="J166" t="str">
        <x:v>False</x:v>
      </x:c>
      <x:c r="K166" t="n">
        <x:v>0</x:v>
      </x:c>
      <x:c r="L166" t="n">
        <x:v>0</x:v>
      </x:c>
      <x:c r="M166" t="n">
        <x:v>0</x:v>
      </x:c>
      <x:c r="N166" t="n">
        <x:v>80.58764</x:v>
      </x:c>
      <x:c r="O166" t="n">
        <x:v>50.06</x:v>
      </x:c>
      <x:c r="P166" t="n">
        <x:v>0</x:v>
      </x:c>
      <x:c r="Q166" t="n">
        <x:v>0</x:v>
      </x:c>
      <x:c r="R166" t="n">
        <x:v>50.95</x:v>
      </x:c>
      <x:c r="S166" t="n">
        <x:v>7.58</x:v>
      </x:c>
      <x:c r="T166" t="str">
        <x:v>https://y.gtimg.cn/music/photo_new/T002R500x500M000004VMOxL1DzkyR_1.jpg</x:v>
      </x:c>
      <x:c r="U166" s="24" t="str">
        <x:f>IFERROR(VLOOKUP(I166,'07_字典与参数'!$G$5:$J$9,2,FALSE),"未入选")</x:f>
        <x:v>未入选</x:v>
      </x:c>
      <x:c r="V166" s="24" t="str">
        <x:f>IFERROR(VLOOKUP(I166,'07_字典与参数'!$G$5:$J$9,3,FALSE),"—")</x:f>
        <x:v>—</x:v>
      </x:c>
      <x:c r="W166" s="24" t="str">
        <x:f>IF(U166="未入选","否","是")</x:f>
        <x:v>否</x:v>
      </x:c>
    </x:row>
    <x:row r="167">
      <x:c r="A167" t="n">
        <x:v>202628</x:v>
      </x:c>
      <x:c r="B167" t="str">
        <x:v>第28期（07.13-07.19）</x:v>
      </x:c>
      <x:c r="C167" t="str">
        <x:v>2026-07-13</x:v>
      </x:c>
      <x:c r="D167" t="str">
        <x:v>2026-07-19</x:v>
      </x:c>
      <x:c r="E167" t="n">
        <x:v>163</x:v>
      </x:c>
      <x:c r="F167" t="n">
        <x:v>532904645</x:v>
      </x:c>
      <x:c r="G167" t="str">
        <x:v>All For You</x:v>
      </x:c>
      <x:c r="H167" t="str">
        <x:v>Eric周兴哲</x:v>
      </x:c>
      <x:c r="I167" t="str">
        <x:v>003Mk0wX0NkUHg</x:v>
      </x:c>
      <x:c r="J167" t="str">
        <x:v>False</x:v>
      </x:c>
      <x:c r="K167" t="n">
        <x:v>0</x:v>
      </x:c>
      <x:c r="L167" t="n">
        <x:v>0</x:v>
      </x:c>
      <x:c r="M167" t="n">
        <x:v>0</x:v>
      </x:c>
      <x:c r="N167" t="n">
        <x:v>80.51923</x:v>
      </x:c>
      <x:c r="O167" t="n">
        <x:v>60.28</x:v>
      </x:c>
      <x:c r="P167" t="n">
        <x:v>0</x:v>
      </x:c>
      <x:c r="Q167" t="n">
        <x:v>0</x:v>
      </x:c>
      <x:c r="R167" t="n">
        <x:v>8.53</x:v>
      </x:c>
      <x:c r="S167" t="n">
        <x:v>48.94</x:v>
      </x:c>
      <x:c r="T167" t="str">
        <x:v>https://y.gtimg.cn/music/photo_new/T002R500x500M000000hWmro139Qy0_1.jpg</x:v>
      </x:c>
      <x:c r="U167" s="24" t="str">
        <x:f>IFERROR(VLOOKUP(I167,'07_字典与参数'!$G$5:$J$9,2,FALSE),"未入选")</x:f>
        <x:v>未入选</x:v>
      </x:c>
      <x:c r="V167" s="24" t="str">
        <x:f>IFERROR(VLOOKUP(I167,'07_字典与参数'!$G$5:$J$9,3,FALSE),"—")</x:f>
        <x:v>—</x:v>
      </x:c>
      <x:c r="W167" s="24" t="str">
        <x:f>IF(U167="未入选","否","是")</x:f>
        <x:v>否</x:v>
      </x:c>
    </x:row>
    <x:row r="168">
      <x:c r="A168" t="n">
        <x:v>202628</x:v>
      </x:c>
      <x:c r="B168" t="str">
        <x:v>第28期（07.13-07.19）</x:v>
      </x:c>
      <x:c r="C168" t="str">
        <x:v>2026-07-13</x:v>
      </x:c>
      <x:c r="D168" t="str">
        <x:v>2026-07-19</x:v>
      </x:c>
      <x:c r="E168" t="n">
        <x:v>164</x:v>
      </x:c>
      <x:c r="F168" t="n">
        <x:v>530520413</x:v>
      </x:c>
      <x:c r="G168" t="str">
        <x:v>Goodbye to the whispers in the dark</x:v>
      </x:c>
      <x:c r="H168" t="str">
        <x:v>Mr.岑</x:v>
      </x:c>
      <x:c r="I168" t="str">
        <x:v>002HHvgX2NG8Sf</x:v>
      </x:c>
      <x:c r="J168" t="str">
        <x:v>False</x:v>
      </x:c>
      <x:c r="K168" t="n">
        <x:v>0</x:v>
      </x:c>
      <x:c r="L168" t="n">
        <x:v>0</x:v>
      </x:c>
      <x:c r="M168" t="n">
        <x:v>0</x:v>
      </x:c>
      <x:c r="N168" t="n">
        <x:v>80.50375</x:v>
      </x:c>
      <x:c r="O168" t="n">
        <x:v>50</x:v>
      </x:c>
      <x:c r="P168" t="n">
        <x:v>0</x:v>
      </x:c>
      <x:c r="Q168" t="n">
        <x:v>0</x:v>
      </x:c>
      <x:c r="R168" t="n">
        <x:v>50.75</x:v>
      </x:c>
      <x:c r="S168" t="n">
        <x:v>8</x:v>
      </x:c>
      <x:c r="T168" t="str">
        <x:v>https://y.gtimg.cn/music/photo_new/T002R500x500M000004VMOxL1DzkyR_1.jpg</x:v>
      </x:c>
      <x:c r="U168" s="24" t="str">
        <x:f>IFERROR(VLOOKUP(I168,'07_字典与参数'!$G$5:$J$9,2,FALSE),"未入选")</x:f>
        <x:v>未入选</x:v>
      </x:c>
      <x:c r="V168" s="24" t="str">
        <x:f>IFERROR(VLOOKUP(I168,'07_字典与参数'!$G$5:$J$9,3,FALSE),"—")</x:f>
        <x:v>—</x:v>
      </x:c>
      <x:c r="W168" s="24" t="str">
        <x:f>IF(U168="未入选","否","是")</x:f>
        <x:v>否</x:v>
      </x:c>
    </x:row>
    <x:row r="169">
      <x:c r="A169" t="n">
        <x:v>202628</x:v>
      </x:c>
      <x:c r="B169" t="str">
        <x:v>第28期（07.13-07.19）</x:v>
      </x:c>
      <x:c r="C169" t="str">
        <x:v>2026-07-13</x:v>
      </x:c>
      <x:c r="D169" t="str">
        <x:v>2026-07-19</x:v>
      </x:c>
      <x:c r="E169" t="n">
        <x:v>165</x:v>
      </x:c>
      <x:c r="F169" t="n">
        <x:v>513759604</x:v>
      </x:c>
      <x:c r="G169" t="str">
        <x:v>何故</x:v>
      </x:c>
      <x:c r="H169" t="str">
        <x:v>刘宇宁</x:v>
      </x:c>
      <x:c r="I169" t="str">
        <x:v>004SKGhv0yCThR</x:v>
      </x:c>
      <x:c r="J169" t="str">
        <x:v>False</x:v>
      </x:c>
      <x:c r="K169" t="n">
        <x:v>146</x:v>
      </x:c>
      <x:c r="L169" t="n">
        <x:v>0</x:v>
      </x:c>
      <x:c r="M169" t="n">
        <x:v>0</x:v>
      </x:c>
      <x:c r="N169" t="n">
        <x:v>80.49609</x:v>
      </x:c>
      <x:c r="O169" t="n">
        <x:v>63.77</x:v>
      </x:c>
      <x:c r="P169" t="n">
        <x:v>0</x:v>
      </x:c>
      <x:c r="Q169" t="n">
        <x:v>0</x:v>
      </x:c>
      <x:c r="R169" t="n">
        <x:v>6.08</x:v>
      </x:c>
      <x:c r="S169" t="n">
        <x:v>44.64</x:v>
      </x:c>
      <x:c r="T169" t="str">
        <x:v>https://y.qq.com/music/photo_new/T062R500x500M0000039N97f1Tefsr.jpg</x:v>
      </x:c>
      <x:c r="U169" s="24" t="str">
        <x:f>IFERROR(VLOOKUP(I169,'07_字典与参数'!$G$5:$J$9,2,FALSE),"未入选")</x:f>
        <x:v>未入选</x:v>
      </x:c>
      <x:c r="V169" s="24" t="str">
        <x:f>IFERROR(VLOOKUP(I169,'07_字典与参数'!$G$5:$J$9,3,FALSE),"—")</x:f>
        <x:v>—</x:v>
      </x:c>
      <x:c r="W169" s="24" t="str">
        <x:f>IF(U169="未入选","否","是")</x:f>
        <x:v>否</x:v>
      </x:c>
    </x:row>
    <x:row r="170">
      <x:c r="A170" t="n">
        <x:v>202628</x:v>
      </x:c>
      <x:c r="B170" t="str">
        <x:v>第28期（07.13-07.19）</x:v>
      </x:c>
      <x:c r="C170" t="str">
        <x:v>2026-07-13</x:v>
      </x:c>
      <x:c r="D170" t="str">
        <x:v>2026-07-19</x:v>
      </x:c>
      <x:c r="E170" t="n">
        <x:v>166</x:v>
      </x:c>
      <x:c r="F170" t="n">
        <x:v>513260499</x:v>
      </x:c>
      <x:c r="G170" t="str">
        <x:v>FIND THE WAY</x:v>
      </x:c>
      <x:c r="H170" t="str">
        <x:v>鞠婧祎</x:v>
      </x:c>
      <x:c r="I170" t="str">
        <x:v>00437uBu1XnGlr</x:v>
      </x:c>
      <x:c r="J170" t="str">
        <x:v>False</x:v>
      </x:c>
      <x:c r="K170" t="n">
        <x:v>139</x:v>
      </x:c>
      <x:c r="L170" t="n">
        <x:v>0</x:v>
      </x:c>
      <x:c r="M170" t="n">
        <x:v>0</x:v>
      </x:c>
      <x:c r="N170" t="n">
        <x:v>80.42094</x:v>
      </x:c>
      <x:c r="O170" t="n">
        <x:v>63.44</x:v>
      </x:c>
      <x:c r="P170" t="n">
        <x:v>0</x:v>
      </x:c>
      <x:c r="Q170" t="n">
        <x:v>0</x:v>
      </x:c>
      <x:c r="R170" t="n">
        <x:v>15.83</x:v>
      </x:c>
      <x:c r="S170" t="n">
        <x:v>43.75</x:v>
      </x:c>
      <x:c r="T170" t="str">
        <x:v>https://y.gtimg.cn/music/photo_new/T002R500x500M000003Dwzfn4263MZ_1.jpg</x:v>
      </x:c>
      <x:c r="U170" s="24" t="str">
        <x:f>IFERROR(VLOOKUP(I170,'07_字典与参数'!$G$5:$J$9,2,FALSE),"未入选")</x:f>
        <x:v>未入选</x:v>
      </x:c>
      <x:c r="V170" s="24" t="str">
        <x:f>IFERROR(VLOOKUP(I170,'07_字典与参数'!$G$5:$J$9,3,FALSE),"—")</x:f>
        <x:v>—</x:v>
      </x:c>
      <x:c r="W170" s="24" t="str">
        <x:f>IF(U170="未入选","否","是")</x:f>
        <x:v>否</x:v>
      </x:c>
    </x:row>
    <x:row r="171">
      <x:c r="A171" t="n">
        <x:v>202628</x:v>
      </x:c>
      <x:c r="B171" t="str">
        <x:v>第28期（07.13-07.19）</x:v>
      </x:c>
      <x:c r="C171" t="str">
        <x:v>2026-07-13</x:v>
      </x:c>
      <x:c r="D171" t="str">
        <x:v>2026-07-19</x:v>
      </x:c>
      <x:c r="E171" t="n">
        <x:v>167</x:v>
      </x:c>
      <x:c r="F171" t="n">
        <x:v>480650224</x:v>
      </x:c>
      <x:c r="G171" t="str">
        <x:v>世界之巅</x:v>
      </x:c>
      <x:c r="H171" t="str">
        <x:v>汪苏泷</x:v>
      </x:c>
      <x:c r="I171" t="str">
        <x:v>002DIIhu0OSRN1</x:v>
      </x:c>
      <x:c r="J171" t="str">
        <x:v>False</x:v>
      </x:c>
      <x:c r="K171" t="n">
        <x:v>133</x:v>
      </x:c>
      <x:c r="L171" t="n">
        <x:v>0</x:v>
      </x:c>
      <x:c r="M171" t="n">
        <x:v>0</x:v>
      </x:c>
      <x:c r="N171" t="n">
        <x:v>80.38312</x:v>
      </x:c>
      <x:c r="O171" t="n">
        <x:v>64.84</x:v>
      </x:c>
      <x:c r="P171" t="n">
        <x:v>0</x:v>
      </x:c>
      <x:c r="Q171" t="n">
        <x:v>0</x:v>
      </x:c>
      <x:c r="R171" t="n">
        <x:v>5.17</x:v>
      </x:c>
      <x:c r="S171" t="n">
        <x:v>42.92</x:v>
      </x:c>
      <x:c r="T171" t="str">
        <x:v>https://y.gtimg.cn/music/photo_new/T002R500x500M000000A1M903iHvyT_4.jpg</x:v>
      </x:c>
      <x:c r="U171" s="24" t="str">
        <x:f>IFERROR(VLOOKUP(I171,'07_字典与参数'!$G$5:$J$9,2,FALSE),"未入选")</x:f>
        <x:v>未入选</x:v>
      </x:c>
      <x:c r="V171" s="24" t="str">
        <x:f>IFERROR(VLOOKUP(I171,'07_字典与参数'!$G$5:$J$9,3,FALSE),"—")</x:f>
        <x:v>—</x:v>
      </x:c>
      <x:c r="W171" s="24" t="str">
        <x:f>IF(U171="未入选","否","是")</x:f>
        <x:v>否</x:v>
      </x:c>
    </x:row>
    <x:row r="172">
      <x:c r="A172" t="n">
        <x:v>202628</x:v>
      </x:c>
      <x:c r="B172" t="str">
        <x:v>第28期（07.13-07.19）</x:v>
      </x:c>
      <x:c r="C172" t="str">
        <x:v>2026-07-13</x:v>
      </x:c>
      <x:c r="D172" t="str">
        <x:v>2026-07-19</x:v>
      </x:c>
      <x:c r="E172" t="n">
        <x:v>168</x:v>
      </x:c>
      <x:c r="F172" t="n">
        <x:v>531181255</x:v>
      </x:c>
      <x:c r="G172" t="str">
        <x:v>且听风吟</x:v>
      </x:c>
      <x:c r="H172" t="str">
        <x:v>鸣潮先约电台,jixwang,云之泣</x:v>
      </x:c>
      <x:c r="I172" t="str">
        <x:v>003qYzA508Z2yF</x:v>
      </x:c>
      <x:c r="J172" t="str">
        <x:v>False</x:v>
      </x:c>
      <x:c r="K172" t="n">
        <x:v>0</x:v>
      </x:c>
      <x:c r="L172" t="n">
        <x:v>0</x:v>
      </x:c>
      <x:c r="M172" t="n">
        <x:v>0</x:v>
      </x:c>
      <x:c r="N172" t="n">
        <x:v>80.23649</x:v>
      </x:c>
      <x:c r="O172" t="n">
        <x:v>65.69</x:v>
      </x:c>
      <x:c r="P172" t="n">
        <x:v>0</x:v>
      </x:c>
      <x:c r="Q172" t="n">
        <x:v>0</x:v>
      </x:c>
      <x:c r="R172" t="n">
        <x:v>1.54</x:v>
      </x:c>
      <x:c r="S172" t="n">
        <x:v>41.64</x:v>
      </x:c>
      <x:c r="T172" t="str">
        <x:v>https://y.gtimg.cn/music/photo_new/T002R500x500M000001rovrt1tUywT_1.jpg</x:v>
      </x:c>
      <x:c r="U172" s="24" t="str">
        <x:f>IFERROR(VLOOKUP(I172,'07_字典与参数'!$G$5:$J$9,2,FALSE),"未入选")</x:f>
        <x:v>未入选</x:v>
      </x:c>
      <x:c r="V172" s="24" t="str">
        <x:f>IFERROR(VLOOKUP(I172,'07_字典与参数'!$G$5:$J$9,3,FALSE),"—")</x:f>
        <x:v>—</x:v>
      </x:c>
      <x:c r="W172" s="24" t="str">
        <x:f>IF(U172="未入选","否","是")</x:f>
        <x:v>否</x:v>
      </x:c>
    </x:row>
    <x:row r="173">
      <x:c r="A173" t="n">
        <x:v>202628</x:v>
      </x:c>
      <x:c r="B173" t="str">
        <x:v>第28期（07.13-07.19）</x:v>
      </x:c>
      <x:c r="C173" t="str">
        <x:v>2026-07-13</x:v>
      </x:c>
      <x:c r="D173" t="str">
        <x:v>2026-07-19</x:v>
      </x:c>
      <x:c r="E173" t="n">
        <x:v>169</x:v>
      </x:c>
      <x:c r="F173" t="n">
        <x:v>511768934</x:v>
      </x:c>
      <x:c r="G173" t="str">
        <x:v>我在意的</x:v>
      </x:c>
      <x:c r="H173" t="str">
        <x:v>单依纯</x:v>
      </x:c>
      <x:c r="I173" t="str">
        <x:v>003H0CGe1vL66I</x:v>
      </x:c>
      <x:c r="J173" t="str">
        <x:v>False</x:v>
      </x:c>
      <x:c r="K173" t="n">
        <x:v>131</x:v>
      </x:c>
      <x:c r="L173" t="n">
        <x:v>0</x:v>
      </x:c>
      <x:c r="M173" t="n">
        <x:v>0</x:v>
      </x:c>
      <x:c r="N173" t="n">
        <x:v>80.20936</x:v>
      </x:c>
      <x:c r="O173" t="n">
        <x:v>64.41</x:v>
      </x:c>
      <x:c r="P173" t="n">
        <x:v>0</x:v>
      </x:c>
      <x:c r="Q173" t="n">
        <x:v>0</x:v>
      </x:c>
      <x:c r="R173" t="n">
        <x:v>5.98</x:v>
      </x:c>
      <x:c r="S173" t="n">
        <x:v>42.7</x:v>
      </x:c>
      <x:c r="T173" t="str">
        <x:v>https://y.gtimg.cn/music/photo_new/T002R500x500M000000IAfgq0N42nF_1.jpg</x:v>
      </x:c>
      <x:c r="U173" s="24" t="str">
        <x:f>IFERROR(VLOOKUP(I173,'07_字典与参数'!$G$5:$J$9,2,FALSE),"未入选")</x:f>
        <x:v>未入选</x:v>
      </x:c>
      <x:c r="V173" s="24" t="str">
        <x:f>IFERROR(VLOOKUP(I173,'07_字典与参数'!$G$5:$J$9,3,FALSE),"—")</x:f>
        <x:v>—</x:v>
      </x:c>
      <x:c r="W173" s="24" t="str">
        <x:f>IF(U173="未入选","否","是")</x:f>
        <x:v>否</x:v>
      </x:c>
    </x:row>
    <x:row r="174">
      <x:c r="A174" t="n">
        <x:v>202628</x:v>
      </x:c>
      <x:c r="B174" t="str">
        <x:v>第28期（07.13-07.19）</x:v>
      </x:c>
      <x:c r="C174" t="str">
        <x:v>2026-07-13</x:v>
      </x:c>
      <x:c r="D174" t="str">
        <x:v>2026-07-19</x:v>
      </x:c>
      <x:c r="E174" t="n">
        <x:v>170</x:v>
      </x:c>
      <x:c r="F174" t="n">
        <x:v>512483930</x:v>
      </x:c>
      <x:c r="G174" t="str">
        <x:v>满纸</x:v>
      </x:c>
      <x:c r="H174" t="str">
        <x:v>阿鲲</x:v>
      </x:c>
      <x:c r="I174" t="str">
        <x:v>001ifLic2K9S9m</x:v>
      </x:c>
      <x:c r="J174" t="str">
        <x:v>False</x:v>
      </x:c>
      <x:c r="K174" t="n">
        <x:v>118</x:v>
      </x:c>
      <x:c r="L174" t="n">
        <x:v>0</x:v>
      </x:c>
      <x:c r="M174" t="n">
        <x:v>0</x:v>
      </x:c>
      <x:c r="N174" t="n">
        <x:v>80.1818</x:v>
      </x:c>
      <x:c r="O174" t="n">
        <x:v>65.09</x:v>
      </x:c>
      <x:c r="P174" t="n">
        <x:v>0</x:v>
      </x:c>
      <x:c r="Q174" t="n">
        <x:v>0</x:v>
      </x:c>
      <x:c r="R174" t="n">
        <x:v>25.51</x:v>
      </x:c>
      <x:c r="S174" t="n">
        <x:v>34.69</x:v>
      </x:c>
      <x:c r="T174" t="str">
        <x:v>https://y.gtimg.cn/music/photo_new/T002R500x500M000003ZuKKp2FKC3S_1.jpg</x:v>
      </x:c>
      <x:c r="U174" s="24" t="str">
        <x:f>IFERROR(VLOOKUP(I174,'07_字典与参数'!$G$5:$J$9,2,FALSE),"未入选")</x:f>
        <x:v>未入选</x:v>
      </x:c>
      <x:c r="V174" s="24" t="str">
        <x:f>IFERROR(VLOOKUP(I174,'07_字典与参数'!$G$5:$J$9,3,FALSE),"—")</x:f>
        <x:v>—</x:v>
      </x:c>
      <x:c r="W174" s="24" t="str">
        <x:f>IF(U174="未入选","否","是")</x:f>
        <x:v>否</x:v>
      </x:c>
    </x:row>
    <x:row r="175">
      <x:c r="A175" t="n">
        <x:v>202628</x:v>
      </x:c>
      <x:c r="B175" t="str">
        <x:v>第28期（07.13-07.19）</x:v>
      </x:c>
      <x:c r="C175" t="str">
        <x:v>2026-07-13</x:v>
      </x:c>
      <x:c r="D175" t="str">
        <x:v>2026-07-19</x:v>
      </x:c>
      <x:c r="E175" t="n">
        <x:v>171</x:v>
      </x:c>
      <x:c r="F175" t="n">
        <x:v>482530756</x:v>
      </x:c>
      <x:c r="G175" t="str">
        <x:v>刺</x:v>
      </x:c>
      <x:c r="H175" t="str">
        <x:v>时代少年团</x:v>
      </x:c>
      <x:c r="I175" t="str">
        <x:v>003zJoye03D7NX</x:v>
      </x:c>
      <x:c r="J175" t="str">
        <x:v>False</x:v>
      </x:c>
      <x:c r="K175" t="n">
        <x:v>140</x:v>
      </x:c>
      <x:c r="L175" t="n">
        <x:v>0</x:v>
      </x:c>
      <x:c r="M175" t="n">
        <x:v>0</x:v>
      </x:c>
      <x:c r="N175" t="n">
        <x:v>80.13446</x:v>
      </x:c>
      <x:c r="O175" t="n">
        <x:v>66.11</x:v>
      </x:c>
      <x:c r="P175" t="n">
        <x:v>0</x:v>
      </x:c>
      <x:c r="Q175" t="n">
        <x:v>0</x:v>
      </x:c>
      <x:c r="R175" t="n">
        <x:v>11.54</x:v>
      </x:c>
      <x:c r="S175" t="n">
        <x:v>37.94</x:v>
      </x:c>
      <x:c r="T175" t="str">
        <x:v>https://y.gtimg.cn/music/photo_new/T002R500x500M000000I9a4s1sFmaf_1.jpg</x:v>
      </x:c>
      <x:c r="U175" s="24" t="str">
        <x:f>IFERROR(VLOOKUP(I175,'07_字典与参数'!$G$5:$J$9,2,FALSE),"未入选")</x:f>
        <x:v>未入选</x:v>
      </x:c>
      <x:c r="V175" s="24" t="str">
        <x:f>IFERROR(VLOOKUP(I175,'07_字典与参数'!$G$5:$J$9,3,FALSE),"—")</x:f>
        <x:v>—</x:v>
      </x:c>
      <x:c r="W175" s="24" t="str">
        <x:f>IF(U175="未入选","否","是")</x:f>
        <x:v>否</x:v>
      </x:c>
    </x:row>
    <x:row r="176">
      <x:c r="A176" t="n">
        <x:v>202628</x:v>
      </x:c>
      <x:c r="B176" t="str">
        <x:v>第28期（07.13-07.19）</x:v>
      </x:c>
      <x:c r="C176" t="str">
        <x:v>2026-07-13</x:v>
      </x:c>
      <x:c r="D176" t="str">
        <x:v>2026-07-19</x:v>
      </x:c>
      <x:c r="E176" t="n">
        <x:v>172</x:v>
      </x:c>
      <x:c r="F176" t="n">
        <x:v>531088711</x:v>
      </x:c>
      <x:c r="G176" t="str">
        <x:v>炙光</x:v>
      </x:c>
      <x:c r="H176" t="str">
        <x:v>张碧晨,侯明昊</x:v>
      </x:c>
      <x:c r="I176" t="str">
        <x:v>000cuQPZ0n0D1B</x:v>
      </x:c>
      <x:c r="J176" t="str">
        <x:v>False</x:v>
      </x:c>
      <x:c r="K176" t="n">
        <x:v>0</x:v>
      </x:c>
      <x:c r="L176" t="n">
        <x:v>0</x:v>
      </x:c>
      <x:c r="M176" t="n">
        <x:v>0</x:v>
      </x:c>
      <x:c r="N176" t="n">
        <x:v>80.10704</x:v>
      </x:c>
      <x:c r="O176" t="n">
        <x:v>65.48</x:v>
      </x:c>
      <x:c r="P176" t="n">
        <x:v>0</x:v>
      </x:c>
      <x:c r="Q176" t="n">
        <x:v>0</x:v>
      </x:c>
      <x:c r="R176" t="n">
        <x:v>7.89</x:v>
      </x:c>
      <x:c r="S176" t="n">
        <x:v>40.73</x:v>
      </x:c>
      <x:c r="T176" t="str">
        <x:v>https://y.qq.com/music/photo_new/T062R500x500M000004GHilm2q2DjB.jpg</x:v>
      </x:c>
      <x:c r="U176" s="24" t="str">
        <x:f>IFERROR(VLOOKUP(I176,'07_字典与参数'!$G$5:$J$9,2,FALSE),"未入选")</x:f>
        <x:v>未入选</x:v>
      </x:c>
      <x:c r="V176" s="24" t="str">
        <x:f>IFERROR(VLOOKUP(I176,'07_字典与参数'!$G$5:$J$9,3,FALSE),"—")</x:f>
        <x:v>—</x:v>
      </x:c>
      <x:c r="W176" s="24" t="str">
        <x:f>IF(U176="未入选","否","是")</x:f>
        <x:v>否</x:v>
      </x:c>
    </x:row>
    <x:row r="177">
      <x:c r="A177" t="n">
        <x:v>202628</x:v>
      </x:c>
      <x:c r="B177" t="str">
        <x:v>第28期（07.13-07.19）</x:v>
      </x:c>
      <x:c r="C177" t="str">
        <x:v>2026-07-13</x:v>
      </x:c>
      <x:c r="D177" t="str">
        <x:v>2026-07-19</x:v>
      </x:c>
      <x:c r="E177" t="n">
        <x:v>173</x:v>
      </x:c>
      <x:c r="F177" t="n">
        <x:v>532474533</x:v>
      </x:c>
      <x:c r="G177" t="str">
        <x:v>灯暗下来 (ENJOY THE SHOW)</x:v>
      </x:c>
      <x:c r="H177" t="str">
        <x:v>HENRY刘宪华</x:v>
      </x:c>
      <x:c r="I177" t="str">
        <x:v>0042SY1a1Imv08</x:v>
      </x:c>
      <x:c r="J177" t="str">
        <x:v>False</x:v>
      </x:c>
      <x:c r="K177" t="n">
        <x:v>0</x:v>
      </x:c>
      <x:c r="L177" t="n">
        <x:v>0</x:v>
      </x:c>
      <x:c r="M177" t="n">
        <x:v>0</x:v>
      </x:c>
      <x:c r="N177" t="n">
        <x:v>79.85691</x:v>
      </x:c>
      <x:c r="O177" t="n">
        <x:v>57.08</x:v>
      </x:c>
      <x:c r="P177" t="n">
        <x:v>0</x:v>
      </x:c>
      <x:c r="Q177" t="n">
        <x:v>0</x:v>
      </x:c>
      <x:c r="R177" t="n">
        <x:v>26.14</x:v>
      </x:c>
      <x:c r="S177" t="n">
        <x:v>45.93</x:v>
      </x:c>
      <x:c r="T177" t="str">
        <x:v>https://y.gtimg.cn/music/photo_new/T002R500x500M000002PeBvc0TaC2h_1.jpg</x:v>
      </x:c>
      <x:c r="U177" s="24" t="str">
        <x:f>IFERROR(VLOOKUP(I177,'07_字典与参数'!$G$5:$J$9,2,FALSE),"未入选")</x:f>
        <x:v>未入选</x:v>
      </x:c>
      <x:c r="V177" s="24" t="str">
        <x:f>IFERROR(VLOOKUP(I177,'07_字典与参数'!$G$5:$J$9,3,FALSE),"—")</x:f>
        <x:v>—</x:v>
      </x:c>
      <x:c r="W177" s="24" t="str">
        <x:f>IF(U177="未入选","否","是")</x:f>
        <x:v>否</x:v>
      </x:c>
    </x:row>
    <x:row r="178">
      <x:c r="A178" t="n">
        <x:v>202628</x:v>
      </x:c>
      <x:c r="B178" t="str">
        <x:v>第28期（07.13-07.19）</x:v>
      </x:c>
      <x:c r="C178" t="str">
        <x:v>2026-07-13</x:v>
      </x:c>
      <x:c r="D178" t="str">
        <x:v>2026-07-19</x:v>
      </x:c>
      <x:c r="E178" t="n">
        <x:v>174</x:v>
      </x:c>
      <x:c r="F178" t="n">
        <x:v>513183077</x:v>
      </x:c>
      <x:c r="G178" t="str">
        <x:v>忽略不计</x:v>
      </x:c>
      <x:c r="H178" t="str">
        <x:v>许嵩</x:v>
      </x:c>
      <x:c r="I178" t="str">
        <x:v>002ALgtr2b2Rdm</x:v>
      </x:c>
      <x:c r="J178" t="str">
        <x:v>False</x:v>
      </x:c>
      <x:c r="K178" t="n">
        <x:v>120</x:v>
      </x:c>
      <x:c r="L178" t="n">
        <x:v>0</x:v>
      </x:c>
      <x:c r="M178" t="n">
        <x:v>0</x:v>
      </x:c>
      <x:c r="N178" t="n">
        <x:v>79.80329</x:v>
      </x:c>
      <x:c r="O178" t="n">
        <x:v>66.4</x:v>
      </x:c>
      <x:c r="P178" t="n">
        <x:v>0</x:v>
      </x:c>
      <x:c r="Q178" t="n">
        <x:v>0</x:v>
      </x:c>
      <x:c r="R178" t="n">
        <x:v>6.32</x:v>
      </x:c>
      <x:c r="S178" t="n">
        <x:v>33.71</x:v>
      </x:c>
      <x:c r="T178" t="str">
        <x:v>https://y.gtimg.cn/music/photo_new/T002R500x500M000001Oqn952HAPRk_1.jpg</x:v>
      </x:c>
      <x:c r="U178" s="24" t="str">
        <x:f>IFERROR(VLOOKUP(I178,'07_字典与参数'!$G$5:$J$9,2,FALSE),"未入选")</x:f>
        <x:v>未入选</x:v>
      </x:c>
      <x:c r="V178" s="24" t="str">
        <x:f>IFERROR(VLOOKUP(I178,'07_字典与参数'!$G$5:$J$9,3,FALSE),"—")</x:f>
        <x:v>—</x:v>
      </x:c>
      <x:c r="W178" s="24" t="str">
        <x:f>IF(U178="未入选","否","是")</x:f>
        <x:v>否</x:v>
      </x:c>
    </x:row>
    <x:row r="179">
      <x:c r="A179" t="n">
        <x:v>202628</x:v>
      </x:c>
      <x:c r="B179" t="str">
        <x:v>第28期（07.13-07.19）</x:v>
      </x:c>
      <x:c r="C179" t="str">
        <x:v>2026-07-13</x:v>
      </x:c>
      <x:c r="D179" t="str">
        <x:v>2026-07-19</x:v>
      </x:c>
      <x:c r="E179" t="n">
        <x:v>175</x:v>
      </x:c>
      <x:c r="F179" t="n">
        <x:v>492018554</x:v>
      </x:c>
      <x:c r="G179" t="str">
        <x:v>别回头 别停留 往前走</x:v>
      </x:c>
      <x:c r="H179" t="str">
        <x:v>Roling7</x:v>
      </x:c>
      <x:c r="I179" t="str">
        <x:v>0041uFyN1vNtlG</x:v>
      </x:c>
      <x:c r="J179" t="str">
        <x:v>False</x:v>
      </x:c>
      <x:c r="K179" t="n">
        <x:v>0</x:v>
      </x:c>
      <x:c r="L179" t="n">
        <x:v>0</x:v>
      </x:c>
      <x:c r="M179" t="n">
        <x:v>0</x:v>
      </x:c>
      <x:c r="N179" t="n">
        <x:v>79.78988</x:v>
      </x:c>
      <x:c r="O179" t="n">
        <x:v>68.52</x:v>
      </x:c>
      <x:c r="P179" t="n">
        <x:v>0</x:v>
      </x:c>
      <x:c r="Q179" t="n">
        <x:v>0</x:v>
      </x:c>
      <x:c r="R179" t="n">
        <x:v>0.26</x:v>
      </x:c>
      <x:c r="S179" t="n">
        <x:v>4.24</x:v>
      </x:c>
      <x:c r="T179" t="str">
        <x:v>https://y.gtimg.cn/music/photo_new/T002R500x500M000004QpH7n0AGTJK_1.jpg</x:v>
      </x:c>
      <x:c r="U179" s="24" t="str">
        <x:f>IFERROR(VLOOKUP(I179,'07_字典与参数'!$G$5:$J$9,2,FALSE),"未入选")</x:f>
        <x:v>未入选</x:v>
      </x:c>
      <x:c r="V179" s="24" t="str">
        <x:f>IFERROR(VLOOKUP(I179,'07_字典与参数'!$G$5:$J$9,3,FALSE),"—")</x:f>
        <x:v>—</x:v>
      </x:c>
      <x:c r="W179" s="24" t="str">
        <x:f>IF(U179="未入选","否","是")</x:f>
        <x:v>否</x:v>
      </x:c>
    </x:row>
    <x:row r="180">
      <x:c r="A180" t="n">
        <x:v>202628</x:v>
      </x:c>
      <x:c r="B180" t="str">
        <x:v>第28期（07.13-07.19）</x:v>
      </x:c>
      <x:c r="C180" t="str">
        <x:v>2026-07-13</x:v>
      </x:c>
      <x:c r="D180" t="str">
        <x:v>2026-07-19</x:v>
      </x:c>
      <x:c r="E180" t="n">
        <x:v>176</x:v>
      </x:c>
      <x:c r="F180" t="n">
        <x:v>531112745</x:v>
      </x:c>
      <x:c r="G180" t="str">
        <x:v>宜居星球</x:v>
      </x:c>
      <x:c r="H180" t="str">
        <x:v>王以太,艾热AIR</x:v>
      </x:c>
      <x:c r="I180" t="str">
        <x:v>0032i8x72N3XLm</x:v>
      </x:c>
      <x:c r="J180" t="str">
        <x:v>False</x:v>
      </x:c>
      <x:c r="K180" t="n">
        <x:v>0</x:v>
      </x:c>
      <x:c r="L180" t="n">
        <x:v>0</x:v>
      </x:c>
      <x:c r="M180" t="n">
        <x:v>0</x:v>
      </x:c>
      <x:c r="N180" t="n">
        <x:v>79.5706</x:v>
      </x:c>
      <x:c r="O180" t="n">
        <x:v>64.51</x:v>
      </x:c>
      <x:c r="P180" t="n">
        <x:v>0</x:v>
      </x:c>
      <x:c r="Q180" t="n">
        <x:v>0</x:v>
      </x:c>
      <x:c r="R180" t="n">
        <x:v>1.08</x:v>
      </x:c>
      <x:c r="S180" t="n">
        <x:v>41.49</x:v>
      </x:c>
      <x:c r="T180" t="str">
        <x:v>https://y.gtimg.cn/music/photo_new/T002R500x500M000000TFXPO1bLY2u_1.jpg</x:v>
      </x:c>
      <x:c r="U180" s="24" t="str">
        <x:f>IFERROR(VLOOKUP(I180,'07_字典与参数'!$G$5:$J$9,2,FALSE),"未入选")</x:f>
        <x:v>未入选</x:v>
      </x:c>
      <x:c r="V180" s="24" t="str">
        <x:f>IFERROR(VLOOKUP(I180,'07_字典与参数'!$G$5:$J$9,3,FALSE),"—")</x:f>
        <x:v>—</x:v>
      </x:c>
      <x:c r="W180" s="24" t="str">
        <x:f>IF(U180="未入选","否","是")</x:f>
        <x:v>否</x:v>
      </x:c>
    </x:row>
    <x:row r="181">
      <x:c r="A181" t="n">
        <x:v>202628</x:v>
      </x:c>
      <x:c r="B181" t="str">
        <x:v>第28期（07.13-07.19）</x:v>
      </x:c>
      <x:c r="C181" t="str">
        <x:v>2026-07-13</x:v>
      </x:c>
      <x:c r="D181" t="str">
        <x:v>2026-07-19</x:v>
      </x:c>
      <x:c r="E181" t="n">
        <x:v>177</x:v>
      </x:c>
      <x:c r="F181" t="n">
        <x:v>490087692</x:v>
      </x:c>
      <x:c r="G181" t="str">
        <x:v>爱多一点点</x:v>
      </x:c>
      <x:c r="H181" t="str">
        <x:v>袁一琦</x:v>
      </x:c>
      <x:c r="I181" t="str">
        <x:v>004ViayW07Gpch</x:v>
      </x:c>
      <x:c r="J181" t="str">
        <x:v>False</x:v>
      </x:c>
      <x:c r="K181" t="n">
        <x:v>104</x:v>
      </x:c>
      <x:c r="L181" t="n">
        <x:v>0</x:v>
      </x:c>
      <x:c r="M181" t="n">
        <x:v>0</x:v>
      </x:c>
      <x:c r="N181" t="n">
        <x:v>79.54207</x:v>
      </x:c>
      <x:c r="O181" t="n">
        <x:v>46.69</x:v>
      </x:c>
      <x:c r="P181" t="n">
        <x:v>0</x:v>
      </x:c>
      <x:c r="Q181" t="n">
        <x:v>0</x:v>
      </x:c>
      <x:c r="R181" t="n">
        <x:v>4.51</x:v>
      </x:c>
      <x:c r="S181" t="n">
        <x:v>51.03</x:v>
      </x:c>
      <x:c r="T181" t="str">
        <x:v>https://y.gtimg.cn/music/photo_new/T002R500x500M000002wr4tt20HERf_2.jpg</x:v>
      </x:c>
      <x:c r="U181" s="24" t="str">
        <x:f>IFERROR(VLOOKUP(I181,'07_字典与参数'!$G$5:$J$9,2,FALSE),"未入选")</x:f>
        <x:v>未入选</x:v>
      </x:c>
      <x:c r="V181" s="24" t="str">
        <x:f>IFERROR(VLOOKUP(I181,'07_字典与参数'!$G$5:$J$9,3,FALSE),"—")</x:f>
        <x:v>—</x:v>
      </x:c>
      <x:c r="W181" s="24" t="str">
        <x:f>IF(U181="未入选","否","是")</x:f>
        <x:v>否</x:v>
      </x:c>
    </x:row>
    <x:row r="182">
      <x:c r="A182" t="n">
        <x:v>202628</x:v>
      </x:c>
      <x:c r="B182" t="str">
        <x:v>第28期（07.13-07.19）</x:v>
      </x:c>
      <x:c r="C182" t="str">
        <x:v>2026-07-13</x:v>
      </x:c>
      <x:c r="D182" t="str">
        <x:v>2026-07-19</x:v>
      </x:c>
      <x:c r="E182" t="n">
        <x:v>178</x:v>
      </x:c>
      <x:c r="F182" t="n">
        <x:v>531452780</x:v>
      </x:c>
      <x:c r="G182" t="str">
        <x:v>我那么爱你怎么说忘就能忘</x:v>
      </x:c>
      <x:c r="H182" t="str">
        <x:v>洋澜一</x:v>
      </x:c>
      <x:c r="I182" t="str">
        <x:v>000dGaDs1MuYfd</x:v>
      </x:c>
      <x:c r="J182" t="str">
        <x:v>False</x:v>
      </x:c>
      <x:c r="K182" t="n">
        <x:v>0</x:v>
      </x:c>
      <x:c r="L182" t="n">
        <x:v>0</x:v>
      </x:c>
      <x:c r="M182" t="n">
        <x:v>0</x:v>
      </x:c>
      <x:c r="N182" t="n">
        <x:v>79.45912</x:v>
      </x:c>
      <x:c r="O182" t="n">
        <x:v>65.2</x:v>
      </x:c>
      <x:c r="P182" t="n">
        <x:v>0</x:v>
      </x:c>
      <x:c r="Q182" t="n">
        <x:v>0</x:v>
      </x:c>
      <x:c r="R182" t="n">
        <x:v>12.42</x:v>
      </x:c>
      <x:c r="S182" t="n">
        <x:v>35.4</x:v>
      </x:c>
      <x:c r="T182" t="str">
        <x:v>https://y.gtimg.cn/music/photo_new/T002R500x500M000000OGtfB3RtxiT_1.jpg</x:v>
      </x:c>
      <x:c r="U182" s="24" t="str">
        <x:f>IFERROR(VLOOKUP(I182,'07_字典与参数'!$G$5:$J$9,2,FALSE),"未入选")</x:f>
        <x:v>未入选</x:v>
      </x:c>
      <x:c r="V182" s="24" t="str">
        <x:f>IFERROR(VLOOKUP(I182,'07_字典与参数'!$G$5:$J$9,3,FALSE),"—")</x:f>
        <x:v>—</x:v>
      </x:c>
      <x:c r="W182" s="24" t="str">
        <x:f>IF(U182="未入选","否","是")</x:f>
        <x:v>否</x:v>
      </x:c>
    </x:row>
    <x:row r="183">
      <x:c r="A183" t="n">
        <x:v>202628</x:v>
      </x:c>
      <x:c r="B183" t="str">
        <x:v>第28期（07.13-07.19）</x:v>
      </x:c>
      <x:c r="C183" t="str">
        <x:v>2026-07-13</x:v>
      </x:c>
      <x:c r="D183" t="str">
        <x:v>2026-07-19</x:v>
      </x:c>
      <x:c r="E183" t="n">
        <x:v>179</x:v>
      </x:c>
      <x:c r="F183" t="n">
        <x:v>480712414</x:v>
      </x:c>
      <x:c r="G183" t="str">
        <x:v>等一个傍晚</x:v>
      </x:c>
      <x:c r="H183" t="str">
        <x:v>叶童</x:v>
      </x:c>
      <x:c r="I183" t="str">
        <x:v>003o1sdo4gdLum</x:v>
      </x:c>
      <x:c r="J183" t="str">
        <x:v>False</x:v>
      </x:c>
      <x:c r="K183" t="n">
        <x:v>158</x:v>
      </x:c>
      <x:c r="L183" t="n">
        <x:v>0</x:v>
      </x:c>
      <x:c r="M183" t="n">
        <x:v>0</x:v>
      </x:c>
      <x:c r="N183" t="n">
        <x:v>79.35615</x:v>
      </x:c>
      <x:c r="O183" t="n">
        <x:v>40.02</x:v>
      </x:c>
      <x:c r="P183" t="n">
        <x:v>0</x:v>
      </x:c>
      <x:c r="Q183" t="n">
        <x:v>0</x:v>
      </x:c>
      <x:c r="R183" t="n">
        <x:v>0.57</x:v>
      </x:c>
      <x:c r="S183" t="n">
        <x:v>51.47</x:v>
      </x:c>
      <x:c r="T183" t="str">
        <x:v>https://y.gtimg.cn/music/photo_new/T002R500x500M0000022HlHt44v4vg_1.jpg</x:v>
      </x:c>
      <x:c r="U183" s="24" t="str">
        <x:f>IFERROR(VLOOKUP(I183,'07_字典与参数'!$G$5:$J$9,2,FALSE),"未入选")</x:f>
        <x:v>未入选</x:v>
      </x:c>
      <x:c r="V183" s="24" t="str">
        <x:f>IFERROR(VLOOKUP(I183,'07_字典与参数'!$G$5:$J$9,3,FALSE),"—")</x:f>
        <x:v>—</x:v>
      </x:c>
      <x:c r="W183" s="24" t="str">
        <x:f>IF(U183="未入选","否","是")</x:f>
        <x:v>否</x:v>
      </x:c>
    </x:row>
    <x:row r="184">
      <x:c r="A184" t="n">
        <x:v>202628</x:v>
      </x:c>
      <x:c r="B184" t="str">
        <x:v>第28期（07.13-07.19）</x:v>
      </x:c>
      <x:c r="C184" t="str">
        <x:v>2026-07-13</x:v>
      </x:c>
      <x:c r="D184" t="str">
        <x:v>2026-07-19</x:v>
      </x:c>
      <x:c r="E184" t="n">
        <x:v>180</x:v>
      </x:c>
      <x:c r="F184" t="n">
        <x:v>532415038</x:v>
      </x:c>
      <x:c r="G184" t="str">
        <x:v>幸福的习惯</x:v>
      </x:c>
      <x:c r="H184" t="str">
        <x:v>李耕耘</x:v>
      </x:c>
      <x:c r="I184" t="str">
        <x:v>003b8vFp2nB2tz</x:v>
      </x:c>
      <x:c r="J184" t="str">
        <x:v>False</x:v>
      </x:c>
      <x:c r="K184" t="n">
        <x:v>0</x:v>
      </x:c>
      <x:c r="L184" t="n">
        <x:v>0</x:v>
      </x:c>
      <x:c r="M184" t="n">
        <x:v>0</x:v>
      </x:c>
      <x:c r="N184" t="n">
        <x:v>79.34519</x:v>
      </x:c>
      <x:c r="O184" t="n">
        <x:v>53.89</x:v>
      </x:c>
      <x:c r="P184" t="n">
        <x:v>0</x:v>
      </x:c>
      <x:c r="Q184" t="n">
        <x:v>0</x:v>
      </x:c>
      <x:c r="R184" t="n">
        <x:v>4.6</x:v>
      </x:c>
      <x:c r="S184" t="n">
        <x:v>49.43</x:v>
      </x:c>
      <x:c r="T184" t="str">
        <x:v>https://y.gtimg.cn/music/photo_new/T002R500x500M000000K31me0RMIwd_1.jpg</x:v>
      </x:c>
      <x:c r="U184" s="24" t="str">
        <x:f>IFERROR(VLOOKUP(I184,'07_字典与参数'!$G$5:$J$9,2,FALSE),"未入选")</x:f>
        <x:v>未入选</x:v>
      </x:c>
      <x:c r="V184" s="24" t="str">
        <x:f>IFERROR(VLOOKUP(I184,'07_字典与参数'!$G$5:$J$9,3,FALSE),"—")</x:f>
        <x:v>—</x:v>
      </x:c>
      <x:c r="W184" s="24" t="str">
        <x:f>IF(U184="未入选","否","是")</x:f>
        <x:v>否</x:v>
      </x:c>
    </x:row>
    <x:row r="185">
      <x:c r="A185" t="n">
        <x:v>202628</x:v>
      </x:c>
      <x:c r="B185" t="str">
        <x:v>第28期（07.13-07.19）</x:v>
      </x:c>
      <x:c r="C185" t="str">
        <x:v>2026-07-13</x:v>
      </x:c>
      <x:c r="D185" t="str">
        <x:v>2026-07-19</x:v>
      </x:c>
      <x:c r="E185" t="n">
        <x:v>181</x:v>
      </x:c>
      <x:c r="F185" t="n">
        <x:v>491362536</x:v>
      </x:c>
      <x:c r="G185" t="str">
        <x:v>撞地球</x:v>
      </x:c>
      <x:c r="H185" t="str">
        <x:v>刘宇宁</x:v>
      </x:c>
      <x:c r="I185" t="str">
        <x:v>002dbfiy0u7BgF</x:v>
      </x:c>
      <x:c r="J185" t="str">
        <x:v>False</x:v>
      </x:c>
      <x:c r="K185" t="n">
        <x:v>174</x:v>
      </x:c>
      <x:c r="L185" t="n">
        <x:v>0</x:v>
      </x:c>
      <x:c r="M185" t="n">
        <x:v>0</x:v>
      </x:c>
      <x:c r="N185" t="n">
        <x:v>79.00397</x:v>
      </x:c>
      <x:c r="O185" t="n">
        <x:v>60.75</x:v>
      </x:c>
      <x:c r="P185" t="n">
        <x:v>0</x:v>
      </x:c>
      <x:c r="Q185" t="n">
        <x:v>0</x:v>
      </x:c>
      <x:c r="R185" t="n">
        <x:v>6.18</x:v>
      </x:c>
      <x:c r="S185" t="n">
        <x:v>44.77</x:v>
      </x:c>
      <x:c r="T185" t="str">
        <x:v>https://y.gtimg.cn/music/photo_new/T002R500x500M000000pBsrn0IgUVR_1.jpg</x:v>
      </x:c>
      <x:c r="U185" s="24" t="str">
        <x:f>IFERROR(VLOOKUP(I185,'07_字典与参数'!$G$5:$J$9,2,FALSE),"未入选")</x:f>
        <x:v>未入选</x:v>
      </x:c>
      <x:c r="V185" s="24" t="str">
        <x:f>IFERROR(VLOOKUP(I185,'07_字典与参数'!$G$5:$J$9,3,FALSE),"—")</x:f>
        <x:v>—</x:v>
      </x:c>
      <x:c r="W185" s="24" t="str">
        <x:f>IF(U185="未入选","否","是")</x:f>
        <x:v>否</x:v>
      </x:c>
    </x:row>
    <x:row r="186">
      <x:c r="A186" t="n">
        <x:v>202628</x:v>
      </x:c>
      <x:c r="B186" t="str">
        <x:v>第28期（07.13-07.19）</x:v>
      </x:c>
      <x:c r="C186" t="str">
        <x:v>2026-07-13</x:v>
      </x:c>
      <x:c r="D186" t="str">
        <x:v>2026-07-19</x:v>
      </x:c>
      <x:c r="E186" t="n">
        <x:v>182</x:v>
      </x:c>
      <x:c r="F186" t="n">
        <x:v>531090367</x:v>
      </x:c>
      <x:c r="G186" t="str">
        <x:v>怜心</x:v>
      </x:c>
      <x:c r="H186" t="str">
        <x:v>黄霄雲</x:v>
      </x:c>
      <x:c r="I186" t="str">
        <x:v>002nb6R72hJmXD</x:v>
      </x:c>
      <x:c r="J186" t="str">
        <x:v>False</x:v>
      </x:c>
      <x:c r="K186" t="n">
        <x:v>0</x:v>
      </x:c>
      <x:c r="L186" t="n">
        <x:v>0</x:v>
      </x:c>
      <x:c r="M186" t="n">
        <x:v>0</x:v>
      </x:c>
      <x:c r="N186" t="n">
        <x:v>78.84202</x:v>
      </x:c>
      <x:c r="O186" t="n">
        <x:v>63.71</x:v>
      </x:c>
      <x:c r="P186" t="n">
        <x:v>0</x:v>
      </x:c>
      <x:c r="Q186" t="n">
        <x:v>0</x:v>
      </x:c>
      <x:c r="R186" t="n">
        <x:v>15.29</x:v>
      </x:c>
      <x:c r="S186" t="n">
        <x:v>38.43</x:v>
      </x:c>
      <x:c r="T186" t="str">
        <x:v>https://y.qq.com/music/photo_new/T062R500x500M000001xatkY0tMILg.jpg</x:v>
      </x:c>
      <x:c r="U186" s="24" t="str">
        <x:f>IFERROR(VLOOKUP(I186,'07_字典与参数'!$G$5:$J$9,2,FALSE),"未入选")</x:f>
        <x:v>未入选</x:v>
      </x:c>
      <x:c r="V186" s="24" t="str">
        <x:f>IFERROR(VLOOKUP(I186,'07_字典与参数'!$G$5:$J$9,3,FALSE),"—")</x:f>
        <x:v>—</x:v>
      </x:c>
      <x:c r="W186" s="24" t="str">
        <x:f>IF(U186="未入选","否","是")</x:f>
        <x:v>否</x:v>
      </x:c>
    </x:row>
    <x:row r="187">
      <x:c r="A187" t="n">
        <x:v>202628</x:v>
      </x:c>
      <x:c r="B187" t="str">
        <x:v>第28期（07.13-07.19）</x:v>
      </x:c>
      <x:c r="C187" t="str">
        <x:v>2026-07-13</x:v>
      </x:c>
      <x:c r="D187" t="str">
        <x:v>2026-07-19</x:v>
      </x:c>
      <x:c r="E187" t="n">
        <x:v>183</x:v>
      </x:c>
      <x:c r="F187" t="n">
        <x:v>530553254</x:v>
      </x:c>
      <x:c r="G187" t="str">
        <x:v>花影</x:v>
      </x:c>
      <x:c r="H187" t="str">
        <x:v>希林娜依高</x:v>
      </x:c>
      <x:c r="I187" t="str">
        <x:v>000tGuBc2RFkzM</x:v>
      </x:c>
      <x:c r="J187" t="str">
        <x:v>False</x:v>
      </x:c>
      <x:c r="K187" t="n">
        <x:v>0</x:v>
      </x:c>
      <x:c r="L187" t="n">
        <x:v>0</x:v>
      </x:c>
      <x:c r="M187" t="n">
        <x:v>0</x:v>
      </x:c>
      <x:c r="N187" t="n">
        <x:v>78.82577</x:v>
      </x:c>
      <x:c r="O187" t="n">
        <x:v>51.75</x:v>
      </x:c>
      <x:c r="P187" t="n">
        <x:v>0</x:v>
      </x:c>
      <x:c r="Q187" t="n">
        <x:v>0</x:v>
      </x:c>
      <x:c r="R187" t="n">
        <x:v>30.12</x:v>
      </x:c>
      <x:c r="S187" t="n">
        <x:v>45.79</x:v>
      </x:c>
      <x:c r="T187" t="str">
        <x:v>https://y.qq.com/music/photo_new/T062R500x500M000002bY92z2j6X0u.jpg</x:v>
      </x:c>
      <x:c r="U187" s="24" t="str">
        <x:f>IFERROR(VLOOKUP(I187,'07_字典与参数'!$G$5:$J$9,2,FALSE),"未入选")</x:f>
        <x:v>未入选</x:v>
      </x:c>
      <x:c r="V187" s="24" t="str">
        <x:f>IFERROR(VLOOKUP(I187,'07_字典与参数'!$G$5:$J$9,3,FALSE),"—")</x:f>
        <x:v>—</x:v>
      </x:c>
      <x:c r="W187" s="24" t="str">
        <x:f>IF(U187="未入选","否","是")</x:f>
        <x:v>否</x:v>
      </x:c>
    </x:row>
    <x:row r="188">
      <x:c r="A188" t="n">
        <x:v>202628</x:v>
      </x:c>
      <x:c r="B188" t="str">
        <x:v>第28期（07.13-07.19）</x:v>
      </x:c>
      <x:c r="C188" t="str">
        <x:v>2026-07-13</x:v>
      </x:c>
      <x:c r="D188" t="str">
        <x:v>2026-07-19</x:v>
      </x:c>
      <x:c r="E188" t="n">
        <x:v>184</x:v>
      </x:c>
      <x:c r="F188" t="n">
        <x:v>516829621</x:v>
      </x:c>
      <x:c r="G188" t="str">
        <x:v>定玄</x:v>
      </x:c>
      <x:c r="H188" t="str">
        <x:v>鸣潮先约电台,黄霄雲,杨秉音</x:v>
      </x:c>
      <x:c r="I188" t="str">
        <x:v>001XB38U0c31Hk</x:v>
      </x:c>
      <x:c r="J188" t="str">
        <x:v>False</x:v>
      </x:c>
      <x:c r="K188" t="n">
        <x:v>147</x:v>
      </x:c>
      <x:c r="L188" t="n">
        <x:v>0</x:v>
      </x:c>
      <x:c r="M188" t="n">
        <x:v>0</x:v>
      </x:c>
      <x:c r="N188" t="n">
        <x:v>78.79131</x:v>
      </x:c>
      <x:c r="O188" t="n">
        <x:v>64.62</x:v>
      </x:c>
      <x:c r="P188" t="n">
        <x:v>0</x:v>
      </x:c>
      <x:c r="Q188" t="n">
        <x:v>0</x:v>
      </x:c>
      <x:c r="R188" t="n">
        <x:v>1.34</x:v>
      </x:c>
      <x:c r="S188" t="n">
        <x:v>39.6</x:v>
      </x:c>
      <x:c r="T188" t="str">
        <x:v>https://y.gtimg.cn/music/photo_new/T002R500x500M00000087mKB1xbyP2_1.jpg</x:v>
      </x:c>
      <x:c r="U188" s="24" t="str">
        <x:f>IFERROR(VLOOKUP(I188,'07_字典与参数'!$G$5:$J$9,2,FALSE),"未入选")</x:f>
        <x:v>未入选</x:v>
      </x:c>
      <x:c r="V188" s="24" t="str">
        <x:f>IFERROR(VLOOKUP(I188,'07_字典与参数'!$G$5:$J$9,3,FALSE),"—")</x:f>
        <x:v>—</x:v>
      </x:c>
      <x:c r="W188" s="24" t="str">
        <x:f>IF(U188="未入选","否","是")</x:f>
        <x:v>否</x:v>
      </x:c>
    </x:row>
    <x:row r="189">
      <x:c r="A189" t="n">
        <x:v>202628</x:v>
      </x:c>
      <x:c r="B189" t="str">
        <x:v>第28期（07.13-07.19）</x:v>
      </x:c>
      <x:c r="C189" t="str">
        <x:v>2026-07-13</x:v>
      </x:c>
      <x:c r="D189" t="str">
        <x:v>2026-07-19</x:v>
      </x:c>
      <x:c r="E189" t="n">
        <x:v>185</x:v>
      </x:c>
      <x:c r="F189" t="n">
        <x:v>493167498</x:v>
      </x:c>
      <x:c r="G189" t="str">
        <x:v>着火的沉默世界</x:v>
      </x:c>
      <x:c r="H189" t="str">
        <x:v>鞠婧祎</x:v>
      </x:c>
      <x:c r="I189" t="str">
        <x:v>001hEuIs1wa2cl</x:v>
      </x:c>
      <x:c r="J189" t="str">
        <x:v>False</x:v>
      </x:c>
      <x:c r="K189" t="n">
        <x:v>181</x:v>
      </x:c>
      <x:c r="L189" t="n">
        <x:v>0</x:v>
      </x:c>
      <x:c r="M189" t="n">
        <x:v>0</x:v>
      </x:c>
      <x:c r="N189" t="n">
        <x:v>78.75923</x:v>
      </x:c>
      <x:c r="O189" t="n">
        <x:v>58.53</x:v>
      </x:c>
      <x:c r="P189" t="n">
        <x:v>0</x:v>
      </x:c>
      <x:c r="Q189" t="n">
        <x:v>0</x:v>
      </x:c>
      <x:c r="R189" t="n">
        <x:v>2.78</x:v>
      </x:c>
      <x:c r="S189" t="n">
        <x:v>46.34</x:v>
      </x:c>
      <x:c r="T189" t="str">
        <x:v>https://y.gtimg.cn/music/photo_new/T002R500x500M000004KDXGi1hJ81f_1.jpg</x:v>
      </x:c>
      <x:c r="U189" s="24" t="str">
        <x:f>IFERROR(VLOOKUP(I189,'07_字典与参数'!$G$5:$J$9,2,FALSE),"未入选")</x:f>
        <x:v>未入选</x:v>
      </x:c>
      <x:c r="V189" s="24" t="str">
        <x:f>IFERROR(VLOOKUP(I189,'07_字典与参数'!$G$5:$J$9,3,FALSE),"—")</x:f>
        <x:v>—</x:v>
      </x:c>
      <x:c r="W189" s="24" t="str">
        <x:f>IF(U189="未入选","否","是")</x:f>
        <x:v>否</x:v>
      </x:c>
    </x:row>
    <x:row r="190">
      <x:c r="A190" t="n">
        <x:v>202628</x:v>
      </x:c>
      <x:c r="B190" t="str">
        <x:v>第28期（07.13-07.19）</x:v>
      </x:c>
      <x:c r="C190" t="str">
        <x:v>2026-07-13</x:v>
      </x:c>
      <x:c r="D190" t="str">
        <x:v>2026-07-19</x:v>
      </x:c>
      <x:c r="E190" t="n">
        <x:v>186</x:v>
      </x:c>
      <x:c r="F190" t="n">
        <x:v>489778705</x:v>
      </x:c>
      <x:c r="G190" t="str">
        <x:v>Come What May</x:v>
      </x:c>
      <x:c r="H190" t="str">
        <x:v>王力宏</x:v>
      </x:c>
      <x:c r="I190" t="str">
        <x:v>00228bN72yDnTM</x:v>
      </x:c>
      <x:c r="J190" t="str">
        <x:v>False</x:v>
      </x:c>
      <x:c r="K190" t="n">
        <x:v>151</x:v>
      </x:c>
      <x:c r="L190" t="n">
        <x:v>0</x:v>
      </x:c>
      <x:c r="M190" t="n">
        <x:v>0</x:v>
      </x:c>
      <x:c r="N190" t="n">
        <x:v>78.73368</x:v>
      </x:c>
      <x:c r="O190" t="n">
        <x:v>63.54</x:v>
      </x:c>
      <x:c r="P190" t="n">
        <x:v>0</x:v>
      </x:c>
      <x:c r="Q190" t="n">
        <x:v>0</x:v>
      </x:c>
      <x:c r="R190" t="n">
        <x:v>11.46</x:v>
      </x:c>
      <x:c r="S190" t="n">
        <x:v>40.16</x:v>
      </x:c>
      <x:c r="T190" t="str">
        <x:v>https://y.gtimg.cn/music/photo_new/T002R500x500M000000S79v91L2U6W_1.jpg</x:v>
      </x:c>
      <x:c r="U190" s="24" t="str">
        <x:f>IFERROR(VLOOKUP(I190,'07_字典与参数'!$G$5:$J$9,2,FALSE),"未入选")</x:f>
        <x:v>未入选</x:v>
      </x:c>
      <x:c r="V190" s="24" t="str">
        <x:f>IFERROR(VLOOKUP(I190,'07_字典与参数'!$G$5:$J$9,3,FALSE),"—")</x:f>
        <x:v>—</x:v>
      </x:c>
      <x:c r="W190" s="24" t="str">
        <x:f>IF(U190="未入选","否","是")</x:f>
        <x:v>否</x:v>
      </x:c>
    </x:row>
    <x:row r="191">
      <x:c r="A191" t="n">
        <x:v>202628</x:v>
      </x:c>
      <x:c r="B191" t="str">
        <x:v>第28期（07.13-07.19）</x:v>
      </x:c>
      <x:c r="C191" t="str">
        <x:v>2026-07-13</x:v>
      </x:c>
      <x:c r="D191" t="str">
        <x:v>2026-07-19</x:v>
      </x:c>
      <x:c r="E191" t="n">
        <x:v>187</x:v>
      </x:c>
      <x:c r="F191" t="n">
        <x:v>498152992</x:v>
      </x:c>
      <x:c r="G191" t="str">
        <x:v>一吻天荒</x:v>
      </x:c>
      <x:c r="H191" t="str">
        <x:v>刘宇</x:v>
      </x:c>
      <x:c r="I191" t="str">
        <x:v>000Zm0uH3HsqjG</x:v>
      </x:c>
      <x:c r="J191" t="str">
        <x:v>False</x:v>
      </x:c>
      <x:c r="K191" t="n">
        <x:v>155</x:v>
      </x:c>
      <x:c r="L191" t="n">
        <x:v>0</x:v>
      </x:c>
      <x:c r="M191" t="n">
        <x:v>0</x:v>
      </x:c>
      <x:c r="N191" t="n">
        <x:v>78.63914</x:v>
      </x:c>
      <x:c r="O191" t="n">
        <x:v>60.34</x:v>
      </x:c>
      <x:c r="P191" t="n">
        <x:v>0</x:v>
      </x:c>
      <x:c r="Q191" t="n">
        <x:v>0</x:v>
      </x:c>
      <x:c r="R191" t="n">
        <x:v>24.33</x:v>
      </x:c>
      <x:c r="S191" t="n">
        <x:v>42.3</x:v>
      </x:c>
      <x:c r="T191" t="str">
        <x:v>https://y.gtimg.cn/music/photo_new/T002R500x500M000003axFOy39cIHM_1.jpg</x:v>
      </x:c>
      <x:c r="U191" s="24" t="str">
        <x:f>IFERROR(VLOOKUP(I191,'07_字典与参数'!$G$5:$J$9,2,FALSE),"未入选")</x:f>
        <x:v>未入选</x:v>
      </x:c>
      <x:c r="V191" s="24" t="str">
        <x:f>IFERROR(VLOOKUP(I191,'07_字典与参数'!$G$5:$J$9,3,FALSE),"—")</x:f>
        <x:v>—</x:v>
      </x:c>
      <x:c r="W191" s="24" t="str">
        <x:f>IF(U191="未入选","否","是")</x:f>
        <x:v>否</x:v>
      </x:c>
    </x:row>
    <x:row r="192">
      <x:c r="A192" t="n">
        <x:v>202628</x:v>
      </x:c>
      <x:c r="B192" t="str">
        <x:v>第28期（07.13-07.19）</x:v>
      </x:c>
      <x:c r="C192" t="str">
        <x:v>2026-07-13</x:v>
      </x:c>
      <x:c r="D192" t="str">
        <x:v>2026-07-19</x:v>
      </x:c>
      <x:c r="E192" t="n">
        <x:v>188</x:v>
      </x:c>
      <x:c r="F192" t="n">
        <x:v>518586456</x:v>
      </x:c>
      <x:c r="G192" t="str">
        <x:v>葡萄未熟时</x:v>
      </x:c>
      <x:c r="H192" t="str">
        <x:v>鱼蛋</x:v>
      </x:c>
      <x:c r="I192" t="str">
        <x:v>001oKmnC1iDY1h</x:v>
      </x:c>
      <x:c r="J192" t="str">
        <x:v>False</x:v>
      </x:c>
      <x:c r="K192" t="n">
        <x:v>0</x:v>
      </x:c>
      <x:c r="L192" t="n">
        <x:v>0</x:v>
      </x:c>
      <x:c r="M192" t="n">
        <x:v>0</x:v>
      </x:c>
      <x:c r="N192" t="n">
        <x:v>78.46711</x:v>
      </x:c>
      <x:c r="O192" t="n">
        <x:v>66.52</x:v>
      </x:c>
      <x:c r="P192" t="n">
        <x:v>0</x:v>
      </x:c>
      <x:c r="Q192" t="n">
        <x:v>0</x:v>
      </x:c>
      <x:c r="R192" t="n">
        <x:v>1.09</x:v>
      </x:c>
      <x:c r="S192" t="n">
        <x:v>6.62</x:v>
      </x:c>
      <x:c r="T192" t="str">
        <x:v>https://y.gtimg.cn/music/photo_new/T002R500x500M000000ok8ad0muMTX_1.jpg</x:v>
      </x:c>
      <x:c r="U192" s="24" t="str">
        <x:f>IFERROR(VLOOKUP(I192,'07_字典与参数'!$G$5:$J$9,2,FALSE),"未入选")</x:f>
        <x:v>未入选</x:v>
      </x:c>
      <x:c r="V192" s="24" t="str">
        <x:f>IFERROR(VLOOKUP(I192,'07_字典与参数'!$G$5:$J$9,3,FALSE),"—")</x:f>
        <x:v>—</x:v>
      </x:c>
      <x:c r="W192" s="24" t="str">
        <x:f>IF(U192="未入选","否","是")</x:f>
        <x:v>否</x:v>
      </x:c>
    </x:row>
    <x:row r="193">
      <x:c r="A193" t="n">
        <x:v>202628</x:v>
      </x:c>
      <x:c r="B193" t="str">
        <x:v>第28期（07.13-07.19）</x:v>
      </x:c>
      <x:c r="C193" t="str">
        <x:v>2026-07-13</x:v>
      </x:c>
      <x:c r="D193" t="str">
        <x:v>2026-07-19</x:v>
      </x:c>
      <x:c r="E193" t="n">
        <x:v>189</x:v>
      </x:c>
      <x:c r="F193" t="n">
        <x:v>513303547</x:v>
      </x:c>
      <x:c r="G193" t="str">
        <x:v>讨厌爱上了你</x:v>
      </x:c>
      <x:c r="H193" t="str">
        <x:v>音乐文件夹</x:v>
      </x:c>
      <x:c r="I193" t="str">
        <x:v>00485hz43n7xzV</x:v>
      </x:c>
      <x:c r="J193" t="str">
        <x:v>False</x:v>
      </x:c>
      <x:c r="K193" t="n">
        <x:v>0</x:v>
      </x:c>
      <x:c r="L193" t="n">
        <x:v>0</x:v>
      </x:c>
      <x:c r="M193" t="n">
        <x:v>0</x:v>
      </x:c>
      <x:c r="N193" t="n">
        <x:v>78.44257</x:v>
      </x:c>
      <x:c r="O193" t="n">
        <x:v>65.96</x:v>
      </x:c>
      <x:c r="P193" t="n">
        <x:v>0</x:v>
      </x:c>
      <x:c r="Q193" t="n">
        <x:v>0</x:v>
      </x:c>
      <x:c r="R193" t="n">
        <x:v>7.43</x:v>
      </x:c>
      <x:c r="S193" t="n">
        <x:v>7.18</x:v>
      </x:c>
      <x:c r="T193" t="str">
        <x:v>https://y.gtimg.cn/music/photo_new/T002R500x500M00000045ynD268Z4g_1.jpg</x:v>
      </x:c>
      <x:c r="U193" s="24" t="str">
        <x:f>IFERROR(VLOOKUP(I193,'07_字典与参数'!$G$5:$J$9,2,FALSE),"未入选")</x:f>
        <x:v>未入选</x:v>
      </x:c>
      <x:c r="V193" s="24" t="str">
        <x:f>IFERROR(VLOOKUP(I193,'07_字典与参数'!$G$5:$J$9,3,FALSE),"—")</x:f>
        <x:v>—</x:v>
      </x:c>
      <x:c r="W193" s="24" t="str">
        <x:f>IF(U193="未入选","否","是")</x:f>
        <x:v>否</x:v>
      </x:c>
    </x:row>
    <x:row r="194">
      <x:c r="A194" t="n">
        <x:v>202628</x:v>
      </x:c>
      <x:c r="B194" t="str">
        <x:v>第28期（07.13-07.19）</x:v>
      </x:c>
      <x:c r="C194" t="str">
        <x:v>2026-07-13</x:v>
      </x:c>
      <x:c r="D194" t="str">
        <x:v>2026-07-19</x:v>
      </x:c>
      <x:c r="E194" t="n">
        <x:v>190</x:v>
      </x:c>
      <x:c r="F194" t="n">
        <x:v>532404571</x:v>
      </x:c>
      <x:c r="G194" t="str">
        <x:v>可以不难过</x:v>
      </x:c>
      <x:c r="H194" t="str">
        <x:v>海来阿木</x:v>
      </x:c>
      <x:c r="I194" t="str">
        <x:v>003GvjEH1LmVDt</x:v>
      </x:c>
      <x:c r="J194" t="str">
        <x:v>False</x:v>
      </x:c>
      <x:c r="K194" t="n">
        <x:v>0</x:v>
      </x:c>
      <x:c r="L194" t="n">
        <x:v>0</x:v>
      </x:c>
      <x:c r="M194" t="n">
        <x:v>0</x:v>
      </x:c>
      <x:c r="N194" t="n">
        <x:v>78.43231</x:v>
      </x:c>
      <x:c r="O194" t="n">
        <x:v>62.22</x:v>
      </x:c>
      <x:c r="P194" t="n">
        <x:v>0</x:v>
      </x:c>
      <x:c r="Q194" t="n">
        <x:v>0</x:v>
      </x:c>
      <x:c r="R194" t="n">
        <x:v>9.63</x:v>
      </x:c>
      <x:c r="S194" t="n">
        <x:v>41.51</x:v>
      </x:c>
      <x:c r="T194" t="str">
        <x:v>https://y.gtimg.cn/music/photo_new/T002R500x500M0000040CKrS34xIYd_3.jpg</x:v>
      </x:c>
      <x:c r="U194" s="24" t="str">
        <x:f>IFERROR(VLOOKUP(I194,'07_字典与参数'!$G$5:$J$9,2,FALSE),"未入选")</x:f>
        <x:v>未入选</x:v>
      </x:c>
      <x:c r="V194" s="24" t="str">
        <x:f>IFERROR(VLOOKUP(I194,'07_字典与参数'!$G$5:$J$9,3,FALSE),"—")</x:f>
        <x:v>—</x:v>
      </x:c>
      <x:c r="W194" s="24" t="str">
        <x:f>IF(U194="未入选","否","是")</x:f>
        <x:v>否</x:v>
      </x:c>
    </x:row>
    <x:row r="195">
      <x:c r="A195" t="n">
        <x:v>202628</x:v>
      </x:c>
      <x:c r="B195" t="str">
        <x:v>第28期（07.13-07.19）</x:v>
      </x:c>
      <x:c r="C195" t="str">
        <x:v>2026-07-13</x:v>
      </x:c>
      <x:c r="D195" t="str">
        <x:v>2026-07-19</x:v>
      </x:c>
      <x:c r="E195" t="n">
        <x:v>191</x:v>
      </x:c>
      <x:c r="F195" t="n">
        <x:v>526444959</x:v>
      </x:c>
      <x:c r="G195" t="str">
        <x:v>风又吹了多少遍</x:v>
      </x:c>
      <x:c r="H195" t="str">
        <x:v>花姐</x:v>
      </x:c>
      <x:c r="I195" t="str">
        <x:v>003Ot6eA1UzOL5</x:v>
      </x:c>
      <x:c r="J195" t="str">
        <x:v>False</x:v>
      </x:c>
      <x:c r="K195" t="n">
        <x:v>163</x:v>
      </x:c>
      <x:c r="L195" t="n">
        <x:v>0</x:v>
      </x:c>
      <x:c r="M195" t="n">
        <x:v>0</x:v>
      </x:c>
      <x:c r="N195" t="n">
        <x:v>78.41515</x:v>
      </x:c>
      <x:c r="O195" t="n">
        <x:v>65.04</x:v>
      </x:c>
      <x:c r="P195" t="n">
        <x:v>0</x:v>
      </x:c>
      <x:c r="Q195" t="n">
        <x:v>0</x:v>
      </x:c>
      <x:c r="R195" t="n">
        <x:v>5.98</x:v>
      </x:c>
      <x:c r="S195" t="n">
        <x:v>28.93</x:v>
      </x:c>
      <x:c r="T195" t="str">
        <x:v>https://y.gtimg.cn/music/photo_new/T002R500x500M0000014ZYl33DD9Gm_1.jpg</x:v>
      </x:c>
      <x:c r="U195" s="24" t="str">
        <x:f>IFERROR(VLOOKUP(I195,'07_字典与参数'!$G$5:$J$9,2,FALSE),"未入选")</x:f>
        <x:v>未入选</x:v>
      </x:c>
      <x:c r="V195" s="24" t="str">
        <x:f>IFERROR(VLOOKUP(I195,'07_字典与参数'!$G$5:$J$9,3,FALSE),"—")</x:f>
        <x:v>—</x:v>
      </x:c>
      <x:c r="W195" s="24" t="str">
        <x:f>IF(U195="未入选","否","是")</x:f>
        <x:v>否</x:v>
      </x:c>
    </x:row>
    <x:row r="196">
      <x:c r="A196" t="n">
        <x:v>202628</x:v>
      </x:c>
      <x:c r="B196" t="str">
        <x:v>第28期（07.13-07.19）</x:v>
      </x:c>
      <x:c r="C196" t="str">
        <x:v>2026-07-13</x:v>
      </x:c>
      <x:c r="D196" t="str">
        <x:v>2026-07-19</x:v>
      </x:c>
      <x:c r="E196" t="n">
        <x:v>192</x:v>
      </x:c>
      <x:c r="F196" t="n">
        <x:v>491206570</x:v>
      </x:c>
      <x:c r="G196" t="str">
        <x:v>不再回头</x:v>
      </x:c>
      <x:c r="H196" t="str">
        <x:v>付豪</x:v>
      </x:c>
      <x:c r="I196" t="str">
        <x:v>003N7hJM4TsWfw</x:v>
      </x:c>
      <x:c r="J196" t="str">
        <x:v>False</x:v>
      </x:c>
      <x:c r="K196" t="n">
        <x:v>157</x:v>
      </x:c>
      <x:c r="L196" t="n">
        <x:v>0</x:v>
      </x:c>
      <x:c r="M196" t="n">
        <x:v>0</x:v>
      </x:c>
      <x:c r="N196" t="n">
        <x:v>78.37175</x:v>
      </x:c>
      <x:c r="O196" t="n">
        <x:v>65.47</x:v>
      </x:c>
      <x:c r="P196" t="n">
        <x:v>0</x:v>
      </x:c>
      <x:c r="Q196" t="n">
        <x:v>0</x:v>
      </x:c>
      <x:c r="R196" t="n">
        <x:v>9.14</x:v>
      </x:c>
      <x:c r="S196" t="n">
        <x:v>14.88</x:v>
      </x:c>
      <x:c r="T196" t="str">
        <x:v>https://y.gtimg.cn/music/photo_new/T002R500x500M00000255on64euYQH_2.jpg</x:v>
      </x:c>
      <x:c r="U196" s="24" t="str">
        <x:f>IFERROR(VLOOKUP(I196,'07_字典与参数'!$G$5:$J$9,2,FALSE),"未入选")</x:f>
        <x:v>未入选</x:v>
      </x:c>
      <x:c r="V196" s="24" t="str">
        <x:f>IFERROR(VLOOKUP(I196,'07_字典与参数'!$G$5:$J$9,3,FALSE),"—")</x:f>
        <x:v>—</x:v>
      </x:c>
      <x:c r="W196" s="24" t="str">
        <x:f>IF(U196="未入选","否","是")</x:f>
        <x:v>否</x:v>
      </x:c>
    </x:row>
    <x:row r="197">
      <x:c r="A197" t="n">
        <x:v>202628</x:v>
      </x:c>
      <x:c r="B197" t="str">
        <x:v>第28期（07.13-07.19）</x:v>
      </x:c>
      <x:c r="C197" t="str">
        <x:v>2026-07-13</x:v>
      </x:c>
      <x:c r="D197" t="str">
        <x:v>2026-07-19</x:v>
      </x:c>
      <x:c r="E197" t="n">
        <x:v>193</x:v>
      </x:c>
      <x:c r="F197" t="n">
        <x:v>511392343</x:v>
      </x:c>
      <x:c r="G197" t="str">
        <x:v>Crazy Love</x:v>
      </x:c>
      <x:c r="H197" t="str">
        <x:v>王以太,艾热AIR</x:v>
      </x:c>
      <x:c r="I197" t="str">
        <x:v>0029YomQ2cOgCi</x:v>
      </x:c>
      <x:c r="J197" t="str">
        <x:v>False</x:v>
      </x:c>
      <x:c r="K197" t="n">
        <x:v>0</x:v>
      </x:c>
      <x:c r="L197" t="n">
        <x:v>0</x:v>
      </x:c>
      <x:c r="M197" t="n">
        <x:v>0</x:v>
      </x:c>
      <x:c r="N197" t="n">
        <x:v>78.36458</x:v>
      </x:c>
      <x:c r="O197" t="n">
        <x:v>65.03</x:v>
      </x:c>
      <x:c r="P197" t="n">
        <x:v>0</x:v>
      </x:c>
      <x:c r="Q197" t="n">
        <x:v>0</x:v>
      </x:c>
      <x:c r="R197" t="n">
        <x:v>5.61</x:v>
      </x:c>
      <x:c r="S197" t="n">
        <x:v>28.49</x:v>
      </x:c>
      <x:c r="T197" t="str">
        <x:v>https://y.gtimg.cn/music/photo_new/T002R500x500M000000TFXPO1bLY2u_1.jpg</x:v>
      </x:c>
      <x:c r="U197" s="24" t="str">
        <x:f>IFERROR(VLOOKUP(I197,'07_字典与参数'!$G$5:$J$9,2,FALSE),"未入选")</x:f>
        <x:v>未入选</x:v>
      </x:c>
      <x:c r="V197" s="24" t="str">
        <x:f>IFERROR(VLOOKUP(I197,'07_字典与参数'!$G$5:$J$9,3,FALSE),"—")</x:f>
        <x:v>—</x:v>
      </x:c>
      <x:c r="W197" s="24" t="str">
        <x:f>IF(U197="未入选","否","是")</x:f>
        <x:v>否</x:v>
      </x:c>
    </x:row>
    <x:row r="198">
      <x:c r="A198" t="n">
        <x:v>202628</x:v>
      </x:c>
      <x:c r="B198" t="str">
        <x:v>第28期（07.13-07.19）</x:v>
      </x:c>
      <x:c r="C198" t="str">
        <x:v>2026-07-13</x:v>
      </x:c>
      <x:c r="D198" t="str">
        <x:v>2026-07-19</x:v>
      </x:c>
      <x:c r="E198" t="n">
        <x:v>194</x:v>
      </x:c>
      <x:c r="F198" t="n">
        <x:v>515804610</x:v>
      </x:c>
      <x:c r="G198" t="str">
        <x:v>BEAT</x:v>
      </x:c>
      <x:c r="H198" t="str">
        <x:v>V8,Vernon,徐明浩</x:v>
      </x:c>
      <x:c r="I198" t="str">
        <x:v>001dAF572GXHCS</x:v>
      </x:c>
      <x:c r="J198" t="str">
        <x:v>False</x:v>
      </x:c>
      <x:c r="K198" t="n">
        <x:v>119</x:v>
      </x:c>
      <x:c r="L198" t="n">
        <x:v>0</x:v>
      </x:c>
      <x:c r="M198" t="n">
        <x:v>0</x:v>
      </x:c>
      <x:c r="N198" t="n">
        <x:v>78.35711</x:v>
      </x:c>
      <x:c r="O198" t="n">
        <x:v>53.6</x:v>
      </x:c>
      <x:c r="P198" t="n">
        <x:v>0</x:v>
      </x:c>
      <x:c r="Q198" t="n">
        <x:v>0</x:v>
      </x:c>
      <x:c r="R198" t="n">
        <x:v>42.66</x:v>
      </x:c>
      <x:c r="S198" t="n">
        <x:v>22.82</x:v>
      </x:c>
      <x:c r="T198" t="str">
        <x:v>https://y.gtimg.cn/music/photo_new/T002R500x500M000000rDsrP3UzzFm_1.jpg</x:v>
      </x:c>
      <x:c r="U198" s="24" t="str">
        <x:f>IFERROR(VLOOKUP(I198,'07_字典与参数'!$G$5:$J$9,2,FALSE),"未入选")</x:f>
        <x:v>未入选</x:v>
      </x:c>
      <x:c r="V198" s="24" t="str">
        <x:f>IFERROR(VLOOKUP(I198,'07_字典与参数'!$G$5:$J$9,3,FALSE),"—")</x:f>
        <x:v>—</x:v>
      </x:c>
      <x:c r="W198" s="24" t="str">
        <x:f>IF(U198="未入选","否","是")</x:f>
        <x:v>否</x:v>
      </x:c>
    </x:row>
    <x:row r="199">
      <x:c r="A199" t="n">
        <x:v>202628</x:v>
      </x:c>
      <x:c r="B199" t="str">
        <x:v>第28期（07.13-07.19）</x:v>
      </x:c>
      <x:c r="C199" t="str">
        <x:v>2026-07-13</x:v>
      </x:c>
      <x:c r="D199" t="str">
        <x:v>2026-07-19</x:v>
      </x:c>
      <x:c r="E199" t="n">
        <x:v>195</x:v>
      </x:c>
      <x:c r="F199" t="n">
        <x:v>511757784</x:v>
      </x:c>
      <x:c r="G199" t="str">
        <x:v>亲爱的你，好久不见</x:v>
      </x:c>
      <x:c r="H199" t="str">
        <x:v>黄子弘凡,黄霄雲,孙楠,谭松韵,王铮亮,杨丞琳,姚晓棠,曾舜晞</x:v>
      </x:c>
      <x:c r="I199" t="str">
        <x:v>00357t7Q2cECO8</x:v>
      </x:c>
      <x:c r="J199" t="str">
        <x:v>False</x:v>
      </x:c>
      <x:c r="K199" t="n">
        <x:v>0</x:v>
      </x:c>
      <x:c r="L199" t="n">
        <x:v>0</x:v>
      </x:c>
      <x:c r="M199" t="n">
        <x:v>0</x:v>
      </x:c>
      <x:c r="N199" t="n">
        <x:v>78.30002</x:v>
      </x:c>
      <x:c r="O199" t="n">
        <x:v>61.57</x:v>
      </x:c>
      <x:c r="P199" t="n">
        <x:v>0</x:v>
      </x:c>
      <x:c r="Q199" t="n">
        <x:v>0</x:v>
      </x:c>
      <x:c r="R199" t="n">
        <x:v>1.44</x:v>
      </x:c>
      <x:c r="S199" t="n">
        <x:v>42.95</x:v>
      </x:c>
      <x:c r="T199" t="str">
        <x:v>https://y.gtimg.cn/music/photo_new/T002R500x500M000000aAeO742o2xC_1.jpg</x:v>
      </x:c>
      <x:c r="U199" s="24" t="str">
        <x:f>IFERROR(VLOOKUP(I199,'07_字典与参数'!$G$5:$J$9,2,FALSE),"未入选")</x:f>
        <x:v>未入选</x:v>
      </x:c>
      <x:c r="V199" s="24" t="str">
        <x:f>IFERROR(VLOOKUP(I199,'07_字典与参数'!$G$5:$J$9,3,FALSE),"—")</x:f>
        <x:v>—</x:v>
      </x:c>
      <x:c r="W199" s="24" t="str">
        <x:f>IF(U199="未入选","否","是")</x:f>
        <x:v>否</x:v>
      </x:c>
    </x:row>
    <x:row r="200">
      <x:c r="A200" t="n">
        <x:v>202628</x:v>
      </x:c>
      <x:c r="B200" t="str">
        <x:v>第28期（07.13-07.19）</x:v>
      </x:c>
      <x:c r="C200" t="str">
        <x:v>2026-07-13</x:v>
      </x:c>
      <x:c r="D200" t="str">
        <x:v>2026-07-19</x:v>
      </x:c>
      <x:c r="E200" t="n">
        <x:v>196</x:v>
      </x:c>
      <x:c r="F200" t="n">
        <x:v>511989046</x:v>
      </x:c>
      <x:c r="G200" t="str">
        <x:v>半生啊</x:v>
      </x:c>
      <x:c r="H200" t="str">
        <x:v>巴扎黑</x:v>
      </x:c>
      <x:c r="I200" t="str">
        <x:v>001Ljh8d2ZF9lI</x:v>
      </x:c>
      <x:c r="J200" t="str">
        <x:v>False</x:v>
      </x:c>
      <x:c r="K200" t="n">
        <x:v>186</x:v>
      </x:c>
      <x:c r="L200" t="n">
        <x:v>0</x:v>
      </x:c>
      <x:c r="M200" t="n">
        <x:v>0</x:v>
      </x:c>
      <x:c r="N200" t="n">
        <x:v>78.29693</x:v>
      </x:c>
      <x:c r="O200" t="n">
        <x:v>65.35</x:v>
      </x:c>
      <x:c r="P200" t="n">
        <x:v>0</x:v>
      </x:c>
      <x:c r="Q200" t="n">
        <x:v>0</x:v>
      </x:c>
      <x:c r="R200" t="n">
        <x:v>5.09</x:v>
      </x:c>
      <x:c r="S200" t="n">
        <x:v>22.69</x:v>
      </x:c>
      <x:c r="T200" t="str">
        <x:v>https://y.gtimg.cn/music/photo_new/T002R500x500M00000433cOj1HGVpQ_1.jpg</x:v>
      </x:c>
      <x:c r="U200" s="24" t="str">
        <x:f>IFERROR(VLOOKUP(I200,'07_字典与参数'!$G$5:$J$9,2,FALSE),"未入选")</x:f>
        <x:v>未入选</x:v>
      </x:c>
      <x:c r="V200" s="24" t="str">
        <x:f>IFERROR(VLOOKUP(I200,'07_字典与参数'!$G$5:$J$9,3,FALSE),"—")</x:f>
        <x:v>—</x:v>
      </x:c>
      <x:c r="W200" s="24" t="str">
        <x:f>IF(U200="未入选","否","是")</x:f>
        <x:v>否</x:v>
      </x:c>
    </x:row>
    <x:row r="201">
      <x:c r="A201" t="n">
        <x:v>202628</x:v>
      </x:c>
      <x:c r="B201" t="str">
        <x:v>第28期（07.13-07.19）</x:v>
      </x:c>
      <x:c r="C201" t="str">
        <x:v>2026-07-13</x:v>
      </x:c>
      <x:c r="D201" t="str">
        <x:v>2026-07-19</x:v>
      </x:c>
      <x:c r="E201" t="n">
        <x:v>197</x:v>
      </x:c>
      <x:c r="F201" t="n">
        <x:v>503562813</x:v>
      </x:c>
      <x:c r="G201" t="str">
        <x:v>心世界</x:v>
      </x:c>
      <x:c r="H201" t="str">
        <x:v>周深</x:v>
      </x:c>
      <x:c r="I201" t="str">
        <x:v>001lyL8U3jsFkN</x:v>
      </x:c>
      <x:c r="J201" t="str">
        <x:v>False</x:v>
      </x:c>
      <x:c r="K201" t="n">
        <x:v>144</x:v>
      </x:c>
      <x:c r="L201" t="n">
        <x:v>0</x:v>
      </x:c>
      <x:c r="M201" t="n">
        <x:v>0</x:v>
      </x:c>
      <x:c r="N201" t="n">
        <x:v>78.28794</x:v>
      </x:c>
      <x:c r="O201" t="n">
        <x:v>61.03</x:v>
      </x:c>
      <x:c r="P201" t="n">
        <x:v>0</x:v>
      </x:c>
      <x:c r="Q201" t="n">
        <x:v>0</x:v>
      </x:c>
      <x:c r="R201" t="n">
        <x:v>9.95</x:v>
      </x:c>
      <x:c r="S201" t="n">
        <x:v>42.73</x:v>
      </x:c>
      <x:c r="T201" t="str">
        <x:v>https://y.gtimg.cn/music/photo_new/T002R500x500M000003Bcl1K2CJfNX_3.jpg</x:v>
      </x:c>
      <x:c r="U201" s="24" t="str">
        <x:f>IFERROR(VLOOKUP(I201,'07_字典与参数'!$G$5:$J$9,2,FALSE),"未入选")</x:f>
        <x:v>未入选</x:v>
      </x:c>
      <x:c r="V201" s="24" t="str">
        <x:f>IFERROR(VLOOKUP(I201,'07_字典与参数'!$G$5:$J$9,3,FALSE),"—")</x:f>
        <x:v>—</x:v>
      </x:c>
      <x:c r="W201" s="24" t="str">
        <x:f>IF(U201="未入选","否","是")</x:f>
        <x:v>否</x:v>
      </x:c>
    </x:row>
    <x:row r="202">
      <x:c r="A202" t="n">
        <x:v>202628</x:v>
      </x:c>
      <x:c r="B202" t="str">
        <x:v>第28期（07.13-07.19）</x:v>
      </x:c>
      <x:c r="C202" t="str">
        <x:v>2026-07-13</x:v>
      </x:c>
      <x:c r="D202" t="str">
        <x:v>2026-07-19</x:v>
      </x:c>
      <x:c r="E202" t="n">
        <x:v>198</x:v>
      </x:c>
      <x:c r="F202" t="n">
        <x:v>512029569</x:v>
      </x:c>
      <x:c r="G202" t="str">
        <x:v>曾经</x:v>
      </x:c>
      <x:c r="H202" t="str">
        <x:v>丁禹兮</x:v>
      </x:c>
      <x:c r="I202" t="str">
        <x:v>000oZ1Wv2I3ZIG</x:v>
      </x:c>
      <x:c r="J202" t="str">
        <x:v>False</x:v>
      </x:c>
      <x:c r="K202" t="n">
        <x:v>172</x:v>
      </x:c>
      <x:c r="L202" t="n">
        <x:v>0</x:v>
      </x:c>
      <x:c r="M202" t="n">
        <x:v>0</x:v>
      </x:c>
      <x:c r="N202" t="n">
        <x:v>78.22494</x:v>
      </x:c>
      <x:c r="O202" t="n">
        <x:v>63.6</x:v>
      </x:c>
      <x:c r="P202" t="n">
        <x:v>0</x:v>
      </x:c>
      <x:c r="Q202" t="n">
        <x:v>0</x:v>
      </x:c>
      <x:c r="R202" t="n">
        <x:v>10.86</x:v>
      </x:c>
      <x:c r="S202" t="n">
        <x:v>35.43</x:v>
      </x:c>
      <x:c r="T202" t="str">
        <x:v>https://y.gtimg.cn/music/photo_new/T002R500x500M0000035gLmv3onPz1_2.jpg</x:v>
      </x:c>
      <x:c r="U202" s="24" t="str">
        <x:f>IFERROR(VLOOKUP(I202,'07_字典与参数'!$G$5:$J$9,2,FALSE),"未入选")</x:f>
        <x:v>未入选</x:v>
      </x:c>
      <x:c r="V202" s="24" t="str">
        <x:f>IFERROR(VLOOKUP(I202,'07_字典与参数'!$G$5:$J$9,3,FALSE),"—")</x:f>
        <x:v>—</x:v>
      </x:c>
      <x:c r="W202" s="24" t="str">
        <x:f>IF(U202="未入选","否","是")</x:f>
        <x:v>否</x:v>
      </x:c>
    </x:row>
    <x:row r="203">
      <x:c r="A203" t="n">
        <x:v>202628</x:v>
      </x:c>
      <x:c r="B203" t="str">
        <x:v>第28期（07.13-07.19）</x:v>
      </x:c>
      <x:c r="C203" t="str">
        <x:v>2026-07-13</x:v>
      </x:c>
      <x:c r="D203" t="str">
        <x:v>2026-07-19</x:v>
      </x:c>
      <x:c r="E203" t="n">
        <x:v>199</x:v>
      </x:c>
      <x:c r="F203" t="n">
        <x:v>514394854</x:v>
      </x:c>
      <x:c r="G203" t="str">
        <x:v>岁月如笔写春秋-走心女版</x:v>
      </x:c>
      <x:c r="H203" t="str">
        <x:v>吕口口</x:v>
      </x:c>
      <x:c r="I203" t="str">
        <x:v>0047bR5e0J7mmX</x:v>
      </x:c>
      <x:c r="J203" t="str">
        <x:v>False</x:v>
      </x:c>
      <x:c r="K203" t="n">
        <x:v>0</x:v>
      </x:c>
      <x:c r="L203" t="n">
        <x:v>0</x:v>
      </x:c>
      <x:c r="M203" t="n">
        <x:v>0</x:v>
      </x:c>
      <x:c r="N203" t="n">
        <x:v>78.09884</x:v>
      </x:c>
      <x:c r="O203" t="n">
        <x:v>65.34</x:v>
      </x:c>
      <x:c r="P203" t="n">
        <x:v>0</x:v>
      </x:c>
      <x:c r="Q203" t="n">
        <x:v>0</x:v>
      </x:c>
      <x:c r="R203" t="n">
        <x:v>6.51</x:v>
      </x:c>
      <x:c r="S203" t="n">
        <x:v>13.64</x:v>
      </x:c>
      <x:c r="T203" t="str">
        <x:v>https://y.gtimg.cn/music/photo_new/T002R500x500M000002YFk8z0WLsAZ_2.jpg</x:v>
      </x:c>
      <x:c r="U203" s="24" t="str">
        <x:f>IFERROR(VLOOKUP(I203,'07_字典与参数'!$G$5:$J$9,2,FALSE),"未入选")</x:f>
        <x:v>未入选</x:v>
      </x:c>
      <x:c r="V203" s="24" t="str">
        <x:f>IFERROR(VLOOKUP(I203,'07_字典与参数'!$G$5:$J$9,3,FALSE),"—")</x:f>
        <x:v>—</x:v>
      </x:c>
      <x:c r="W203" s="24" t="str">
        <x:f>IF(U203="未入选","否","是")</x:f>
        <x:v>否</x:v>
      </x:c>
    </x:row>
    <x:row r="204">
      <x:c r="A204" t="n">
        <x:v>202628</x:v>
      </x:c>
      <x:c r="B204" t="str">
        <x:v>第28期（07.13-07.19）</x:v>
      </x:c>
      <x:c r="C204" t="str">
        <x:v>2026-07-13</x:v>
      </x:c>
      <x:c r="D204" t="str">
        <x:v>2026-07-19</x:v>
      </x:c>
      <x:c r="E204" t="n">
        <x:v>200</x:v>
      </x:c>
      <x:c r="F204" t="n">
        <x:v>512975388</x:v>
      </x:c>
      <x:c r="G204" t="str">
        <x:v>前程似锦</x:v>
      </x:c>
      <x:c r="H204" t="str">
        <x:v>许嵩</x:v>
      </x:c>
      <x:c r="I204" t="str">
        <x:v>000ViWoI3noBmD</x:v>
      </x:c>
      <x:c r="J204" t="str">
        <x:v>False</x:v>
      </x:c>
      <x:c r="K204" t="n">
        <x:v>159</x:v>
      </x:c>
      <x:c r="L204" t="n">
        <x:v>0</x:v>
      </x:c>
      <x:c r="M204" t="n">
        <x:v>0</x:v>
      </x:c>
      <x:c r="N204" t="n">
        <x:v>78.01364</x:v>
      </x:c>
      <x:c r="O204" t="n">
        <x:v>63.66</x:v>
      </x:c>
      <x:c r="P204" t="n">
        <x:v>0</x:v>
      </x:c>
      <x:c r="Q204" t="n">
        <x:v>0</x:v>
      </x:c>
      <x:c r="R204" t="n">
        <x:v>1.76</x:v>
      </x:c>
      <x:c r="S204" t="n">
        <x:v>38.4</x:v>
      </x:c>
      <x:c r="T204" t="str">
        <x:v>https://y.gtimg.cn/music/photo_new/T002R500x500M000001Oqn952HAPRk_1.jpg</x:v>
      </x:c>
      <x:c r="U204" s="24" t="str">
        <x:f>IFERROR(VLOOKUP(I204,'07_字典与参数'!$G$5:$J$9,2,FALSE),"未入选")</x:f>
        <x:v>未入选</x:v>
      </x:c>
      <x:c r="V204" s="24" t="str">
        <x:f>IFERROR(VLOOKUP(I204,'07_字典与参数'!$G$5:$J$9,3,FALSE),"—")</x:f>
        <x:v>—</x:v>
      </x:c>
      <x:c r="W204" s="24" t="str">
        <x:f>IF(U204="未入选","否","是")</x:f>
        <x:v>否</x:v>
      </x:c>
    </x:row>
    <x:row r="205">
      <x:c r="A205" t="n">
        <x:v>202629</x:v>
      </x:c>
      <x:c r="B205" t="str">
        <x:v>第29期（07.20-07.26）</x:v>
      </x:c>
      <x:c r="C205" t="str">
        <x:v>2026-07-20</x:v>
      </x:c>
      <x:c r="D205" t="str">
        <x:v>2026-07-26</x:v>
      </x:c>
      <x:c r="E205" t="n">
        <x:v>1</x:v>
      </x:c>
      <x:c r="F205" t="n">
        <x:v>533373322</x:v>
      </x:c>
      <x:c r="G205" t="str">
        <x:v>Cold Blooded</x:v>
      </x:c>
      <x:c r="H205" t="str">
        <x:v>严浩翔</x:v>
      </x:c>
      <x:c r="I205" t="str">
        <x:v>001uODJ03jwbpe</x:v>
      </x:c>
      <x:c r="J205" t="str">
        <x:v>True</x:v>
      </x:c>
      <x:c r="K205" t="n">
        <x:v>0</x:v>
      </x:c>
      <x:c r="L205" t="n">
        <x:v>1</x:v>
      </x:c>
      <x:c r="M205" t="n">
        <x:v>1</x:v>
      </x:c>
      <x:c r="N205" t="n">
        <x:v>97.89861</x:v>
      </x:c>
      <x:c r="O205" t="n">
        <x:v>82.47</x:v>
      </x:c>
      <x:c r="P205" t="n">
        <x:v>0</x:v>
      </x:c>
      <x:c r="Q205" t="n">
        <x:v>0</x:v>
      </x:c>
      <x:c r="R205" t="n">
        <x:v>90.98</x:v>
      </x:c>
      <x:c r="S205" t="n">
        <x:v>91.15</x:v>
      </x:c>
      <x:c r="T205" t="str">
        <x:v>https://y.qq.com/music/photo_new/T062R500x500M0000001dgoc1T2sbP.jpg</x:v>
      </x:c>
      <x:c r="U205" s="24" t="str">
        <x:f>IFERROR(VLOOKUP(I205,'07_字典与参数'!$G$5:$J$9,2,FALSE),"未入选")</x:f>
        <x:v>未入选</x:v>
      </x:c>
      <x:c r="V205" s="24" t="str">
        <x:f>IFERROR(VLOOKUP(I205,'07_字典与参数'!$G$5:$J$9,3,FALSE),"—")</x:f>
        <x:v>—</x:v>
      </x:c>
      <x:c r="W205" s="24" t="str">
        <x:f>IF(U205="未入选","否","是")</x:f>
        <x:v>否</x:v>
      </x:c>
    </x:row>
    <x:row r="206">
      <x:c r="A206" t="n">
        <x:v>202629</x:v>
      </x:c>
      <x:c r="B206" t="str">
        <x:v>第29期（07.20-07.26）</x:v>
      </x:c>
      <x:c r="C206" t="str">
        <x:v>2026-07-20</x:v>
      </x:c>
      <x:c r="D206" t="str">
        <x:v>2026-07-26</x:v>
      </x:c>
      <x:c r="E206" t="n">
        <x:v>2</x:v>
      </x:c>
      <x:c r="F206" t="n">
        <x:v>532442337</x:v>
      </x:c>
      <x:c r="G206" t="str">
        <x:v>全世界的雨</x:v>
      </x:c>
      <x:c r="H206" t="str">
        <x:v>周深,Ella陈嘉桦</x:v>
      </x:c>
      <x:c r="I206" t="str">
        <x:v>000R5lKk0KJBgG</x:v>
      </x:c>
      <x:c r="J206" t="str">
        <x:v>False</x:v>
      </x:c>
      <x:c r="K206" t="n">
        <x:v>43</x:v>
      </x:c>
      <x:c r="L206" t="n">
        <x:v>2</x:v>
      </x:c>
      <x:c r="M206" t="n">
        <x:v>2</x:v>
      </x:c>
      <x:c r="N206" t="n">
        <x:v>97.04119</x:v>
      </x:c>
      <x:c r="O206" t="n">
        <x:v>85.24</x:v>
      </x:c>
      <x:c r="P206" t="n">
        <x:v>0</x:v>
      </x:c>
      <x:c r="Q206" t="n">
        <x:v>0</x:v>
      </x:c>
      <x:c r="R206" t="n">
        <x:v>72.54</x:v>
      </x:c>
      <x:c r="S206" t="n">
        <x:v>90.43</x:v>
      </x:c>
      <x:c r="T206" t="str">
        <x:v>https://y.gtimg.cn/music/photo_new/T002R500x500M000003K9rwV09UxLk_1.jpg</x:v>
      </x:c>
      <x:c r="U206" s="24" t="str">
        <x:f>IFERROR(VLOOKUP(I206,'07_字典与参数'!$G$5:$J$9,2,FALSE),"未入选")</x:f>
        <x:v>未入选</x:v>
      </x:c>
      <x:c r="V206" s="24" t="str">
        <x:f>IFERROR(VLOOKUP(I206,'07_字典与参数'!$G$5:$J$9,3,FALSE),"—")</x:f>
        <x:v>—</x:v>
      </x:c>
      <x:c r="W206" s="24" t="str">
        <x:f>IF(U206="未入选","否","是")</x:f>
        <x:v>否</x:v>
      </x:c>
    </x:row>
    <x:row r="207">
      <x:c r="A207" t="n">
        <x:v>202629</x:v>
      </x:c>
      <x:c r="B207" t="str">
        <x:v>第29期（07.20-07.26）</x:v>
      </x:c>
      <x:c r="C207" t="str">
        <x:v>2026-07-20</x:v>
      </x:c>
      <x:c r="D207" t="str">
        <x:v>2026-07-26</x:v>
      </x:c>
      <x:c r="E207" t="n">
        <x:v>3</x:v>
      </x:c>
      <x:c r="F207" t="n">
        <x:v>495731462</x:v>
      </x:c>
      <x:c r="G207" t="str">
        <x:v>宇宙游乐场</x:v>
      </x:c>
      <x:c r="H207" t="str">
        <x:v>梓渝</x:v>
      </x:c>
      <x:c r="I207" t="str">
        <x:v>003xi4dG0HPhN3</x:v>
      </x:c>
      <x:c r="J207" t="str">
        <x:v>False</x:v>
      </x:c>
      <x:c r="K207" t="n">
        <x:v>2</x:v>
      </x:c>
      <x:c r="L207" t="n">
        <x:v>8</x:v>
      </x:c>
      <x:c r="M207" t="n">
        <x:v>1</x:v>
      </x:c>
      <x:c r="N207" t="n">
        <x:v>96.38078</x:v>
      </x:c>
      <x:c r="O207" t="n">
        <x:v>70.17</x:v>
      </x:c>
      <x:c r="P207" t="n">
        <x:v>0</x:v>
      </x:c>
      <x:c r="Q207" t="n">
        <x:v>0</x:v>
      </x:c>
      <x:c r="R207" t="n">
        <x:v>49.2</x:v>
      </x:c>
      <x:c r="S207" t="n">
        <x:v>86.7</x:v>
      </x:c>
      <x:c r="T207" t="str">
        <x:v>https://y.gtimg.cn/music/photo_new/T002R500x500M000001YF9mT23fsBQ_1.jpg</x:v>
      </x:c>
      <x:c r="U207" s="24" t="str">
        <x:f>IFERROR(VLOOKUP(I207,'07_字典与参数'!$G$5:$J$9,2,FALSE),"未入选")</x:f>
        <x:v>未入选</x:v>
      </x:c>
      <x:c r="V207" s="24" t="str">
        <x:f>IFERROR(VLOOKUP(I207,'07_字典与参数'!$G$5:$J$9,3,FALSE),"—")</x:f>
        <x:v>—</x:v>
      </x:c>
      <x:c r="W207" s="24" t="str">
        <x:f>IF(U207="未入选","否","是")</x:f>
        <x:v>否</x:v>
      </x:c>
    </x:row>
    <x:row r="208">
      <x:c r="A208" t="n">
        <x:v>202629</x:v>
      </x:c>
      <x:c r="B208" t="str">
        <x:v>第29期（07.20-07.26）</x:v>
      </x:c>
      <x:c r="C208" t="str">
        <x:v>2026-07-20</x:v>
      </x:c>
      <x:c r="D208" t="str">
        <x:v>2026-07-26</x:v>
      </x:c>
      <x:c r="E208" t="n">
        <x:v>4</x:v>
      </x:c>
      <x:c r="F208" t="n">
        <x:v>535314845</x:v>
      </x:c>
      <x:c r="G208" t="str">
        <x:v>如约</x:v>
      </x:c>
      <x:c r="H208" t="str">
        <x:v>周深</x:v>
      </x:c>
      <x:c r="I208" t="str">
        <x:v>000uTZAI1djRlw</x:v>
      </x:c>
      <x:c r="J208" t="str">
        <x:v>True</x:v>
      </x:c>
      <x:c r="K208" t="n">
        <x:v>0</x:v>
      </x:c>
      <x:c r="L208" t="n">
        <x:v>1</x:v>
      </x:c>
      <x:c r="M208" t="n">
        <x:v>4</x:v>
      </x:c>
      <x:c r="N208" t="n">
        <x:v>96.3426</x:v>
      </x:c>
      <x:c r="O208" t="n">
        <x:v>70.09</x:v>
      </x:c>
      <x:c r="P208" t="n">
        <x:v>0</x:v>
      </x:c>
      <x:c r="Q208" t="n">
        <x:v>0</x:v>
      </x:c>
      <x:c r="R208" t="n">
        <x:v>82.81</x:v>
      </x:c>
      <x:c r="S208" t="n">
        <x:v>80.32</x:v>
      </x:c>
      <x:c r="T208" t="str">
        <x:v>https://y.gtimg.cn/music/photo_new/T002R500x500M0000007zt0H0BXeMQ_1.jpg</x:v>
      </x:c>
      <x:c r="U208" s="24" t="str">
        <x:f>IFERROR(VLOOKUP(I208,'07_字典与参数'!$G$5:$J$9,2,FALSE),"未入选")</x:f>
        <x:v>未入选</x:v>
      </x:c>
      <x:c r="V208" s="24" t="str">
        <x:f>IFERROR(VLOOKUP(I208,'07_字典与参数'!$G$5:$J$9,3,FALSE),"—")</x:f>
        <x:v>—</x:v>
      </x:c>
      <x:c r="W208" s="24" t="str">
        <x:f>IF(U208="未入选","否","是")</x:f>
        <x:v>否</x:v>
      </x:c>
    </x:row>
    <x:row r="209">
      <x:c r="A209" t="n">
        <x:v>202629</x:v>
      </x:c>
      <x:c r="B209" t="str">
        <x:v>第29期（07.20-07.26）</x:v>
      </x:c>
      <x:c r="C209" t="str">
        <x:v>2026-07-20</x:v>
      </x:c>
      <x:c r="D209" t="str">
        <x:v>2026-07-26</x:v>
      </x:c>
      <x:c r="E209" t="n">
        <x:v>5</x:v>
      </x:c>
      <x:c r="F209" t="n">
        <x:v>509534822</x:v>
      </x:c>
      <x:c r="G209" t="str">
        <x:v>我想</x:v>
      </x:c>
      <x:c r="H209" t="str">
        <x:v>刘宇宁</x:v>
      </x:c>
      <x:c r="I209" t="str">
        <x:v>004BV00w11Ysvm</x:v>
      </x:c>
      <x:c r="J209" t="str">
        <x:v>False</x:v>
      </x:c>
      <x:c r="K209" t="n">
        <x:v>3</x:v>
      </x:c>
      <x:c r="L209" t="n">
        <x:v>7</x:v>
      </x:c>
      <x:c r="M209" t="n">
        <x:v>3</x:v>
      </x:c>
      <x:c r="N209" t="n">
        <x:v>96.32505</x:v>
      </x:c>
      <x:c r="O209" t="n">
        <x:v>70.61</x:v>
      </x:c>
      <x:c r="P209" t="n">
        <x:v>0</x:v>
      </x:c>
      <x:c r="Q209" t="n">
        <x:v>0</x:v>
      </x:c>
      <x:c r="R209" t="n">
        <x:v>31.24</x:v>
      </x:c>
      <x:c r="S209" t="n">
        <x:v>86.39</x:v>
      </x:c>
      <x:c r="T209" t="str">
        <x:v>https://y.gtimg.cn/music/photo_new/T002R500x500M000002lkcEK0ztfwR_1.jpg</x:v>
      </x:c>
      <x:c r="U209" s="24" t="str">
        <x:f>IFERROR(VLOOKUP(I209,'07_字典与参数'!$G$5:$J$9,2,FALSE),"未入选")</x:f>
        <x:v>未入选</x:v>
      </x:c>
      <x:c r="V209" s="24" t="str">
        <x:f>IFERROR(VLOOKUP(I209,'07_字典与参数'!$G$5:$J$9,3,FALSE),"—")</x:f>
        <x:v>—</x:v>
      </x:c>
      <x:c r="W209" s="24" t="str">
        <x:f>IF(U209="未入选","否","是")</x:f>
        <x:v>否</x:v>
      </x:c>
    </x:row>
    <x:row r="210">
      <x:c r="A210" t="n">
        <x:v>202629</x:v>
      </x:c>
      <x:c r="B210" t="str">
        <x:v>第29期（07.20-07.26）</x:v>
      </x:c>
      <x:c r="C210" t="str">
        <x:v>2026-07-20</x:v>
      </x:c>
      <x:c r="D210" t="str">
        <x:v>2026-07-26</x:v>
      </x:c>
      <x:c r="E210" t="n">
        <x:v>6</x:v>
      </x:c>
      <x:c r="F210" t="n">
        <x:v>477383450</x:v>
      </x:c>
      <x:c r="G210" t="str">
        <x:v>一千一万朵</x:v>
      </x:c>
      <x:c r="H210" t="str">
        <x:v>马嘉祺</x:v>
      </x:c>
      <x:c r="I210" t="str">
        <x:v>003TNscL2TONPZ</x:v>
      </x:c>
      <x:c r="J210" t="str">
        <x:v>False</x:v>
      </x:c>
      <x:c r="K210" t="n">
        <x:v>10</x:v>
      </x:c>
      <x:c r="L210" t="n">
        <x:v>16</x:v>
      </x:c>
      <x:c r="M210" t="n">
        <x:v>6</x:v>
      </x:c>
      <x:c r="N210" t="n">
        <x:v>96.00146</x:v>
      </x:c>
      <x:c r="O210" t="n">
        <x:v>65.31</x:v>
      </x:c>
      <x:c r="P210" t="n">
        <x:v>0</x:v>
      </x:c>
      <x:c r="Q210" t="n">
        <x:v>0</x:v>
      </x:c>
      <x:c r="R210" t="n">
        <x:v>49.28</x:v>
      </x:c>
      <x:c r="S210" t="n">
        <x:v>83.24</x:v>
      </x:c>
      <x:c r="T210" t="str">
        <x:v>https://y.qq.com/music/photo_new/T062R500x500M000003CK5IN3d5z55.jpg</x:v>
      </x:c>
      <x:c r="U210" s="24" t="str">
        <x:f>IFERROR(VLOOKUP(I210,'07_字典与参数'!$G$5:$J$9,2,FALSE),"未入选")</x:f>
        <x:v>未入选</x:v>
      </x:c>
      <x:c r="V210" s="24" t="str">
        <x:f>IFERROR(VLOOKUP(I210,'07_字典与参数'!$G$5:$J$9,3,FALSE),"—")</x:f>
        <x:v>—</x:v>
      </x:c>
      <x:c r="W210" s="24" t="str">
        <x:f>IF(U210="未入选","否","是")</x:f>
        <x:v>否</x:v>
      </x:c>
    </x:row>
    <x:row r="211">
      <x:c r="A211" t="n">
        <x:v>202629</x:v>
      </x:c>
      <x:c r="B211" t="str">
        <x:v>第29期（07.20-07.26）</x:v>
      </x:c>
      <x:c r="C211" t="str">
        <x:v>2026-07-20</x:v>
      </x:c>
      <x:c r="D211" t="str">
        <x:v>2026-07-26</x:v>
      </x:c>
      <x:c r="E211" t="n">
        <x:v>7</x:v>
      </x:c>
      <x:c r="F211" t="n">
        <x:v>515779632</x:v>
      </x:c>
      <x:c r="G211" t="str">
        <x:v>Steal The Moon</x:v>
      </x:c>
      <x:c r="H211" t="str">
        <x:v>王俊凯</x:v>
      </x:c>
      <x:c r="I211" t="str">
        <x:v>0041rMW52UcUDL</x:v>
      </x:c>
      <x:c r="J211" t="str">
        <x:v>False</x:v>
      </x:c>
      <x:c r="K211" t="n">
        <x:v>5</x:v>
      </x:c>
      <x:c r="L211" t="n">
        <x:v>5</x:v>
      </x:c>
      <x:c r="M211" t="n">
        <x:v>1</x:v>
      </x:c>
      <x:c r="N211" t="n">
        <x:v>95.8463</x:v>
      </x:c>
      <x:c r="O211" t="n">
        <x:v>72.81</x:v>
      </x:c>
      <x:c r="P211" t="n">
        <x:v>0</x:v>
      </x:c>
      <x:c r="Q211" t="n">
        <x:v>0</x:v>
      </x:c>
      <x:c r="R211" t="n">
        <x:v>44.38</x:v>
      </x:c>
      <x:c r="S211" t="n">
        <x:v>82.44</x:v>
      </x:c>
      <x:c r="T211" t="str">
        <x:v>https://y.qq.com/music/photo_new/T062R500x500M000002Z67Ce1Dtijs.jpg</x:v>
      </x:c>
      <x:c r="U211" s="24" t="str">
        <x:f>IFERROR(VLOOKUP(I211,'07_字典与参数'!$G$5:$J$9,2,FALSE),"未入选")</x:f>
        <x:v>未入选</x:v>
      </x:c>
      <x:c r="V211" s="24" t="str">
        <x:f>IFERROR(VLOOKUP(I211,'07_字典与参数'!$G$5:$J$9,3,FALSE),"—")</x:f>
        <x:v>—</x:v>
      </x:c>
      <x:c r="W211" s="24" t="str">
        <x:f>IF(U211="未入选","否","是")</x:f>
        <x:v>否</x:v>
      </x:c>
    </x:row>
    <x:row r="212">
      <x:c r="A212" t="n">
        <x:v>202629</x:v>
      </x:c>
      <x:c r="B212" t="str">
        <x:v>第29期（07.20-07.26）</x:v>
      </x:c>
      <x:c r="C212" t="str">
        <x:v>2026-07-20</x:v>
      </x:c>
      <x:c r="D212" t="str">
        <x:v>2026-07-26</x:v>
      </x:c>
      <x:c r="E212" t="n">
        <x:v>8</x:v>
      </x:c>
      <x:c r="F212" t="n">
        <x:v>452195789</x:v>
      </x:c>
      <x:c r="G212" t="str">
        <x:v>不渝</x:v>
      </x:c>
      <x:c r="H212" t="str">
        <x:v>梓渝</x:v>
      </x:c>
      <x:c r="I212" t="str">
        <x:v>000TyQAA0jYDlU</x:v>
      </x:c>
      <x:c r="J212" t="str">
        <x:v>False</x:v>
      </x:c>
      <x:c r="K212" t="n">
        <x:v>7</x:v>
      </x:c>
      <x:c r="L212" t="n">
        <x:v>32</x:v>
      </x:c>
      <x:c r="M212" t="n">
        <x:v>1</x:v>
      </x:c>
      <x:c r="N212" t="n">
        <x:v>95.63447</x:v>
      </x:c>
      <x:c r="O212" t="n">
        <x:v>61.67</x:v>
      </x:c>
      <x:c r="P212" t="n">
        <x:v>0</x:v>
      </x:c>
      <x:c r="Q212" t="n">
        <x:v>0</x:v>
      </x:c>
      <x:c r="R212" t="n">
        <x:v>39.68</x:v>
      </x:c>
      <x:c r="S212" t="n">
        <x:v>82.03</x:v>
      </x:c>
      <x:c r="T212" t="str">
        <x:v>https://y.gtimg.cn/music/photo_new/T002R500x500M000001bXK7t4Q576w_1.jpg</x:v>
      </x:c>
      <x:c r="U212" s="24" t="str">
        <x:f>IFERROR(VLOOKUP(I212,'07_字典与参数'!$G$5:$J$9,2,FALSE),"未入选")</x:f>
        <x:v>未入选</x:v>
      </x:c>
      <x:c r="V212" s="24" t="str">
        <x:f>IFERROR(VLOOKUP(I212,'07_字典与参数'!$G$5:$J$9,3,FALSE),"—")</x:f>
        <x:v>—</x:v>
      </x:c>
      <x:c r="W212" s="24" t="str">
        <x:f>IF(U212="未入选","否","是")</x:f>
        <x:v>否</x:v>
      </x:c>
    </x:row>
    <x:row r="213">
      <x:c r="A213" t="n">
        <x:v>202629</x:v>
      </x:c>
      <x:c r="B213" t="str">
        <x:v>第29期（07.20-07.26）</x:v>
      </x:c>
      <x:c r="C213" t="str">
        <x:v>2026-07-20</x:v>
      </x:c>
      <x:c r="D213" t="str">
        <x:v>2026-07-26</x:v>
      </x:c>
      <x:c r="E213" t="n">
        <x:v>9</x:v>
      </x:c>
      <x:c r="F213" t="n">
        <x:v>521117665</x:v>
      </x:c>
      <x:c r="G213" t="str">
        <x:v>甲乙丙丁 (你我怎么两清)</x:v>
      </x:c>
      <x:c r="H213" t="str">
        <x:v>李佳薇</x:v>
      </x:c>
      <x:c r="I213" t="str">
        <x:v>002AZauQ1UKQxe</x:v>
      </x:c>
      <x:c r="J213" t="str">
        <x:v>False</x:v>
      </x:c>
      <x:c r="K213" t="n">
        <x:v>18</x:v>
      </x:c>
      <x:c r="L213" t="n">
        <x:v>4</x:v>
      </x:c>
      <x:c r="M213" t="n">
        <x:v>9</x:v>
      </x:c>
      <x:c r="N213" t="n">
        <x:v>95.36048</x:v>
      </x:c>
      <x:c r="O213" t="n">
        <x:v>90.2</x:v>
      </x:c>
      <x:c r="P213" t="n">
        <x:v>0</x:v>
      </x:c>
      <x:c r="Q213" t="n">
        <x:v>0</x:v>
      </x:c>
      <x:c r="R213" t="n">
        <x:v>46.5</x:v>
      </x:c>
      <x:c r="S213" t="n">
        <x:v>64.64</x:v>
      </x:c>
      <x:c r="T213" t="str">
        <x:v>https://y.gtimg.cn/music/photo_new/T002R500x500M00000446QRA1fTdqA_2.jpg</x:v>
      </x:c>
      <x:c r="U213" s="24" t="str">
        <x:f>IFERROR(VLOOKUP(I213,'07_字典与参数'!$G$5:$J$9,2,FALSE),"未入选")</x:f>
        <x:v>未入选</x:v>
      </x:c>
      <x:c r="V213" s="24" t="str">
        <x:f>IFERROR(VLOOKUP(I213,'07_字典与参数'!$G$5:$J$9,3,FALSE),"—")</x:f>
        <x:v>—</x:v>
      </x:c>
      <x:c r="W213" s="24" t="str">
        <x:f>IF(U213="未入选","否","是")</x:f>
        <x:v>否</x:v>
      </x:c>
    </x:row>
    <x:row r="214">
      <x:c r="A214" t="n">
        <x:v>202629</x:v>
      </x:c>
      <x:c r="B214" t="str">
        <x:v>第29期（07.20-07.26）</x:v>
      </x:c>
      <x:c r="C214" t="str">
        <x:v>2026-07-20</x:v>
      </x:c>
      <x:c r="D214" t="str">
        <x:v>2026-07-26</x:v>
      </x:c>
      <x:c r="E214" t="n">
        <x:v>10</x:v>
      </x:c>
      <x:c r="F214" t="n">
        <x:v>533456646</x:v>
      </x:c>
      <x:c r="G214" t="str">
        <x:v>Cold Blooded</x:v>
      </x:c>
      <x:c r="H214" t="str">
        <x:v>严浩翔</x:v>
      </x:c>
      <x:c r="I214" t="str">
        <x:v>00061EFa3uGj8q</x:v>
      </x:c>
      <x:c r="J214" t="str">
        <x:v>True</x:v>
      </x:c>
      <x:c r="K214" t="n">
        <x:v>0</x:v>
      </x:c>
      <x:c r="L214" t="n">
        <x:v>1</x:v>
      </x:c>
      <x:c r="M214" t="n">
        <x:v>10</x:v>
      </x:c>
      <x:c r="N214" t="n">
        <x:v>95.19608</x:v>
      </x:c>
      <x:c r="O214" t="n">
        <x:v>75.82</x:v>
      </x:c>
      <x:c r="P214" t="n">
        <x:v>0</x:v>
      </x:c>
      <x:c r="Q214" t="n">
        <x:v>0</x:v>
      </x:c>
      <x:c r="R214" t="n">
        <x:v>76.83</x:v>
      </x:c>
      <x:c r="S214" t="n">
        <x:v>71.06</x:v>
      </x:c>
      <x:c r="T214" t="str">
        <x:v>https://y.qq.com/music/photo_new/T062R500x500M000003A2OO61lP2bU.jpg</x:v>
      </x:c>
      <x:c r="U214" s="24" t="str">
        <x:f>IFERROR(VLOOKUP(I214,'07_字典与参数'!$G$5:$J$9,2,FALSE),"未入选")</x:f>
        <x:v>未入选</x:v>
      </x:c>
      <x:c r="V214" s="24" t="str">
        <x:f>IFERROR(VLOOKUP(I214,'07_字典与参数'!$G$5:$J$9,3,FALSE),"—")</x:f>
        <x:v>—</x:v>
      </x:c>
      <x:c r="W214" s="24" t="str">
        <x:f>IF(U214="未入选","否","是")</x:f>
        <x:v>否</x:v>
      </x:c>
    </x:row>
    <x:row r="215">
      <x:c r="A215" t="n">
        <x:v>202629</x:v>
      </x:c>
      <x:c r="B215" t="str">
        <x:v>第29期（07.20-07.26）</x:v>
      </x:c>
      <x:c r="C215" t="str">
        <x:v>2026-07-20</x:v>
      </x:c>
      <x:c r="D215" t="str">
        <x:v>2026-07-26</x:v>
      </x:c>
      <x:c r="E215" t="n">
        <x:v>11</x:v>
      </x:c>
      <x:c r="F215" t="n">
        <x:v>522467105</x:v>
      </x:c>
      <x:c r="G215" t="str">
        <x:v>北京的雨</x:v>
      </x:c>
      <x:c r="H215" t="str">
        <x:v>张艺兴</x:v>
      </x:c>
      <x:c r="I215" t="str">
        <x:v>002ubhKy3qBLES</x:v>
      </x:c>
      <x:c r="J215" t="str">
        <x:v>False</x:v>
      </x:c>
      <x:c r="K215" t="n">
        <x:v>27</x:v>
      </x:c>
      <x:c r="L215" t="n">
        <x:v>2</x:v>
      </x:c>
      <x:c r="M215" t="n">
        <x:v>11</x:v>
      </x:c>
      <x:c r="N215" t="n">
        <x:v>94.92951</x:v>
      </x:c>
      <x:c r="O215" t="n">
        <x:v>75.25</x:v>
      </x:c>
      <x:c r="P215" t="n">
        <x:v>0</x:v>
      </x:c>
      <x:c r="Q215" t="n">
        <x:v>0</x:v>
      </x:c>
      <x:c r="R215" t="n">
        <x:v>71.42</x:v>
      </x:c>
      <x:c r="S215" t="n">
        <x:v>75.19</x:v>
      </x:c>
      <x:c r="T215" t="str">
        <x:v>https://y.qq.com/music/photo_new/T062R500x500M0000004cYUv1WOARD.jpg</x:v>
      </x:c>
      <x:c r="U215" s="24" t="str">
        <x:f>IFERROR(VLOOKUP(I215,'07_字典与参数'!$G$5:$J$9,2,FALSE),"未入选")</x:f>
        <x:v>未入选</x:v>
      </x:c>
      <x:c r="V215" s="24" t="str">
        <x:f>IFERROR(VLOOKUP(I215,'07_字典与参数'!$G$5:$J$9,3,FALSE),"—")</x:f>
        <x:v>—</x:v>
      </x:c>
      <x:c r="W215" s="24" t="str">
        <x:f>IF(U215="未入选","否","是")</x:f>
        <x:v>否</x:v>
      </x:c>
    </x:row>
    <x:row r="216">
      <x:c r="A216" t="n">
        <x:v>202629</x:v>
      </x:c>
      <x:c r="B216" t="str">
        <x:v>第29期（07.20-07.26）</x:v>
      </x:c>
      <x:c r="C216" t="str">
        <x:v>2026-07-20</x:v>
      </x:c>
      <x:c r="D216" t="str">
        <x:v>2026-07-26</x:v>
      </x:c>
      <x:c r="E216" t="n">
        <x:v>12</x:v>
      </x:c>
      <x:c r="F216" t="n">
        <x:v>528886869</x:v>
      </x:c>
      <x:c r="G216" t="str">
        <x:v>吹吹山顶的风</x:v>
      </x:c>
      <x:c r="H216" t="str">
        <x:v>巴扎黑</x:v>
      </x:c>
      <x:c r="I216" t="str">
        <x:v>00300Opj0ekd7M</x:v>
      </x:c>
      <x:c r="J216" t="str">
        <x:v>False</x:v>
      </x:c>
      <x:c r="K216" t="n">
        <x:v>24</x:v>
      </x:c>
      <x:c r="L216" t="n">
        <x:v>3</x:v>
      </x:c>
      <x:c r="M216" t="n">
        <x:v>12</x:v>
      </x:c>
      <x:c r="N216" t="n">
        <x:v>94.44524</x:v>
      </x:c>
      <x:c r="O216" t="n">
        <x:v>87.41</x:v>
      </x:c>
      <x:c r="P216" t="n">
        <x:v>0</x:v>
      </x:c>
      <x:c r="Q216" t="n">
        <x:v>0</x:v>
      </x:c>
      <x:c r="R216" t="n">
        <x:v>62.39</x:v>
      </x:c>
      <x:c r="S216" t="n">
        <x:v>50.34</x:v>
      </x:c>
      <x:c r="T216" t="str">
        <x:v>https://y.gtimg.cn/music/photo_new/T002R500x500M000003fdCjM2I4CYg_4.jpg</x:v>
      </x:c>
      <x:c r="U216" s="24" t="str">
        <x:f>IFERROR(VLOOKUP(I216,'07_字典与参数'!$G$5:$J$9,2,FALSE),"未入选")</x:f>
        <x:v>未入选</x:v>
      </x:c>
      <x:c r="V216" s="24" t="str">
        <x:f>IFERROR(VLOOKUP(I216,'07_字典与参数'!$G$5:$J$9,3,FALSE),"—")</x:f>
        <x:v>—</x:v>
      </x:c>
      <x:c r="W216" s="24" t="str">
        <x:f>IF(U216="未入选","否","是")</x:f>
        <x:v>否</x:v>
      </x:c>
    </x:row>
    <x:row r="217">
      <x:c r="A217" t="n">
        <x:v>202629</x:v>
      </x:c>
      <x:c r="B217" t="str">
        <x:v>第29期（07.20-07.26）</x:v>
      </x:c>
      <x:c r="C217" t="str">
        <x:v>2026-07-20</x:v>
      </x:c>
      <x:c r="D217" t="str">
        <x:v>2026-07-26</x:v>
      </x:c>
      <x:c r="E217" t="n">
        <x:v>13</x:v>
      </x:c>
      <x:c r="F217" t="n">
        <x:v>476979934</x:v>
      </x:c>
      <x:c r="G217" t="str">
        <x:v>大江南</x:v>
      </x:c>
      <x:c r="H217" t="str">
        <x:v>刀郎</x:v>
      </x:c>
      <x:c r="I217" t="str">
        <x:v>00353J6U0acVVf</x:v>
      </x:c>
      <x:c r="J217" t="str">
        <x:v>False</x:v>
      </x:c>
      <x:c r="K217" t="n">
        <x:v>26</x:v>
      </x:c>
      <x:c r="L217" t="n">
        <x:v>18</x:v>
      </x:c>
      <x:c r="M217" t="n">
        <x:v>9</x:v>
      </x:c>
      <x:c r="N217" t="n">
        <x:v>93.28415</x:v>
      </x:c>
      <x:c r="O217" t="n">
        <x:v>62.4</x:v>
      </x:c>
      <x:c r="P217" t="n">
        <x:v>0</x:v>
      </x:c>
      <x:c r="Q217" t="n">
        <x:v>0</x:v>
      </x:c>
      <x:c r="R217" t="n">
        <x:v>37.08</x:v>
      </x:c>
      <x:c r="S217" t="n">
        <x:v>76.7</x:v>
      </x:c>
      <x:c r="T217" t="str">
        <x:v>https://y.gtimg.cn/music/photo_new/T002R500x500M0000042UNmv3tjqE2_1.jpg</x:v>
      </x:c>
      <x:c r="U217" s="24" t="str">
        <x:f>IFERROR(VLOOKUP(I217,'07_字典与参数'!$G$5:$J$9,2,FALSE),"未入选")</x:f>
        <x:v>未入选</x:v>
      </x:c>
      <x:c r="V217" s="24" t="str">
        <x:f>IFERROR(VLOOKUP(I217,'07_字典与参数'!$G$5:$J$9,3,FALSE),"—")</x:f>
        <x:v>—</x:v>
      </x:c>
      <x:c r="W217" s="24" t="str">
        <x:f>IF(U217="未入选","否","是")</x:f>
        <x:v>否</x:v>
      </x:c>
    </x:row>
    <x:row r="218">
      <x:c r="A218" t="n">
        <x:v>202629</x:v>
      </x:c>
      <x:c r="B218" t="str">
        <x:v>第29期（07.20-07.26）</x:v>
      </x:c>
      <x:c r="C218" t="str">
        <x:v>2026-07-20</x:v>
      </x:c>
      <x:c r="D218" t="str">
        <x:v>2026-07-26</x:v>
      </x:c>
      <x:c r="E218" t="n">
        <x:v>14</x:v>
      </x:c>
      <x:c r="F218" t="n">
        <x:v>490979740</x:v>
      </x:c>
      <x:c r="G218" t="str">
        <x:v>玻璃</x:v>
      </x:c>
      <x:c r="H218" t="str">
        <x:v>Gareth.T</x:v>
      </x:c>
      <x:c r="I218" t="str">
        <x:v>001brxL63DYjSr</x:v>
      </x:c>
      <x:c r="J218" t="str">
        <x:v>False</x:v>
      </x:c>
      <x:c r="K218" t="n">
        <x:v>25</x:v>
      </x:c>
      <x:c r="L218" t="n">
        <x:v>10</x:v>
      </x:c>
      <x:c r="M218" t="n">
        <x:v>2</x:v>
      </x:c>
      <x:c r="N218" t="n">
        <x:v>92.9781</x:v>
      </x:c>
      <x:c r="O218" t="n">
        <x:v>86.22</x:v>
      </x:c>
      <x:c r="P218" t="n">
        <x:v>0</x:v>
      </x:c>
      <x:c r="Q218" t="n">
        <x:v>0</x:v>
      </x:c>
      <x:c r="R218" t="n">
        <x:v>30.82</x:v>
      </x:c>
      <x:c r="S218" t="n">
        <x:v>53.79</x:v>
      </x:c>
      <x:c r="T218" t="str">
        <x:v>https://y.gtimg.cn/music/photo_new/T002R500x500M000002kIED92uw8L5_1.jpg</x:v>
      </x:c>
      <x:c r="U218" s="24" t="str">
        <x:f>IFERROR(VLOOKUP(I218,'07_字典与参数'!$G$5:$J$9,2,FALSE),"未入选")</x:f>
        <x:v>未入选</x:v>
      </x:c>
      <x:c r="V218" s="24" t="str">
        <x:f>IFERROR(VLOOKUP(I218,'07_字典与参数'!$G$5:$J$9,3,FALSE),"—")</x:f>
        <x:v>—</x:v>
      </x:c>
      <x:c r="W218" s="24" t="str">
        <x:f>IF(U218="未入选","否","是")</x:f>
        <x:v>否</x:v>
      </x:c>
    </x:row>
    <x:row r="219">
      <x:c r="A219" t="n">
        <x:v>202629</x:v>
      </x:c>
      <x:c r="B219" t="str">
        <x:v>第29期（07.20-07.26）</x:v>
      </x:c>
      <x:c r="C219" t="str">
        <x:v>2026-07-20</x:v>
      </x:c>
      <x:c r="D219" t="str">
        <x:v>2026-07-26</x:v>
      </x:c>
      <x:c r="E219" t="n">
        <x:v>15</x:v>
      </x:c>
      <x:c r="F219" t="n">
        <x:v>495624493</x:v>
      </x:c>
      <x:c r="G219" t="str">
        <x:v>梦哑</x:v>
      </x:c>
      <x:c r="H219" t="str">
        <x:v>任然</x:v>
      </x:c>
      <x:c r="I219" t="str">
        <x:v>003WHs6a1qmOeG</x:v>
      </x:c>
      <x:c r="J219" t="str">
        <x:v>False</x:v>
      </x:c>
      <x:c r="K219" t="n">
        <x:v>33</x:v>
      </x:c>
      <x:c r="L219" t="n">
        <x:v>5</x:v>
      </x:c>
      <x:c r="M219" t="n">
        <x:v>15</x:v>
      </x:c>
      <x:c r="N219" t="n">
        <x:v>92.64089</x:v>
      </x:c>
      <x:c r="O219" t="n">
        <x:v>85.39</x:v>
      </x:c>
      <x:c r="P219" t="n">
        <x:v>0</x:v>
      </x:c>
      <x:c r="Q219" t="n">
        <x:v>0</x:v>
      </x:c>
      <x:c r="R219" t="n">
        <x:v>21.93</x:v>
      </x:c>
      <x:c r="S219" t="n">
        <x:v>59.56</x:v>
      </x:c>
      <x:c r="T219" t="str">
        <x:v>https://y.gtimg.cn/music/photo_new/T002R500x500M000000JotAZ2WZEkq_1.jpg</x:v>
      </x:c>
      <x:c r="U219" s="24" t="str">
        <x:f>IFERROR(VLOOKUP(I219,'07_字典与参数'!$G$5:$J$9,2,FALSE),"未入选")</x:f>
        <x:v>未入选</x:v>
      </x:c>
      <x:c r="V219" s="24" t="str">
        <x:f>IFERROR(VLOOKUP(I219,'07_字典与参数'!$G$5:$J$9,3,FALSE),"—")</x:f>
        <x:v>—</x:v>
      </x:c>
      <x:c r="W219" s="24" t="str">
        <x:f>IF(U219="未入选","否","是")</x:f>
        <x:v>否</x:v>
      </x:c>
    </x:row>
    <x:row r="220">
      <x:c r="A220" t="n">
        <x:v>202629</x:v>
      </x:c>
      <x:c r="B220" t="str">
        <x:v>第29期（07.20-07.26）</x:v>
      </x:c>
      <x:c r="C220" t="str">
        <x:v>2026-07-20</x:v>
      </x:c>
      <x:c r="D220" t="str">
        <x:v>2026-07-26</x:v>
      </x:c>
      <x:c r="E220" t="n">
        <x:v>16</x:v>
      </x:c>
      <x:c r="F220" t="n">
        <x:v>474412512</x:v>
      </x:c>
      <x:c r="G220" t="str">
        <x:v>那天下雨了</x:v>
      </x:c>
      <x:c r="H220" t="str">
        <x:v>周杰伦</x:v>
      </x:c>
      <x:c r="I220" t="str">
        <x:v>0044SaFh0apuR2</x:v>
      </x:c>
      <x:c r="J220" t="str">
        <x:v>False</x:v>
      </x:c>
      <x:c r="K220" t="n">
        <x:v>28</x:v>
      </x:c>
      <x:c r="L220" t="n">
        <x:v>18</x:v>
      </x:c>
      <x:c r="M220" t="n">
        <x:v>2</x:v>
      </x:c>
      <x:c r="N220" t="n">
        <x:v>92.13892</x:v>
      </x:c>
      <x:c r="O220" t="n">
        <x:v>83.98</x:v>
      </x:c>
      <x:c r="P220" t="n">
        <x:v>0</x:v>
      </x:c>
      <x:c r="Q220" t="n">
        <x:v>0</x:v>
      </x:c>
      <x:c r="R220" t="n">
        <x:v>41.64</x:v>
      </x:c>
      <x:c r="S220" t="n">
        <x:v>57.79</x:v>
      </x:c>
      <x:c r="T220" t="str">
        <x:v>https://y.gtimg.cn/music/photo_new/T002R500x500M0000041WVfh2vtlJE_1.jpg</x:v>
      </x:c>
      <x:c r="U220" s="24" t="str">
        <x:f>IFERROR(VLOOKUP(I220,'07_字典与参数'!$G$5:$J$9,2,FALSE),"未入选")</x:f>
        <x:v>未入选</x:v>
      </x:c>
      <x:c r="V220" s="24" t="str">
        <x:f>IFERROR(VLOOKUP(I220,'07_字典与参数'!$G$5:$J$9,3,FALSE),"—")</x:f>
        <x:v>—</x:v>
      </x:c>
      <x:c r="W220" s="24" t="str">
        <x:f>IF(U220="未入选","否","是")</x:f>
        <x:v>否</x:v>
      </x:c>
    </x:row>
    <x:row r="221">
      <x:c r="A221" t="n">
        <x:v>202629</x:v>
      </x:c>
      <x:c r="B221" t="str">
        <x:v>第29期（07.20-07.26）</x:v>
      </x:c>
      <x:c r="C221" t="str">
        <x:v>2026-07-20</x:v>
      </x:c>
      <x:c r="D221" t="str">
        <x:v>2026-07-26</x:v>
      </x:c>
      <x:c r="E221" t="n">
        <x:v>17</x:v>
      </x:c>
      <x:c r="F221" t="n">
        <x:v>533095371</x:v>
      </x:c>
      <x:c r="G221" t="str">
        <x:v>媚人</x:v>
      </x:c>
      <x:c r="H221" t="str">
        <x:v>薛之谦</x:v>
      </x:c>
      <x:c r="I221" t="str">
        <x:v>001Fk1hB2OWZYH</x:v>
      </x:c>
      <x:c r="J221" t="str">
        <x:v>False</x:v>
      </x:c>
      <x:c r="K221" t="n">
        <x:v>8</x:v>
      </x:c>
      <x:c r="L221" t="n">
        <x:v>2</x:v>
      </x:c>
      <x:c r="M221" t="n">
        <x:v>8</x:v>
      </x:c>
      <x:c r="N221" t="n">
        <x:v>92.1206</x:v>
      </x:c>
      <x:c r="O221" t="n">
        <x:v>83.03</x:v>
      </x:c>
      <x:c r="P221" t="n">
        <x:v>0</x:v>
      </x:c>
      <x:c r="Q221" t="n">
        <x:v>0</x:v>
      </x:c>
      <x:c r="R221" t="n">
        <x:v>35.63</x:v>
      </x:c>
      <x:c r="S221" t="n">
        <x:v>62.69</x:v>
      </x:c>
      <x:c r="T221" t="str">
        <x:v>https://y.gtimg.cn/music/photo_new/T002R500x500M000002vfBmm41fIRe_1.jpg</x:v>
      </x:c>
      <x:c r="U221" s="24" t="str">
        <x:f>IFERROR(VLOOKUP(I221,'07_字典与参数'!$G$5:$J$9,2,FALSE),"未入选")</x:f>
        <x:v>未入选</x:v>
      </x:c>
      <x:c r="V221" s="24" t="str">
        <x:f>IFERROR(VLOOKUP(I221,'07_字典与参数'!$G$5:$J$9,3,FALSE),"—")</x:f>
        <x:v>—</x:v>
      </x:c>
      <x:c r="W221" s="24" t="str">
        <x:f>IF(U221="未入选","否","是")</x:f>
        <x:v>否</x:v>
      </x:c>
    </x:row>
    <x:row r="222">
      <x:c r="A222" t="n">
        <x:v>202629</x:v>
      </x:c>
      <x:c r="B222" t="str">
        <x:v>第29期（07.20-07.26）</x:v>
      </x:c>
      <x:c r="C222" t="str">
        <x:v>2026-07-20</x:v>
      </x:c>
      <x:c r="D222" t="str">
        <x:v>2026-07-26</x:v>
      </x:c>
      <x:c r="E222" t="n">
        <x:v>18</x:v>
      </x:c>
      <x:c r="F222" t="n">
        <x:v>447308818</x:v>
      </x:c>
      <x:c r="G222" t="str">
        <x:v>街角的晚风</x:v>
      </x:c>
      <x:c r="H222" t="str">
        <x:v>陈小春</x:v>
      </x:c>
      <x:c r="I222" t="str">
        <x:v>001e2FJz3QXaf0</x:v>
      </x:c>
      <x:c r="J222" t="str">
        <x:v>False</x:v>
      </x:c>
      <x:c r="K222" t="n">
        <x:v>34</x:v>
      </x:c>
      <x:c r="L222" t="n">
        <x:v>33</x:v>
      </x:c>
      <x:c r="M222" t="n">
        <x:v>5</x:v>
      </x:c>
      <x:c r="N222" t="n">
        <x:v>91.71054</x:v>
      </x:c>
      <x:c r="O222" t="n">
        <x:v>83.93</x:v>
      </x:c>
      <x:c r="P222" t="n">
        <x:v>0</x:v>
      </x:c>
      <x:c r="Q222" t="n">
        <x:v>0</x:v>
      </x:c>
      <x:c r="R222" t="n">
        <x:v>48.13</x:v>
      </x:c>
      <x:c r="S222" t="n">
        <x:v>40.7</x:v>
      </x:c>
      <x:c r="T222" t="str">
        <x:v>https://y.gtimg.cn/music/photo_new/T002R500x500M0000028jKt80PGmlB_4.jpg</x:v>
      </x:c>
      <x:c r="U222" s="24" t="str">
        <x:f>IFERROR(VLOOKUP(I222,'07_字典与参数'!$G$5:$J$9,2,FALSE),"未入选")</x:f>
        <x:v>未入选</x:v>
      </x:c>
      <x:c r="V222" s="24" t="str">
        <x:f>IFERROR(VLOOKUP(I222,'07_字典与参数'!$G$5:$J$9,3,FALSE),"—")</x:f>
        <x:v>—</x:v>
      </x:c>
      <x:c r="W222" s="24" t="str">
        <x:f>IF(U222="未入选","否","是")</x:f>
        <x:v>否</x:v>
      </x:c>
    </x:row>
    <x:row r="223">
      <x:c r="A223" t="n">
        <x:v>202629</x:v>
      </x:c>
      <x:c r="B223" t="str">
        <x:v>第29期（07.20-07.26）</x:v>
      </x:c>
      <x:c r="C223" t="str">
        <x:v>2026-07-20</x:v>
      </x:c>
      <x:c r="D223" t="str">
        <x:v>2026-07-26</x:v>
      </x:c>
      <x:c r="E223" t="n">
        <x:v>19</x:v>
      </x:c>
      <x:c r="F223" t="n">
        <x:v>385505856</x:v>
      </x:c>
      <x:c r="G223" t="str">
        <x:v>像晴天像雨天</x:v>
      </x:c>
      <x:c r="H223" t="str">
        <x:v>汪苏泷</x:v>
      </x:c>
      <x:c r="I223" t="str">
        <x:v>003sZs4P2hFUVQ</x:v>
      </x:c>
      <x:c r="J223" t="str">
        <x:v>False</x:v>
      </x:c>
      <x:c r="K223" t="n">
        <x:v>22</x:v>
      </x:c>
      <x:c r="L223" t="n">
        <x:v>76</x:v>
      </x:c>
      <x:c r="M223" t="n">
        <x:v>6</x:v>
      </x:c>
      <x:c r="N223" t="n">
        <x:v>91.70727</x:v>
      </x:c>
      <x:c r="O223" t="n">
        <x:v>77.81</x:v>
      </x:c>
      <x:c r="P223" t="n">
        <x:v>0</x:v>
      </x:c>
      <x:c r="Q223" t="n">
        <x:v>0</x:v>
      </x:c>
      <x:c r="R223" t="n">
        <x:v>25.06</x:v>
      </x:c>
      <x:c r="S223" t="n">
        <x:v>70.81</x:v>
      </x:c>
      <x:c r="T223" t="str">
        <x:v>https://y.gtimg.cn/music/photo_new/T002R500x500M000001V8PDy1om05K_1.jpg</x:v>
      </x:c>
      <x:c r="U223" s="24" t="str">
        <x:f>IFERROR(VLOOKUP(I223,'07_字典与参数'!$G$5:$J$9,2,FALSE),"未入选")</x:f>
        <x:v>未入选</x:v>
      </x:c>
      <x:c r="V223" s="24" t="str">
        <x:f>IFERROR(VLOOKUP(I223,'07_字典与参数'!$G$5:$J$9,3,FALSE),"—")</x:f>
        <x:v>—</x:v>
      </x:c>
      <x:c r="W223" s="24" t="str">
        <x:f>IF(U223="未入选","否","是")</x:f>
        <x:v>否</x:v>
      </x:c>
    </x:row>
    <x:row r="224">
      <x:c r="A224" t="n">
        <x:v>202629</x:v>
      </x:c>
      <x:c r="B224" t="str">
        <x:v>第29期（07.20-07.26）</x:v>
      </x:c>
      <x:c r="C224" t="str">
        <x:v>2026-07-20</x:v>
      </x:c>
      <x:c r="D224" t="str">
        <x:v>2026-07-26</x:v>
      </x:c>
      <x:c r="E224" t="n">
        <x:v>20</x:v>
      </x:c>
      <x:c r="F224" t="n">
        <x:v>293603181</x:v>
      </x:c>
      <x:c r="G224" t="str">
        <x:v>小美满</x:v>
      </x:c>
      <x:c r="H224" t="str">
        <x:v>周深</x:v>
      </x:c>
      <x:c r="I224" t="str">
        <x:v>002QvWwX1BG9mr</x:v>
      </x:c>
      <x:c r="J224" t="str">
        <x:v>False</x:v>
      </x:c>
      <x:c r="K224" t="n">
        <x:v>21</x:v>
      </x:c>
      <x:c r="L224" t="n">
        <x:v>129</x:v>
      </x:c>
      <x:c r="M224" t="n">
        <x:v>1</x:v>
      </x:c>
      <x:c r="N224" t="n">
        <x:v>91.67786</x:v>
      </x:c>
      <x:c r="O224" t="n">
        <x:v>79.56</x:v>
      </x:c>
      <x:c r="P224" t="n">
        <x:v>0</x:v>
      </x:c>
      <x:c r="Q224" t="n">
        <x:v>0</x:v>
      </x:c>
      <x:c r="R224" t="n">
        <x:v>38.34</x:v>
      </x:c>
      <x:c r="S224" t="n">
        <x:v>68.63</x:v>
      </x:c>
      <x:c r="T224" t="str">
        <x:v>https://y.gtimg.cn/music/photo_new/T002R500x500M0000002ATV00WcBgd_2.jpg</x:v>
      </x:c>
      <x:c r="U224" s="24" t="str">
        <x:f>IFERROR(VLOOKUP(I224,'07_字典与参数'!$G$5:$J$9,2,FALSE),"未入选")</x:f>
        <x:v>未入选</x:v>
      </x:c>
      <x:c r="V224" s="24" t="str">
        <x:f>IFERROR(VLOOKUP(I224,'07_字典与参数'!$G$5:$J$9,3,FALSE),"—")</x:f>
        <x:v>—</x:v>
      </x:c>
      <x:c r="W224" s="24" t="str">
        <x:f>IF(U224="未入选","否","是")</x:f>
        <x:v>否</x:v>
      </x:c>
    </x:row>
    <x:row r="225">
      <x:c r="A225" t="n">
        <x:v>202629</x:v>
      </x:c>
      <x:c r="B225" t="str">
        <x:v>第29期（07.20-07.26）</x:v>
      </x:c>
      <x:c r="C225" t="str">
        <x:v>2026-07-20</x:v>
      </x:c>
      <x:c r="D225" t="str">
        <x:v>2026-07-26</x:v>
      </x:c>
      <x:c r="E225" t="n">
        <x:v>21</x:v>
      </x:c>
      <x:c r="F225" t="n">
        <x:v>199985272</x:v>
      </x:c>
      <x:c r="G225" t="str">
        <x:v>花开忘忧</x:v>
      </x:c>
      <x:c r="H225" t="str">
        <x:v>周深</x:v>
      </x:c>
      <x:c r="I225" t="str">
        <x:v>004czGF42WSgko</x:v>
      </x:c>
      <x:c r="J225" t="str">
        <x:v>False</x:v>
      </x:c>
      <x:c r="K225" t="n">
        <x:v>19</x:v>
      </x:c>
      <x:c r="L225" t="n">
        <x:v>203</x:v>
      </x:c>
      <x:c r="M225" t="n">
        <x:v>1</x:v>
      </x:c>
      <x:c r="N225" t="n">
        <x:v>91.53411</x:v>
      </x:c>
      <x:c r="O225" t="n">
        <x:v>71.84</x:v>
      </x:c>
      <x:c r="P225" t="n">
        <x:v>0</x:v>
      </x:c>
      <x:c r="Q225" t="n">
        <x:v>0</x:v>
      </x:c>
      <x:c r="R225" t="n">
        <x:v>39.65</x:v>
      </x:c>
      <x:c r="S225" t="n">
        <x:v>72.09</x:v>
      </x:c>
      <x:c r="T225" t="str">
        <x:v>https://y.gtimg.cn/music/photo_new/T002R500x500M000001rb1ah0bFKMo_1.jpg</x:v>
      </x:c>
      <x:c r="U225" s="24" t="str">
        <x:f>IFERROR(VLOOKUP(I225,'07_字典与参数'!$G$5:$J$9,2,FALSE),"未入选")</x:f>
        <x:v>未入选</x:v>
      </x:c>
      <x:c r="V225" s="24" t="str">
        <x:f>IFERROR(VLOOKUP(I225,'07_字典与参数'!$G$5:$J$9,3,FALSE),"—")</x:f>
        <x:v>—</x:v>
      </x:c>
      <x:c r="W225" s="24" t="str">
        <x:f>IF(U225="未入选","否","是")</x:f>
        <x:v>否</x:v>
      </x:c>
    </x:row>
    <x:row r="226">
      <x:c r="A226" t="n">
        <x:v>202629</x:v>
      </x:c>
      <x:c r="B226" t="str">
        <x:v>第29期（07.20-07.26）</x:v>
      </x:c>
      <x:c r="C226" t="str">
        <x:v>2026-07-20</x:v>
      </x:c>
      <x:c r="D226" t="str">
        <x:v>2026-07-26</x:v>
      </x:c>
      <x:c r="E226" t="n">
        <x:v>22</x:v>
      </x:c>
      <x:c r="F226" t="n">
        <x:v>534156472</x:v>
      </x:c>
      <x:c r="G226" t="str">
        <x:v>耳朵</x:v>
      </x:c>
      <x:c r="H226" t="str">
        <x:v>JOSHUA</x:v>
      </x:c>
      <x:c r="I226" t="str">
        <x:v>002j3L464CkhrE</x:v>
      </x:c>
      <x:c r="J226" t="str">
        <x:v>True</x:v>
      </x:c>
      <x:c r="K226" t="n">
        <x:v>0</x:v>
      </x:c>
      <x:c r="L226" t="n">
        <x:v>1</x:v>
      </x:c>
      <x:c r="M226" t="n">
        <x:v>22</x:v>
      </x:c>
      <x:c r="N226" t="n">
        <x:v>91.53314</x:v>
      </x:c>
      <x:c r="O226" t="n">
        <x:v>71.03</x:v>
      </x:c>
      <x:c r="P226" t="n">
        <x:v>0</x:v>
      </x:c>
      <x:c r="Q226" t="n">
        <x:v>0</x:v>
      </x:c>
      <x:c r="R226" t="n">
        <x:v>49.81</x:v>
      </x:c>
      <x:c r="S226" t="n">
        <x:v>71.76</x:v>
      </x:c>
      <x:c r="T226" t="str">
        <x:v>https://y.gtimg.cn/music/photo_new/T002R500x500M000002PtA2u0hqulV_1.jpg</x:v>
      </x:c>
      <x:c r="U226" s="24" t="str">
        <x:f>IFERROR(VLOOKUP(I226,'07_字典与参数'!$G$5:$J$9,2,FALSE),"未入选")</x:f>
        <x:v>未入选</x:v>
      </x:c>
      <x:c r="V226" s="24" t="str">
        <x:f>IFERROR(VLOOKUP(I226,'07_字典与参数'!$G$5:$J$9,3,FALSE),"—")</x:f>
        <x:v>—</x:v>
      </x:c>
      <x:c r="W226" s="24" t="str">
        <x:f>IF(U226="未入选","否","是")</x:f>
        <x:v>否</x:v>
      </x:c>
    </x:row>
    <x:row r="227">
      <x:c r="A227" t="n">
        <x:v>202629</x:v>
      </x:c>
      <x:c r="B227" t="str">
        <x:v>第29期（07.20-07.26）</x:v>
      </x:c>
      <x:c r="C227" t="str">
        <x:v>2026-07-20</x:v>
      </x:c>
      <x:c r="D227" t="str">
        <x:v>2026-07-26</x:v>
      </x:c>
      <x:c r="E227" t="n">
        <x:v>23</x:v>
      </x:c>
      <x:c r="F227" t="n">
        <x:v>475529076</x:v>
      </x:c>
      <x:c r="G227" t="str">
        <x:v>Fever Pitch</x:v>
      </x:c>
      <x:c r="H227" t="str">
        <x:v>Richz</x:v>
      </x:c>
      <x:c r="I227" t="str">
        <x:v>000WhoSx0Wpvog</x:v>
      </x:c>
      <x:c r="J227" t="str">
        <x:v>False</x:v>
      </x:c>
      <x:c r="K227" t="n">
        <x:v>35</x:v>
      </x:c>
      <x:c r="L227" t="n">
        <x:v>11</x:v>
      </x:c>
      <x:c r="M227" t="n">
        <x:v>22</x:v>
      </x:c>
      <x:c r="N227" t="n">
        <x:v>91.38871</x:v>
      </x:c>
      <x:c r="O227" t="n">
        <x:v>83.51</x:v>
      </x:c>
      <x:c r="P227" t="n">
        <x:v>0</x:v>
      </x:c>
      <x:c r="Q227" t="n">
        <x:v>0</x:v>
      </x:c>
      <x:c r="R227" t="n">
        <x:v>35.79</x:v>
      </x:c>
      <x:c r="S227" t="n">
        <x:v>40.36</x:v>
      </x:c>
      <x:c r="T227" t="str">
        <x:v>https://y.gtimg.cn/music/photo_new/T002R500x500M0000013EMSw3bvHuu_1.jpg</x:v>
      </x:c>
      <x:c r="U227" s="24" t="str">
        <x:f>IFERROR(VLOOKUP(I227,'07_字典与参数'!$G$5:$J$9,2,FALSE),"未入选")</x:f>
        <x:v>未入选</x:v>
      </x:c>
      <x:c r="V227" s="24" t="str">
        <x:f>IFERROR(VLOOKUP(I227,'07_字典与参数'!$G$5:$J$9,3,FALSE),"—")</x:f>
        <x:v>—</x:v>
      </x:c>
      <x:c r="W227" s="24" t="str">
        <x:f>IF(U227="未入选","否","是")</x:f>
        <x:v>否</x:v>
      </x:c>
    </x:row>
    <x:row r="228">
      <x:c r="A228" t="n">
        <x:v>202629</x:v>
      </x:c>
      <x:c r="B228" t="str">
        <x:v>第29期（07.20-07.26）</x:v>
      </x:c>
      <x:c r="C228" t="str">
        <x:v>2026-07-20</x:v>
      </x:c>
      <x:c r="D228" t="str">
        <x:v>2026-07-26</x:v>
      </x:c>
      <x:c r="E228" t="n">
        <x:v>24</x:v>
      </x:c>
      <x:c r="F228" t="n">
        <x:v>532410190</x:v>
      </x:c>
      <x:c r="G228" t="str">
        <x:v>小小的我</x:v>
      </x:c>
      <x:c r="H228" t="str">
        <x:v>罗云熙</x:v>
      </x:c>
      <x:c r="I228" t="str">
        <x:v>000rF3qi30JHca</x:v>
      </x:c>
      <x:c r="J228" t="str">
        <x:v>True</x:v>
      </x:c>
      <x:c r="K228" t="n">
        <x:v>0</x:v>
      </x:c>
      <x:c r="L228" t="n">
        <x:v>1</x:v>
      </x:c>
      <x:c r="M228" t="n">
        <x:v>24</x:v>
      </x:c>
      <x:c r="N228" t="n">
        <x:v>91.33893</x:v>
      </x:c>
      <x:c r="O228" t="n">
        <x:v>51.17</x:v>
      </x:c>
      <x:c r="P228" t="n">
        <x:v>0</x:v>
      </x:c>
      <x:c r="Q228" t="n">
        <x:v>0</x:v>
      </x:c>
      <x:c r="R228" t="n">
        <x:v>72.63</x:v>
      </x:c>
      <x:c r="S228" t="n">
        <x:v>50.54</x:v>
      </x:c>
      <x:c r="T228" t="str">
        <x:v>https://y.gtimg.cn/music/photo_new/T002R500x500M000002D9AST0qddiF_1.jpg</x:v>
      </x:c>
      <x:c r="U228" s="24" t="str">
        <x:f>IFERROR(VLOOKUP(I228,'07_字典与参数'!$G$5:$J$9,2,FALSE),"未入选")</x:f>
        <x:v>未入选</x:v>
      </x:c>
      <x:c r="V228" s="24" t="str">
        <x:f>IFERROR(VLOOKUP(I228,'07_字典与参数'!$G$5:$J$9,3,FALSE),"—")</x:f>
        <x:v>—</x:v>
      </x:c>
      <x:c r="W228" s="24" t="str">
        <x:f>IF(U228="未入选","否","是")</x:f>
        <x:v>否</x:v>
      </x:c>
    </x:row>
    <x:row r="229">
      <x:c r="A229" t="n">
        <x:v>202629</x:v>
      </x:c>
      <x:c r="B229" t="str">
        <x:v>第29期（07.20-07.26）</x:v>
      </x:c>
      <x:c r="C229" t="str">
        <x:v>2026-07-20</x:v>
      </x:c>
      <x:c r="D229" t="str">
        <x:v>2026-07-26</x:v>
      </x:c>
      <x:c r="E229" t="n">
        <x:v>25</x:v>
      </x:c>
      <x:c r="F229" t="n">
        <x:v>532831826</x:v>
      </x:c>
      <x:c r="G229" t="str">
        <x:v>ZESTY</x:v>
      </x:c>
      <x:c r="H229" t="str">
        <x:v>袁一琦</x:v>
      </x:c>
      <x:c r="I229" t="str">
        <x:v>004Ymb8G1GWzPk</x:v>
      </x:c>
      <x:c r="J229" t="str">
        <x:v>False</x:v>
      </x:c>
      <x:c r="K229" t="n">
        <x:v>6</x:v>
      </x:c>
      <x:c r="L229" t="n">
        <x:v>2</x:v>
      </x:c>
      <x:c r="M229" t="n">
        <x:v>6</x:v>
      </x:c>
      <x:c r="N229" t="n">
        <x:v>91.27165</x:v>
      </x:c>
      <x:c r="O229" t="n">
        <x:v>68.93</x:v>
      </x:c>
      <x:c r="P229" t="n">
        <x:v>0</x:v>
      </x:c>
      <x:c r="Q229" t="n">
        <x:v>0</x:v>
      </x:c>
      <x:c r="R229" t="n">
        <x:v>54.39</x:v>
      </x:c>
      <x:c r="S229" t="n">
        <x:v>70.85</x:v>
      </x:c>
      <x:c r="T229" t="str">
        <x:v>https://y.gtimg.cn/music/photo_new/T002R500x500M000003qltM2469LMm_2.jpg</x:v>
      </x:c>
      <x:c r="U229" s="24" t="str">
        <x:f>IFERROR(VLOOKUP(I229,'07_字典与参数'!$G$5:$J$9,2,FALSE),"未入选")</x:f>
        <x:v>未入选</x:v>
      </x:c>
      <x:c r="V229" s="24" t="str">
        <x:f>IFERROR(VLOOKUP(I229,'07_字典与参数'!$G$5:$J$9,3,FALSE),"—")</x:f>
        <x:v>—</x:v>
      </x:c>
      <x:c r="W229" s="24" t="str">
        <x:f>IF(U229="未入选","否","是")</x:f>
        <x:v>否</x:v>
      </x:c>
    </x:row>
    <x:row r="230">
      <x:c r="A230" t="n">
        <x:v>202629</x:v>
      </x:c>
      <x:c r="B230" t="str">
        <x:v>第29期（07.20-07.26）</x:v>
      </x:c>
      <x:c r="C230" t="str">
        <x:v>2026-07-20</x:v>
      </x:c>
      <x:c r="D230" t="str">
        <x:v>2026-07-26</x:v>
      </x:c>
      <x:c r="E230" t="n">
        <x:v>26</x:v>
      </x:c>
      <x:c r="F230" t="n">
        <x:v>535195004</x:v>
      </x:c>
      <x:c r="G230" t="str">
        <x:v>竞速游戏</x:v>
      </x:c>
      <x:c r="H230" t="str">
        <x:v>TOP登陆少年组合</x:v>
      </x:c>
      <x:c r="I230" t="str">
        <x:v>002cmsGd2ClwVJ</x:v>
      </x:c>
      <x:c r="J230" t="str">
        <x:v>True</x:v>
      </x:c>
      <x:c r="K230" t="n">
        <x:v>0</x:v>
      </x:c>
      <x:c r="L230" t="n">
        <x:v>1</x:v>
      </x:c>
      <x:c r="M230" t="n">
        <x:v>26</x:v>
      </x:c>
      <x:c r="N230" t="n">
        <x:v>91.20796</x:v>
      </x:c>
      <x:c r="O230" t="n">
        <x:v>66.85</x:v>
      </x:c>
      <x:c r="P230" t="n">
        <x:v>0</x:v>
      </x:c>
      <x:c r="Q230" t="n">
        <x:v>0</x:v>
      </x:c>
      <x:c r="R230" t="n">
        <x:v>56.01</x:v>
      </x:c>
      <x:c r="S230" t="n">
        <x:v>70.66</x:v>
      </x:c>
      <x:c r="T230" t="str">
        <x:v>https://y.gtimg.cn/music/photo_new/T002R500x500M000000ji8iX05RUPt_1.jpg</x:v>
      </x:c>
      <x:c r="U230" s="24" t="str">
        <x:f>IFERROR(VLOOKUP(I230,'07_字典与参数'!$G$5:$J$9,2,FALSE),"未入选")</x:f>
        <x:v>未入选</x:v>
      </x:c>
      <x:c r="V230" s="24" t="str">
        <x:f>IFERROR(VLOOKUP(I230,'07_字典与参数'!$G$5:$J$9,3,FALSE),"—")</x:f>
        <x:v>—</x:v>
      </x:c>
      <x:c r="W230" s="24" t="str">
        <x:f>IF(U230="未入选","否","是")</x:f>
        <x:v>否</x:v>
      </x:c>
    </x:row>
    <x:row r="231">
      <x:c r="A231" t="n">
        <x:v>202629</x:v>
      </x:c>
      <x:c r="B231" t="str">
        <x:v>第29期（07.20-07.26）</x:v>
      </x:c>
      <x:c r="C231" t="str">
        <x:v>2026-07-20</x:v>
      </x:c>
      <x:c r="D231" t="str">
        <x:v>2026-07-26</x:v>
      </x:c>
      <x:c r="E231" t="n">
        <x:v>27</x:v>
      </x:c>
      <x:c r="F231" t="n">
        <x:v>531112810</x:v>
      </x:c>
      <x:c r="G231" t="str">
        <x:v>周旋</x:v>
      </x:c>
      <x:c r="H231" t="str">
        <x:v>王以太,艾热AIR</x:v>
      </x:c>
      <x:c r="I231" t="str">
        <x:v>0009cN231s93BH</x:v>
      </x:c>
      <x:c r="J231" t="str">
        <x:v>False</x:v>
      </x:c>
      <x:c r="K231" t="n">
        <x:v>40</x:v>
      </x:c>
      <x:c r="L231" t="n">
        <x:v>2</x:v>
      </x:c>
      <x:c r="M231" t="n">
        <x:v>27</x:v>
      </x:c>
      <x:c r="N231" t="n">
        <x:v>90.97213</x:v>
      </x:c>
      <x:c r="O231" t="n">
        <x:v>80.29</x:v>
      </x:c>
      <x:c r="P231" t="n">
        <x:v>0</x:v>
      </x:c>
      <x:c r="Q231" t="n">
        <x:v>0</x:v>
      </x:c>
      <x:c r="R231" t="n">
        <x:v>10.88</x:v>
      </x:c>
      <x:c r="S231" t="n">
        <x:v>61.17</x:v>
      </x:c>
      <x:c r="T231" t="str">
        <x:v>https://y.gtimg.cn/music/photo_new/T002R500x500M000000TFXPO1bLY2u_1.jpg</x:v>
      </x:c>
      <x:c r="U231" s="24" t="n">
        <x:f>IFERROR(VLOOKUP(I231,'07_字典与参数'!$G$5:$J$9,2,FALSE),"未入选")</x:f>
        <x:v>71.3</x:v>
      </x:c>
      <x:c r="V231" s="24" t="str">
        <x:f>IFERROR(VLOOKUP(I231,'07_字典与参数'!$G$5:$J$9,3,FALSE),"—")</x:f>
        <x:v>周旋</x:v>
      </x:c>
      <x:c r="W231" s="24" t="str">
        <x:f>IF(U231="未入选","否","是")</x:f>
        <x:v>是</x:v>
      </x:c>
    </x:row>
    <x:row r="232">
      <x:c r="A232" t="n">
        <x:v>202629</x:v>
      </x:c>
      <x:c r="B232" t="str">
        <x:v>第29期（07.20-07.26）</x:v>
      </x:c>
      <x:c r="C232" t="str">
        <x:v>2026-07-20</x:v>
      </x:c>
      <x:c r="D232" t="str">
        <x:v>2026-07-26</x:v>
      </x:c>
      <x:c r="E232" t="n">
        <x:v>28</x:v>
      </x:c>
      <x:c r="F232" t="n">
        <x:v>501946792</x:v>
      </x:c>
      <x:c r="G232" t="str">
        <x:v>云絮低语</x:v>
      </x:c>
      <x:c r="H232" t="str">
        <x:v>云朵</x:v>
      </x:c>
      <x:c r="I232" t="str">
        <x:v>000X5dVy0AaZKa</x:v>
      </x:c>
      <x:c r="J232" t="str">
        <x:v>False</x:v>
      </x:c>
      <x:c r="K232" t="n">
        <x:v>41</x:v>
      </x:c>
      <x:c r="L232" t="n">
        <x:v>4</x:v>
      </x:c>
      <x:c r="M232" t="n">
        <x:v>28</x:v>
      </x:c>
      <x:c r="N232" t="n">
        <x:v>90.912</x:v>
      </x:c>
      <x:c r="O232" t="n">
        <x:v>62.93</x:v>
      </x:c>
      <x:c r="P232" t="n">
        <x:v>0</x:v>
      </x:c>
      <x:c r="Q232" t="n">
        <x:v>0</x:v>
      </x:c>
      <x:c r="R232" t="n">
        <x:v>56.98</x:v>
      </x:c>
      <x:c r="S232" t="n">
        <x:v>69.97</x:v>
      </x:c>
      <x:c r="T232" t="str">
        <x:v>https://y.gtimg.cn/music/photo_new/T002R500x500M000000BlY9Z3Nrr3g_1.jpg</x:v>
      </x:c>
      <x:c r="U232" s="24" t="str">
        <x:f>IFERROR(VLOOKUP(I232,'07_字典与参数'!$G$5:$J$9,2,FALSE),"未入选")</x:f>
        <x:v>未入选</x:v>
      </x:c>
      <x:c r="V232" s="24" t="str">
        <x:f>IFERROR(VLOOKUP(I232,'07_字典与参数'!$G$5:$J$9,3,FALSE),"—")</x:f>
        <x:v>—</x:v>
      </x:c>
      <x:c r="W232" s="24" t="str">
        <x:f>IF(U232="未入选","否","是")</x:f>
        <x:v>否</x:v>
      </x:c>
    </x:row>
    <x:row r="233">
      <x:c r="A233" t="n">
        <x:v>202629</x:v>
      </x:c>
      <x:c r="B233" t="str">
        <x:v>第29期（07.20-07.26）</x:v>
      </x:c>
      <x:c r="C233" t="str">
        <x:v>2026-07-20</x:v>
      </x:c>
      <x:c r="D233" t="str">
        <x:v>2026-07-26</x:v>
      </x:c>
      <x:c r="E233" t="n">
        <x:v>29</x:v>
      </x:c>
      <x:c r="F233" t="n">
        <x:v>480678966</x:v>
      </x:c>
      <x:c r="G233" t="str">
        <x:v>静音恋人 (两颗缠绕的心)</x:v>
      </x:c>
      <x:c r="H233" t="str">
        <x:v>礼越</x:v>
      </x:c>
      <x:c r="I233" t="str">
        <x:v>0046UbDu4Lyebe</x:v>
      </x:c>
      <x:c r="J233" t="str">
        <x:v>False</x:v>
      </x:c>
      <x:c r="K233" t="n">
        <x:v>42</x:v>
      </x:c>
      <x:c r="L233" t="n">
        <x:v>9</x:v>
      </x:c>
      <x:c r="M233" t="n">
        <x:v>18</x:v>
      </x:c>
      <x:c r="N233" t="n">
        <x:v>90.58244</x:v>
      </x:c>
      <x:c r="O233" t="n">
        <x:v>80.72</x:v>
      </x:c>
      <x:c r="P233" t="n">
        <x:v>0</x:v>
      </x:c>
      <x:c r="Q233" t="n">
        <x:v>0</x:v>
      </x:c>
      <x:c r="R233" t="n">
        <x:v>33.03</x:v>
      </x:c>
      <x:c r="S233" t="n">
        <x:v>46.01</x:v>
      </x:c>
      <x:c r="T233" t="str">
        <x:v>https://y.gtimg.cn/music/photo_new/T002R500x500M0000002luCJ26Yi4n_2.jpg</x:v>
      </x:c>
      <x:c r="U233" s="24" t="str">
        <x:f>IFERROR(VLOOKUP(I233,'07_字典与参数'!$G$5:$J$9,2,FALSE),"未入选")</x:f>
        <x:v>未入选</x:v>
      </x:c>
      <x:c r="V233" s="24" t="str">
        <x:f>IFERROR(VLOOKUP(I233,'07_字典与参数'!$G$5:$J$9,3,FALSE),"—")</x:f>
        <x:v>—</x:v>
      </x:c>
      <x:c r="W233" s="24" t="str">
        <x:f>IF(U233="未入选","否","是")</x:f>
        <x:v>否</x:v>
      </x:c>
    </x:row>
    <x:row r="234">
      <x:c r="A234" t="n">
        <x:v>202629</x:v>
      </x:c>
      <x:c r="B234" t="str">
        <x:v>第29期（07.20-07.26）</x:v>
      </x:c>
      <x:c r="C234" t="str">
        <x:v>2026-07-20</x:v>
      </x:c>
      <x:c r="D234" t="str">
        <x:v>2026-07-26</x:v>
      </x:c>
      <x:c r="E234" t="n">
        <x:v>30</x:v>
      </x:c>
      <x:c r="F234" t="n">
        <x:v>478777514</x:v>
      </x:c>
      <x:c r="G234" t="str">
        <x:v>有风的日落</x:v>
      </x:c>
      <x:c r="H234" t="str">
        <x:v>万海东</x:v>
      </x:c>
      <x:c r="I234" t="str">
        <x:v>0046Ffh90pkMOs</x:v>
      </x:c>
      <x:c r="J234" t="str">
        <x:v>False</x:v>
      </x:c>
      <x:c r="K234" t="n">
        <x:v>45</x:v>
      </x:c>
      <x:c r="L234" t="n">
        <x:v>11</x:v>
      </x:c>
      <x:c r="M234" t="n">
        <x:v>15</x:v>
      </x:c>
      <x:c r="N234" t="n">
        <x:v>90.49988</x:v>
      </x:c>
      <x:c r="O234" t="n">
        <x:v>80.82</x:v>
      </x:c>
      <x:c r="P234" t="n">
        <x:v>0</x:v>
      </x:c>
      <x:c r="Q234" t="n">
        <x:v>0</x:v>
      </x:c>
      <x:c r="R234" t="n">
        <x:v>37.82</x:v>
      </x:c>
      <x:c r="S234" t="n">
        <x:v>31.71</x:v>
      </x:c>
      <x:c r="T234" t="str">
        <x:v>https://y.gtimg.cn/music/photo_new/T002R500x500M000003ifChN0R3y1H_1.jpg</x:v>
      </x:c>
      <x:c r="U234" s="24" t="str">
        <x:f>IFERROR(VLOOKUP(I234,'07_字典与参数'!$G$5:$J$9,2,FALSE),"未入选")</x:f>
        <x:v>未入选</x:v>
      </x:c>
      <x:c r="V234" s="24" t="str">
        <x:f>IFERROR(VLOOKUP(I234,'07_字典与参数'!$G$5:$J$9,3,FALSE),"—")</x:f>
        <x:v>—</x:v>
      </x:c>
      <x:c r="W234" s="24" t="str">
        <x:f>IF(U234="未入选","否","是")</x:f>
        <x:v>否</x:v>
      </x:c>
    </x:row>
    <x:row r="235">
      <x:c r="A235" t="n">
        <x:v>202629</x:v>
      </x:c>
      <x:c r="B235" t="str">
        <x:v>第29期（07.20-07.26）</x:v>
      </x:c>
      <x:c r="C235" t="str">
        <x:v>2026-07-20</x:v>
      </x:c>
      <x:c r="D235" t="str">
        <x:v>2026-07-26</x:v>
      </x:c>
      <x:c r="E235" t="n">
        <x:v>31</x:v>
      </x:c>
      <x:c r="F235" t="n">
        <x:v>480650227</x:v>
      </x:c>
      <x:c r="G235" t="str">
        <x:v>写故事的人</x:v>
      </x:c>
      <x:c r="H235" t="str">
        <x:v>汪苏泷</x:v>
      </x:c>
      <x:c r="I235" t="str">
        <x:v>0028t0n12nBn9U</x:v>
      </x:c>
      <x:c r="J235" t="str">
        <x:v>False</x:v>
      </x:c>
      <x:c r="K235" t="n">
        <x:v>36</x:v>
      </x:c>
      <x:c r="L235" t="n">
        <x:v>5</x:v>
      </x:c>
      <x:c r="M235" t="n">
        <x:v>13</x:v>
      </x:c>
      <x:c r="N235" t="n">
        <x:v>90.47749</x:v>
      </x:c>
      <x:c r="O235" t="n">
        <x:v>79.39</x:v>
      </x:c>
      <x:c r="P235" t="n">
        <x:v>0</x:v>
      </x:c>
      <x:c r="Q235" t="n">
        <x:v>0</x:v>
      </x:c>
      <x:c r="R235" t="n">
        <x:v>24.85</x:v>
      </x:c>
      <x:c r="S235" t="n">
        <x:v>54.59</x:v>
      </x:c>
      <x:c r="T235" t="str">
        <x:v>https://y.gtimg.cn/music/photo_new/T002R500x500M000000A1M903iHvyT_4.jpg</x:v>
      </x:c>
      <x:c r="U235" s="24" t="str">
        <x:f>IFERROR(VLOOKUP(I235,'07_字典与参数'!$G$5:$J$9,2,FALSE),"未入选")</x:f>
        <x:v>未入选</x:v>
      </x:c>
      <x:c r="V235" s="24" t="str">
        <x:f>IFERROR(VLOOKUP(I235,'07_字典与参数'!$G$5:$J$9,3,FALSE),"—")</x:f>
        <x:v>—</x:v>
      </x:c>
      <x:c r="W235" s="24" t="str">
        <x:f>IF(U235="未入选","否","是")</x:f>
        <x:v>否</x:v>
      </x:c>
    </x:row>
    <x:row r="236">
      <x:c r="A236" t="n">
        <x:v>202629</x:v>
      </x:c>
      <x:c r="B236" t="str">
        <x:v>第29期（07.20-07.26）</x:v>
      </x:c>
      <x:c r="C236" t="str">
        <x:v>2026-07-20</x:v>
      </x:c>
      <x:c r="D236" t="str">
        <x:v>2026-07-26</x:v>
      </x:c>
      <x:c r="E236" t="n">
        <x:v>32</x:v>
      </x:c>
      <x:c r="F236" t="n">
        <x:v>512152956</x:v>
      </x:c>
      <x:c r="G236" t="str">
        <x:v>以为有以后</x:v>
      </x:c>
      <x:c r="H236" t="str">
        <x:v>李廷旭</x:v>
      </x:c>
      <x:c r="I236" t="str">
        <x:v>001lkVOI2SdXSS</x:v>
      </x:c>
      <x:c r="J236" t="str">
        <x:v>True</x:v>
      </x:c>
      <x:c r="K236" t="n">
        <x:v>135</x:v>
      </x:c>
      <x:c r="L236" t="n">
        <x:v>1</x:v>
      </x:c>
      <x:c r="M236" t="n">
        <x:v>32</x:v>
      </x:c>
      <x:c r="N236" t="n">
        <x:v>90.38544</x:v>
      </x:c>
      <x:c r="O236" t="n">
        <x:v>80.99</x:v>
      </x:c>
      <x:c r="P236" t="n">
        <x:v>0</x:v>
      </x:c>
      <x:c r="Q236" t="n">
        <x:v>0</x:v>
      </x:c>
      <x:c r="R236" t="n">
        <x:v>4.89</x:v>
      </x:c>
      <x:c r="S236" t="n">
        <x:v>20.26</x:v>
      </x:c>
      <x:c r="T236" t="str">
        <x:v>https://y.gtimg.cn/music/photo_new/T002R500x500M00000364HbC0r03Ed_2.jpg</x:v>
      </x:c>
      <x:c r="U236" s="24" t="str">
        <x:f>IFERROR(VLOOKUP(I236,'07_字典与参数'!$G$5:$J$9,2,FALSE),"未入选")</x:f>
        <x:v>未入选</x:v>
      </x:c>
      <x:c r="V236" s="24" t="str">
        <x:f>IFERROR(VLOOKUP(I236,'07_字典与参数'!$G$5:$J$9,3,FALSE),"—")</x:f>
        <x:v>—</x:v>
      </x:c>
      <x:c r="W236" s="24" t="str">
        <x:f>IF(U236="未入选","否","是")</x:f>
        <x:v>否</x:v>
      </x:c>
    </x:row>
    <x:row r="237">
      <x:c r="A237" t="n">
        <x:v>202629</x:v>
      </x:c>
      <x:c r="B237" t="str">
        <x:v>第29期（07.20-07.26）</x:v>
      </x:c>
      <x:c r="C237" t="str">
        <x:v>2026-07-20</x:v>
      </x:c>
      <x:c r="D237" t="str">
        <x:v>2026-07-26</x:v>
      </x:c>
      <x:c r="E237" t="n">
        <x:v>33</x:v>
      </x:c>
      <x:c r="F237" t="n">
        <x:v>511364187</x:v>
      </x:c>
      <x:c r="G237" t="str">
        <x:v>挽红纱</x:v>
      </x:c>
      <x:c r="H237" t="str">
        <x:v>龚琳娜,张云雷</x:v>
      </x:c>
      <x:c r="I237" t="str">
        <x:v>000QQHy712ZX4T</x:v>
      </x:c>
      <x:c r="J237" t="str">
        <x:v>False</x:v>
      </x:c>
      <x:c r="K237" t="n">
        <x:v>49</x:v>
      </x:c>
      <x:c r="L237" t="n">
        <x:v>6</x:v>
      </x:c>
      <x:c r="M237" t="n">
        <x:v>7</x:v>
      </x:c>
      <x:c r="N237" t="n">
        <x:v>90.31772</x:v>
      </x:c>
      <x:c r="O237" t="n">
        <x:v>62.01</x:v>
      </x:c>
      <x:c r="P237" t="n">
        <x:v>0</x:v>
      </x:c>
      <x:c r="Q237" t="n">
        <x:v>0</x:v>
      </x:c>
      <x:c r="R237" t="n">
        <x:v>13.61</x:v>
      </x:c>
      <x:c r="S237" t="n">
        <x:v>69.93</x:v>
      </x:c>
      <x:c r="T237" t="str">
        <x:v>https://y.gtimg.cn/music/photo_new/T002R500x500M000000r1HER3uMIFZ_1.jpg</x:v>
      </x:c>
      <x:c r="U237" s="24" t="n">
        <x:f>IFERROR(VLOOKUP(I237,'07_字典与参数'!$G$5:$J$9,2,FALSE),"未入选")</x:f>
        <x:v>73.2</x:v>
      </x:c>
      <x:c r="V237" s="24" t="str">
        <x:f>IFERROR(VLOOKUP(I237,'07_字典与参数'!$G$5:$J$9,3,FALSE),"—")</x:f>
        <x:v>挽红纱</x:v>
      </x:c>
      <x:c r="W237" s="24" t="str">
        <x:f>IF(U237="未入选","否","是")</x:f>
        <x:v>是</x:v>
      </x:c>
    </x:row>
    <x:row r="238">
      <x:c r="A238" t="n">
        <x:v>202629</x:v>
      </x:c>
      <x:c r="B238" t="str">
        <x:v>第29期（07.20-07.26）</x:v>
      </x:c>
      <x:c r="C238" t="str">
        <x:v>2026-07-20</x:v>
      </x:c>
      <x:c r="D238" t="str">
        <x:v>2026-07-26</x:v>
      </x:c>
      <x:c r="E238" t="n">
        <x:v>34</x:v>
      </x:c>
      <x:c r="F238" t="n">
        <x:v>515804613</x:v>
      </x:c>
      <x:c r="G238" t="str">
        <x:v>8DM</x:v>
      </x:c>
      <x:c r="H238" t="str">
        <x:v>V8,徐明浩</x:v>
      </x:c>
      <x:c r="I238" t="str">
        <x:v>001gPXbo2gpbbH</x:v>
      </x:c>
      <x:c r="J238" t="str">
        <x:v>False</x:v>
      </x:c>
      <x:c r="K238" t="n">
        <x:v>37</x:v>
      </x:c>
      <x:c r="L238" t="n">
        <x:v>4</x:v>
      </x:c>
      <x:c r="M238" t="n">
        <x:v>12</x:v>
      </x:c>
      <x:c r="N238" t="n">
        <x:v>90.29606</x:v>
      </x:c>
      <x:c r="O238" t="n">
        <x:v>52.28</x:v>
      </x:c>
      <x:c r="P238" t="n">
        <x:v>0</x:v>
      </x:c>
      <x:c r="Q238" t="n">
        <x:v>0</x:v>
      </x:c>
      <x:c r="R238" t="n">
        <x:v>34.15</x:v>
      </x:c>
      <x:c r="S238" t="n">
        <x:v>70.03</x:v>
      </x:c>
      <x:c r="T238" t="str">
        <x:v>https://y.gtimg.cn/music/photo_new/T002R500x500M000000rDsrP3UzzFm_1.jpg</x:v>
      </x:c>
      <x:c r="U238" s="24" t="str">
        <x:f>IFERROR(VLOOKUP(I238,'07_字典与参数'!$G$5:$J$9,2,FALSE),"未入选")</x:f>
        <x:v>未入选</x:v>
      </x:c>
      <x:c r="V238" s="24" t="str">
        <x:f>IFERROR(VLOOKUP(I238,'07_字典与参数'!$G$5:$J$9,3,FALSE),"—")</x:f>
        <x:v>—</x:v>
      </x:c>
      <x:c r="W238" s="24" t="str">
        <x:f>IF(U238="未入选","否","是")</x:f>
        <x:v>否</x:v>
      </x:c>
    </x:row>
    <x:row r="239">
      <x:c r="A239" t="n">
        <x:v>202629</x:v>
      </x:c>
      <x:c r="B239" t="str">
        <x:v>第29期（07.20-07.26）</x:v>
      </x:c>
      <x:c r="C239" t="str">
        <x:v>2026-07-20</x:v>
      </x:c>
      <x:c r="D239" t="str">
        <x:v>2026-07-26</x:v>
      </x:c>
      <x:c r="E239" t="n">
        <x:v>35</x:v>
      </x:c>
      <x:c r="F239" t="n">
        <x:v>522467090</x:v>
      </x:c>
      <x:c r="G239" t="str">
        <x:v>香</x:v>
      </x:c>
      <x:c r="H239" t="str">
        <x:v>张艺兴</x:v>
      </x:c>
      <x:c r="I239" t="str">
        <x:v>001a7UVj0yhPcv</x:v>
      </x:c>
      <x:c r="J239" t="str">
        <x:v>True</x:v>
      </x:c>
      <x:c r="K239" t="n">
        <x:v>0</x:v>
      </x:c>
      <x:c r="L239" t="n">
        <x:v>1</x:v>
      </x:c>
      <x:c r="M239" t="n">
        <x:v>35</x:v>
      </x:c>
      <x:c r="N239" t="n">
        <x:v>90.2636</x:v>
      </x:c>
      <x:c r="O239" t="n">
        <x:v>68.01</x:v>
      </x:c>
      <x:c r="P239" t="n">
        <x:v>0</x:v>
      </x:c>
      <x:c r="Q239" t="n">
        <x:v>0</x:v>
      </x:c>
      <x:c r="R239" t="n">
        <x:v>63.63</x:v>
      </x:c>
      <x:c r="S239" t="n">
        <x:v>53.63</x:v>
      </x:c>
      <x:c r="T239" t="str">
        <x:v>https://y.gtimg.cn/music/photo_new/T002R500x500M000001w138z3PZEcz_1.jpg</x:v>
      </x:c>
      <x:c r="U239" s="24" t="str">
        <x:f>IFERROR(VLOOKUP(I239,'07_字典与参数'!$G$5:$J$9,2,FALSE),"未入选")</x:f>
        <x:v>未入选</x:v>
      </x:c>
      <x:c r="V239" s="24" t="str">
        <x:f>IFERROR(VLOOKUP(I239,'07_字典与参数'!$G$5:$J$9,3,FALSE),"—")</x:f>
        <x:v>—</x:v>
      </x:c>
      <x:c r="W239" s="24" t="str">
        <x:f>IF(U239="未入选","否","是")</x:f>
        <x:v>否</x:v>
      </x:c>
    </x:row>
    <x:row r="240">
      <x:c r="A240" t="n">
        <x:v>202629</x:v>
      </x:c>
      <x:c r="B240" t="str">
        <x:v>第29期（07.20-07.26）</x:v>
      </x:c>
      <x:c r="C240" t="str">
        <x:v>2026-07-20</x:v>
      </x:c>
      <x:c r="D240" t="str">
        <x:v>2026-07-26</x:v>
      </x:c>
      <x:c r="E240" t="n">
        <x:v>36</x:v>
      </x:c>
      <x:c r="F240" t="n">
        <x:v>522436401</x:v>
      </x:c>
      <x:c r="G240" t="str">
        <x:v>爱谁谁</x:v>
      </x:c>
      <x:c r="H240" t="str">
        <x:v>张艺兴</x:v>
      </x:c>
      <x:c r="I240" t="str">
        <x:v>0022DCpn01uwgJ</x:v>
      </x:c>
      <x:c r="J240" t="str">
        <x:v>False</x:v>
      </x:c>
      <x:c r="K240" t="n">
        <x:v>9</x:v>
      </x:c>
      <x:c r="L240" t="n">
        <x:v>4</x:v>
      </x:c>
      <x:c r="M240" t="n">
        <x:v>4</x:v>
      </x:c>
      <x:c r="N240" t="n">
        <x:v>90.1542</x:v>
      </x:c>
      <x:c r="O240" t="n">
        <x:v>60.19</x:v>
      </x:c>
      <x:c r="P240" t="n">
        <x:v>0</x:v>
      </x:c>
      <x:c r="Q240" t="n">
        <x:v>0</x:v>
      </x:c>
      <x:c r="R240" t="n">
        <x:v>67.76</x:v>
      </x:c>
      <x:c r="S240" t="n">
        <x:v>42.79</x:v>
      </x:c>
      <x:c r="T240" t="str">
        <x:v>https://y.gtimg.cn/music/photo_new/T002R500x500M000001w138z3PZEcz_1.jpg</x:v>
      </x:c>
      <x:c r="U240" s="24" t="str">
        <x:f>IFERROR(VLOOKUP(I240,'07_字典与参数'!$G$5:$J$9,2,FALSE),"未入选")</x:f>
        <x:v>未入选</x:v>
      </x:c>
      <x:c r="V240" s="24" t="str">
        <x:f>IFERROR(VLOOKUP(I240,'07_字典与参数'!$G$5:$J$9,3,FALSE),"—")</x:f>
        <x:v>—</x:v>
      </x:c>
      <x:c r="W240" s="24" t="str">
        <x:f>IF(U240="未入选","否","是")</x:f>
        <x:v>否</x:v>
      </x:c>
    </x:row>
    <x:row r="241">
      <x:c r="A241" t="n">
        <x:v>202629</x:v>
      </x:c>
      <x:c r="B241" t="str">
        <x:v>第29期（07.20-07.26）</x:v>
      </x:c>
      <x:c r="C241" t="str">
        <x:v>2026-07-20</x:v>
      </x:c>
      <x:c r="D241" t="str">
        <x:v>2026-07-26</x:v>
      </x:c>
      <x:c r="E241" t="n">
        <x:v>37</x:v>
      </x:c>
      <x:c r="F241" t="n">
        <x:v>532795800</x:v>
      </x:c>
      <x:c r="G241" t="str">
        <x:v>问</x:v>
      </x:c>
      <x:c r="H241" t="str">
        <x:v>TF_ING张子墨</x:v>
      </x:c>
      <x:c r="I241" t="str">
        <x:v>0002BKiw3M8Yqb</x:v>
      </x:c>
      <x:c r="J241" t="str">
        <x:v>False</x:v>
      </x:c>
      <x:c r="K241" t="n">
        <x:v>39</x:v>
      </x:c>
      <x:c r="L241" t="n">
        <x:v>2</x:v>
      </x:c>
      <x:c r="M241" t="n">
        <x:v>37</x:v>
      </x:c>
      <x:c r="N241" t="n">
        <x:v>90.13399</x:v>
      </x:c>
      <x:c r="O241" t="n">
        <x:v>52.27</x:v>
      </x:c>
      <x:c r="P241" t="n">
        <x:v>0</x:v>
      </x:c>
      <x:c r="Q241" t="n">
        <x:v>0</x:v>
      </x:c>
      <x:c r="R241" t="n">
        <x:v>20.83</x:v>
      </x:c>
      <x:c r="S241" t="n">
        <x:v>69.23</x:v>
      </x:c>
      <x:c r="T241" t="str">
        <x:v>https://y.gtimg.cn/music/photo_new/T002R500x500M000001dK7Q03f3u6K_1.jpg</x:v>
      </x:c>
      <x:c r="U241" s="24" t="str">
        <x:f>IFERROR(VLOOKUP(I241,'07_字典与参数'!$G$5:$J$9,2,FALSE),"未入选")</x:f>
        <x:v>未入选</x:v>
      </x:c>
      <x:c r="V241" s="24" t="str">
        <x:f>IFERROR(VLOOKUP(I241,'07_字典与参数'!$G$5:$J$9,3,FALSE),"—")</x:f>
        <x:v>—</x:v>
      </x:c>
      <x:c r="W241" s="24" t="str">
        <x:f>IF(U241="未入选","否","是")</x:f>
        <x:v>否</x:v>
      </x:c>
    </x:row>
    <x:row r="242">
      <x:c r="A242" t="n">
        <x:v>202629</x:v>
      </x:c>
      <x:c r="B242" t="str">
        <x:v>第29期（07.20-07.26）</x:v>
      </x:c>
      <x:c r="C242" t="str">
        <x:v>2026-07-20</x:v>
      </x:c>
      <x:c r="D242" t="str">
        <x:v>2026-07-26</x:v>
      </x:c>
      <x:c r="E242" t="n">
        <x:v>38</x:v>
      </x:c>
      <x:c r="F242" t="n">
        <x:v>458320813</x:v>
      </x:c>
      <x:c r="G242" t="str">
        <x:v>Someone Like You</x:v>
      </x:c>
      <x:c r="H242" t="str">
        <x:v>张真源</x:v>
      </x:c>
      <x:c r="I242" t="str">
        <x:v>004TaA831D40QG</x:v>
      </x:c>
      <x:c r="J242" t="str">
        <x:v>False</x:v>
      </x:c>
      <x:c r="K242" t="n">
        <x:v>44</x:v>
      </x:c>
      <x:c r="L242" t="n">
        <x:v>28</x:v>
      </x:c>
      <x:c r="M242" t="n">
        <x:v>1</x:v>
      </x:c>
      <x:c r="N242" t="n">
        <x:v>90.12974</x:v>
      </x:c>
      <x:c r="O242" t="n">
        <x:v>52.52</x:v>
      </x:c>
      <x:c r="P242" t="n">
        <x:v>0</x:v>
      </x:c>
      <x:c r="Q242" t="n">
        <x:v>0</x:v>
      </x:c>
      <x:c r="R242" t="n">
        <x:v>38.73</x:v>
      </x:c>
      <x:c r="S242" t="n">
        <x:v>67.97</x:v>
      </x:c>
      <x:c r="T242" t="str">
        <x:v>https://y.gtimg.cn/music/photo_new/T002R500x500M000002P1zsF2O3TDF_1.jpg</x:v>
      </x:c>
      <x:c r="U242" s="24" t="str">
        <x:f>IFERROR(VLOOKUP(I242,'07_字典与参数'!$G$5:$J$9,2,FALSE),"未入选")</x:f>
        <x:v>未入选</x:v>
      </x:c>
      <x:c r="V242" s="24" t="str">
        <x:f>IFERROR(VLOOKUP(I242,'07_字典与参数'!$G$5:$J$9,3,FALSE),"—")</x:f>
        <x:v>—</x:v>
      </x:c>
      <x:c r="W242" s="24" t="str">
        <x:f>IF(U242="未入选","否","是")</x:f>
        <x:v>否</x:v>
      </x:c>
    </x:row>
    <x:row r="243">
      <x:c r="A243" t="n">
        <x:v>202629</x:v>
      </x:c>
      <x:c r="B243" t="str">
        <x:v>第29期（07.20-07.26）</x:v>
      </x:c>
      <x:c r="C243" t="str">
        <x:v>2026-07-20</x:v>
      </x:c>
      <x:c r="D243" t="str">
        <x:v>2026-07-26</x:v>
      </x:c>
      <x:c r="E243" t="n">
        <x:v>39</x:v>
      </x:c>
      <x:c r="F243" t="n">
        <x:v>486022788</x:v>
      </x:c>
      <x:c r="G243" t="str">
        <x:v>两世洞天</x:v>
      </x:c>
      <x:c r="H243" t="str">
        <x:v>黄星</x:v>
      </x:c>
      <x:c r="I243" t="str">
        <x:v>001rRVzh2m7RJB</x:v>
      </x:c>
      <x:c r="J243" t="str">
        <x:v>False</x:v>
      </x:c>
      <x:c r="K243" t="n">
        <x:v>58</x:v>
      </x:c>
      <x:c r="L243" t="n">
        <x:v>8</x:v>
      </x:c>
      <x:c r="M243" t="n">
        <x:v>15</x:v>
      </x:c>
      <x:c r="N243" t="n">
        <x:v>90.09707</x:v>
      </x:c>
      <x:c r="O243" t="n">
        <x:v>50.46</x:v>
      </x:c>
      <x:c r="P243" t="n">
        <x:v>0</x:v>
      </x:c>
      <x:c r="Q243" t="n">
        <x:v>0</x:v>
      </x:c>
      <x:c r="R243" t="n">
        <x:v>7.94</x:v>
      </x:c>
      <x:c r="S243" t="n">
        <x:v>69.35</x:v>
      </x:c>
      <x:c r="T243" t="str">
        <x:v>https://y.gtimg.cn/music/photo_new/T002R500x500M0000001ze381iKWmo_2.jpg</x:v>
      </x:c>
      <x:c r="U243" s="24" t="n">
        <x:f>IFERROR(VLOOKUP(I243,'07_字典与参数'!$G$5:$J$9,2,FALSE),"未入选")</x:f>
        <x:v>75.8</x:v>
      </x:c>
      <x:c r="V243" s="24" t="str">
        <x:f>IFERROR(VLOOKUP(I243,'07_字典与参数'!$G$5:$J$9,3,FALSE),"—")</x:f>
        <x:v>两世洞天</x:v>
      </x:c>
      <x:c r="W243" s="24" t="str">
        <x:f>IF(U243="未入选","否","是")</x:f>
        <x:v>是</x:v>
      </x:c>
    </x:row>
    <x:row r="244">
      <x:c r="A244" t="n">
        <x:v>202629</x:v>
      </x:c>
      <x:c r="B244" t="str">
        <x:v>第29期（07.20-07.26）</x:v>
      </x:c>
      <x:c r="C244" t="str">
        <x:v>2026-07-20</x:v>
      </x:c>
      <x:c r="D244" t="str">
        <x:v>2026-07-26</x:v>
      </x:c>
      <x:c r="E244" t="n">
        <x:v>40</x:v>
      </x:c>
      <x:c r="F244" t="n">
        <x:v>487550585</x:v>
      </x:c>
      <x:c r="G244" t="str">
        <x:v>主角</x:v>
      </x:c>
      <x:c r="H244" t="str">
        <x:v>王菲</x:v>
      </x:c>
      <x:c r="I244" t="str">
        <x:v>001uywZc1PxmVv</x:v>
      </x:c>
      <x:c r="J244" t="str">
        <x:v>False</x:v>
      </x:c>
      <x:c r="K244" t="n">
        <x:v>54</x:v>
      </x:c>
      <x:c r="L244" t="n">
        <x:v>12</x:v>
      </x:c>
      <x:c r="M244" t="n">
        <x:v>11</x:v>
      </x:c>
      <x:c r="N244" t="n">
        <x:v>90.09591</x:v>
      </x:c>
      <x:c r="O244" t="n">
        <x:v>78.43</x:v>
      </x:c>
      <x:c r="P244" t="n">
        <x:v>0</x:v>
      </x:c>
      <x:c r="Q244" t="n">
        <x:v>0</x:v>
      </x:c>
      <x:c r="R244" t="n">
        <x:v>41.75</x:v>
      </x:c>
      <x:c r="S244" t="n">
        <x:v>41.72</x:v>
      </x:c>
      <x:c r="T244" t="str">
        <x:v>https://y.gtimg.cn/music/photo_new/T002R500x500M0000014oHsO311mVp_1.jpg</x:v>
      </x:c>
      <x:c r="U244" s="24" t="str">
        <x:f>IFERROR(VLOOKUP(I244,'07_字典与参数'!$G$5:$J$9,2,FALSE),"未入选")</x:f>
        <x:v>未入选</x:v>
      </x:c>
      <x:c r="V244" s="24" t="str">
        <x:f>IFERROR(VLOOKUP(I244,'07_字典与参数'!$G$5:$J$9,3,FALSE),"—")</x:f>
        <x:v>—</x:v>
      </x:c>
      <x:c r="W244" s="24" t="str">
        <x:f>IF(U244="未入选","否","是")</x:f>
        <x:v>否</x:v>
      </x:c>
    </x:row>
    <x:row r="245">
      <x:c r="A245" t="n">
        <x:v>202629</x:v>
      </x:c>
      <x:c r="B245" t="str">
        <x:v>第29期（07.20-07.26）</x:v>
      </x:c>
      <x:c r="C245" t="str">
        <x:v>2026-07-20</x:v>
      </x:c>
      <x:c r="D245" t="str">
        <x:v>2026-07-26</x:v>
      </x:c>
      <x:c r="E245" t="n">
        <x:v>41</x:v>
      </x:c>
      <x:c r="F245" t="n">
        <x:v>533046971</x:v>
      </x:c>
      <x:c r="G245" t="str">
        <x:v>尽情一刻</x:v>
      </x:c>
      <x:c r="H245" t="str">
        <x:v>汪苏泷</x:v>
      </x:c>
      <x:c r="I245" t="str">
        <x:v>003JBwuV1y9UtQ</x:v>
      </x:c>
      <x:c r="J245" t="str">
        <x:v>True</x:v>
      </x:c>
      <x:c r="K245" t="n">
        <x:v>0</x:v>
      </x:c>
      <x:c r="L245" t="n">
        <x:v>1</x:v>
      </x:c>
      <x:c r="M245" t="n">
        <x:v>41</x:v>
      </x:c>
      <x:c r="N245" t="n">
        <x:v>90.05386</x:v>
      </x:c>
      <x:c r="O245" t="n">
        <x:v>77.01</x:v>
      </x:c>
      <x:c r="P245" t="n">
        <x:v>0</x:v>
      </x:c>
      <x:c r="Q245" t="n">
        <x:v>0</x:v>
      </x:c>
      <x:c r="R245" t="n">
        <x:v>0.5</x:v>
      </x:c>
      <x:c r="S245" t="n">
        <x:v>55.16</x:v>
      </x:c>
      <x:c r="T245" t="str">
        <x:v>https://y.gtimg.cn/music/photo_new/T002R500x500M000000zb7J104KdXz_1.jpg</x:v>
      </x:c>
      <x:c r="U245" s="24" t="str">
        <x:f>IFERROR(VLOOKUP(I245,'07_字典与参数'!$G$5:$J$9,2,FALSE),"未入选")</x:f>
        <x:v>未入选</x:v>
      </x:c>
      <x:c r="V245" s="24" t="str">
        <x:f>IFERROR(VLOOKUP(I245,'07_字典与参数'!$G$5:$J$9,3,FALSE),"—")</x:f>
        <x:v>—</x:v>
      </x:c>
      <x:c r="W245" s="24" t="str">
        <x:f>IF(U245="未入选","否","是")</x:f>
        <x:v>否</x:v>
      </x:c>
    </x:row>
    <x:row r="246">
      <x:c r="A246" t="n">
        <x:v>202629</x:v>
      </x:c>
      <x:c r="B246" t="str">
        <x:v>第29期（07.20-07.26）</x:v>
      </x:c>
      <x:c r="C246" t="str">
        <x:v>2026-07-20</x:v>
      </x:c>
      <x:c r="D246" t="str">
        <x:v>2026-07-26</x:v>
      </x:c>
      <x:c r="E246" t="n">
        <x:v>42</x:v>
      </x:c>
      <x:c r="F246" t="n">
        <x:v>466598714</x:v>
      </x:c>
      <x:c r="G246" t="str">
        <x:v>人间共鸣</x:v>
      </x:c>
      <x:c r="H246" t="str">
        <x:v>李健</x:v>
      </x:c>
      <x:c r="I246" t="str">
        <x:v>001ve92b4N7wT1</x:v>
      </x:c>
      <x:c r="J246" t="str">
        <x:v>False</x:v>
      </x:c>
      <x:c r="K246" t="n">
        <x:v>59</x:v>
      </x:c>
      <x:c r="L246" t="n">
        <x:v>24</x:v>
      </x:c>
      <x:c r="M246" t="n">
        <x:v>4</x:v>
      </x:c>
      <x:c r="N246" t="n">
        <x:v>90.03585</x:v>
      </x:c>
      <x:c r="O246" t="n">
        <x:v>77.89</x:v>
      </x:c>
      <x:c r="P246" t="n">
        <x:v>0</x:v>
      </x:c>
      <x:c r="Q246" t="n">
        <x:v>0</x:v>
      </x:c>
      <x:c r="R246" t="n">
        <x:v>38.49</x:v>
      </x:c>
      <x:c r="S246" t="n">
        <x:v>45.09</x:v>
      </x:c>
      <x:c r="T246" t="str">
        <x:v>https://y.gtimg.cn/music/photo_new/T002R500x500M000003RVJjp1svtyz_1.jpg</x:v>
      </x:c>
      <x:c r="U246" s="24" t="str">
        <x:f>IFERROR(VLOOKUP(I246,'07_字典与参数'!$G$5:$J$9,2,FALSE),"未入选")</x:f>
        <x:v>未入选</x:v>
      </x:c>
      <x:c r="V246" s="24" t="str">
        <x:f>IFERROR(VLOOKUP(I246,'07_字典与参数'!$G$5:$J$9,3,FALSE),"—")</x:f>
        <x:v>—</x:v>
      </x:c>
      <x:c r="W246" s="24" t="str">
        <x:f>IF(U246="未入选","否","是")</x:f>
        <x:v>否</x:v>
      </x:c>
    </x:row>
    <x:row r="247">
      <x:c r="A247" t="n">
        <x:v>202629</x:v>
      </x:c>
      <x:c r="B247" t="str">
        <x:v>第29期（07.20-07.26）</x:v>
      </x:c>
      <x:c r="C247" t="str">
        <x:v>2026-07-20</x:v>
      </x:c>
      <x:c r="D247" t="str">
        <x:v>2026-07-26</x:v>
      </x:c>
      <x:c r="E247" t="n">
        <x:v>43</x:v>
      </x:c>
      <x:c r="F247" t="n">
        <x:v>534176228</x:v>
      </x:c>
      <x:c r="G247" t="str">
        <x:v>三分钟后一定睡</x:v>
      </x:c>
      <x:c r="H247" t="str">
        <x:v>蒋敦豪</x:v>
      </x:c>
      <x:c r="I247" t="str">
        <x:v>004XJgSP20NwEs</x:v>
      </x:c>
      <x:c r="J247" t="str">
        <x:v>True</x:v>
      </x:c>
      <x:c r="K247" t="n">
        <x:v>0</x:v>
      </x:c>
      <x:c r="L247" t="n">
        <x:v>1</x:v>
      </x:c>
      <x:c r="M247" t="n">
        <x:v>43</x:v>
      </x:c>
      <x:c r="N247" t="n">
        <x:v>90.03251</x:v>
      </x:c>
      <x:c r="O247" t="n">
        <x:v>73.59</x:v>
      </x:c>
      <x:c r="P247" t="n">
        <x:v>0</x:v>
      </x:c>
      <x:c r="Q247" t="n">
        <x:v>0</x:v>
      </x:c>
      <x:c r="R247" t="n">
        <x:v>53.19</x:v>
      </x:c>
      <x:c r="S247" t="n">
        <x:v>54.13</x:v>
      </x:c>
      <x:c r="T247" t="str">
        <x:v>https://y.gtimg.cn/music/photo_new/T002R500x500M000002EvMqb45YqLE_1.jpg</x:v>
      </x:c>
      <x:c r="U247" s="24" t="str">
        <x:f>IFERROR(VLOOKUP(I247,'07_字典与参数'!$G$5:$J$9,2,FALSE),"未入选")</x:f>
        <x:v>未入选</x:v>
      </x:c>
      <x:c r="V247" s="24" t="str">
        <x:f>IFERROR(VLOOKUP(I247,'07_字典与参数'!$G$5:$J$9,3,FALSE),"—")</x:f>
        <x:v>—</x:v>
      </x:c>
      <x:c r="W247" s="24" t="str">
        <x:f>IF(U247="未入选","否","是")</x:f>
        <x:v>否</x:v>
      </x:c>
    </x:row>
    <x:row r="248">
      <x:c r="A248" t="n">
        <x:v>202629</x:v>
      </x:c>
      <x:c r="B248" t="str">
        <x:v>第29期（07.20-07.26）</x:v>
      </x:c>
      <x:c r="C248" t="str">
        <x:v>2026-07-20</x:v>
      </x:c>
      <x:c r="D248" t="str">
        <x:v>2026-07-26</x:v>
      </x:c>
      <x:c r="E248" t="n">
        <x:v>44</x:v>
      </x:c>
      <x:c r="F248" t="n">
        <x:v>532877240</x:v>
      </x:c>
      <x:c r="G248" t="str">
        <x:v>Hmm</x:v>
      </x:c>
      <x:c r="H248" t="str">
        <x:v>展轩</x:v>
      </x:c>
      <x:c r="I248" t="str">
        <x:v>002P1cUI2Ebaid</x:v>
      </x:c>
      <x:c r="J248" t="str">
        <x:v>True</x:v>
      </x:c>
      <x:c r="K248" t="n">
        <x:v>0</x:v>
      </x:c>
      <x:c r="L248" t="n">
        <x:v>1</x:v>
      </x:c>
      <x:c r="M248" t="n">
        <x:v>44</x:v>
      </x:c>
      <x:c r="N248" t="n">
        <x:v>89.85187</x:v>
      </x:c>
      <x:c r="O248" t="n">
        <x:v>70.55</x:v>
      </x:c>
      <x:c r="P248" t="n">
        <x:v>0</x:v>
      </x:c>
      <x:c r="Q248" t="n">
        <x:v>0</x:v>
      </x:c>
      <x:c r="R248" t="n">
        <x:v>58.39</x:v>
      </x:c>
      <x:c r="S248" t="n">
        <x:v>54.3</x:v>
      </x:c>
      <x:c r="T248" t="str">
        <x:v>https://y.gtimg.cn/music/photo_new/T002R500x500M000003g18kj4V3lZz_1.jpg</x:v>
      </x:c>
      <x:c r="U248" s="24" t="str">
        <x:f>IFERROR(VLOOKUP(I248,'07_字典与参数'!$G$5:$J$9,2,FALSE),"未入选")</x:f>
        <x:v>未入选</x:v>
      </x:c>
      <x:c r="V248" s="24" t="str">
        <x:f>IFERROR(VLOOKUP(I248,'07_字典与参数'!$G$5:$J$9,3,FALSE),"—")</x:f>
        <x:v>—</x:v>
      </x:c>
      <x:c r="W248" s="24" t="str">
        <x:f>IF(U248="未入选","否","是")</x:f>
        <x:v>否</x:v>
      </x:c>
    </x:row>
    <x:row r="249">
      <x:c r="A249" t="n">
        <x:v>202629</x:v>
      </x:c>
      <x:c r="B249" t="str">
        <x:v>第29期（07.20-07.26）</x:v>
      </x:c>
      <x:c r="C249" t="str">
        <x:v>2026-07-20</x:v>
      </x:c>
      <x:c r="D249" t="str">
        <x:v>2026-07-26</x:v>
      </x:c>
      <x:c r="E249" t="n">
        <x:v>45</x:v>
      </x:c>
      <x:c r="F249" t="n">
        <x:v>522467107</x:v>
      </x:c>
      <x:c r="G249" t="str">
        <x:v>绛色的爱</x:v>
      </x:c>
      <x:c r="H249" t="str">
        <x:v>张艺兴</x:v>
      </x:c>
      <x:c r="I249" t="str">
        <x:v>000wLKc61CDB47</x:v>
      </x:c>
      <x:c r="J249" t="str">
        <x:v>True</x:v>
      </x:c>
      <x:c r="K249" t="n">
        <x:v>0</x:v>
      </x:c>
      <x:c r="L249" t="n">
        <x:v>1</x:v>
      </x:c>
      <x:c r="M249" t="n">
        <x:v>45</x:v>
      </x:c>
      <x:c r="N249" t="n">
        <x:v>89.72592</x:v>
      </x:c>
      <x:c r="O249" t="n">
        <x:v>63.43</x:v>
      </x:c>
      <x:c r="P249" t="n">
        <x:v>0</x:v>
      </x:c>
      <x:c r="Q249" t="n">
        <x:v>0</x:v>
      </x:c>
      <x:c r="R249" t="n">
        <x:v>63.62</x:v>
      </x:c>
      <x:c r="S249" t="n">
        <x:v>48.59</x:v>
      </x:c>
      <x:c r="T249" t="str">
        <x:v>https://y.gtimg.cn/music/photo_new/T002R500x500M000001w138z3PZEcz_1.jpg</x:v>
      </x:c>
      <x:c r="U249" s="24" t="str">
        <x:f>IFERROR(VLOOKUP(I249,'07_字典与参数'!$G$5:$J$9,2,FALSE),"未入选")</x:f>
        <x:v>未入选</x:v>
      </x:c>
      <x:c r="V249" s="24" t="str">
        <x:f>IFERROR(VLOOKUP(I249,'07_字典与参数'!$G$5:$J$9,3,FALSE),"—")</x:f>
        <x:v>—</x:v>
      </x:c>
      <x:c r="W249" s="24" t="str">
        <x:f>IF(U249="未入选","否","是")</x:f>
        <x:v>否</x:v>
      </x:c>
    </x:row>
    <x:row r="250">
      <x:c r="A250" t="n">
        <x:v>202629</x:v>
      </x:c>
      <x:c r="B250" t="str">
        <x:v>第29期（07.20-07.26）</x:v>
      </x:c>
      <x:c r="C250" t="str">
        <x:v>2026-07-20</x:v>
      </x:c>
      <x:c r="D250" t="str">
        <x:v>2026-07-26</x:v>
      </x:c>
      <x:c r="E250" t="n">
        <x:v>46</x:v>
      </x:c>
      <x:c r="F250" t="n">
        <x:v>522436396</x:v>
      </x:c>
      <x:c r="G250" t="str">
        <x:v>Higher</x:v>
      </x:c>
      <x:c r="H250" t="str">
        <x:v>张艺兴</x:v>
      </x:c>
      <x:c r="I250" t="str">
        <x:v>00283SX10LVsSP</x:v>
      </x:c>
      <x:c r="J250" t="str">
        <x:v>False</x:v>
      </x:c>
      <x:c r="K250" t="n">
        <x:v>12</x:v>
      </x:c>
      <x:c r="L250" t="n">
        <x:v>4</x:v>
      </x:c>
      <x:c r="M250" t="n">
        <x:v>5</x:v>
      </x:c>
      <x:c r="N250" t="n">
        <x:v>89.42091</x:v>
      </x:c>
      <x:c r="O250" t="n">
        <x:v>58.83</x:v>
      </x:c>
      <x:c r="P250" t="n">
        <x:v>0</x:v>
      </x:c>
      <x:c r="Q250" t="n">
        <x:v>0</x:v>
      </x:c>
      <x:c r="R250" t="n">
        <x:v>65.79</x:v>
      </x:c>
      <x:c r="S250" t="n">
        <x:v>41.13</x:v>
      </x:c>
      <x:c r="T250" t="str">
        <x:v>https://y.gtimg.cn/music/photo_new/T002R500x500M000001w138z3PZEcz_1.jpg</x:v>
      </x:c>
      <x:c r="U250" s="24" t="str">
        <x:f>IFERROR(VLOOKUP(I250,'07_字典与参数'!$G$5:$J$9,2,FALSE),"未入选")</x:f>
        <x:v>未入选</x:v>
      </x:c>
      <x:c r="V250" s="24" t="str">
        <x:f>IFERROR(VLOOKUP(I250,'07_字典与参数'!$G$5:$J$9,3,FALSE),"—")</x:f>
        <x:v>—</x:v>
      </x:c>
      <x:c r="W250" s="24" t="str">
        <x:f>IF(U250="未入选","否","是")</x:f>
        <x:v>否</x:v>
      </x:c>
    </x:row>
    <x:row r="251">
      <x:c r="A251" t="n">
        <x:v>202629</x:v>
      </x:c>
      <x:c r="B251" t="str">
        <x:v>第29期（07.20-07.26）</x:v>
      </x:c>
      <x:c r="C251" t="str">
        <x:v>2026-07-20</x:v>
      </x:c>
      <x:c r="D251" t="str">
        <x:v>2026-07-26</x:v>
      </x:c>
      <x:c r="E251" t="n">
        <x:v>47</x:v>
      </x:c>
      <x:c r="F251" t="n">
        <x:v>499329279</x:v>
      </x:c>
      <x:c r="G251" t="str">
        <x:v>山歌追上云朵</x:v>
      </x:c>
      <x:c r="H251" t="str">
        <x:v>央金拉姆</x:v>
      </x:c>
      <x:c r="I251" t="str">
        <x:v>004RglME1g9lJV</x:v>
      </x:c>
      <x:c r="J251" t="str">
        <x:v>False</x:v>
      </x:c>
      <x:c r="K251" t="n">
        <x:v>57</x:v>
      </x:c>
      <x:c r="L251" t="n">
        <x:v>7</x:v>
      </x:c>
      <x:c r="M251" t="n">
        <x:v>39</x:v>
      </x:c>
      <x:c r="N251" t="n">
        <x:v>89.25007</x:v>
      </x:c>
      <x:c r="O251" t="n">
        <x:v>76.9</x:v>
      </x:c>
      <x:c r="P251" t="n">
        <x:v>0</x:v>
      </x:c>
      <x:c r="Q251" t="n">
        <x:v>0</x:v>
      </x:c>
      <x:c r="R251" t="n">
        <x:v>38.77</x:v>
      </x:c>
      <x:c r="S251" t="n">
        <x:v>45.19</x:v>
      </x:c>
      <x:c r="T251" t="str">
        <x:v>https://y.gtimg.cn/music/photo_new/T002R500x500M000004N13wG44oqY1_1.jpg</x:v>
      </x:c>
      <x:c r="U251" s="24" t="str">
        <x:f>IFERROR(VLOOKUP(I251,'07_字典与参数'!$G$5:$J$9,2,FALSE),"未入选")</x:f>
        <x:v>未入选</x:v>
      </x:c>
      <x:c r="V251" s="24" t="str">
        <x:f>IFERROR(VLOOKUP(I251,'07_字典与参数'!$G$5:$J$9,3,FALSE),"—")</x:f>
        <x:v>—</x:v>
      </x:c>
      <x:c r="W251" s="24" t="str">
        <x:f>IF(U251="未入选","否","是")</x:f>
        <x:v>否</x:v>
      </x:c>
    </x:row>
    <x:row r="252">
      <x:c r="A252" t="n">
        <x:v>202629</x:v>
      </x:c>
      <x:c r="B252" t="str">
        <x:v>第29期（07.20-07.26）</x:v>
      </x:c>
      <x:c r="C252" t="str">
        <x:v>2026-07-20</x:v>
      </x:c>
      <x:c r="D252" t="str">
        <x:v>2026-07-26</x:v>
      </x:c>
      <x:c r="E252" t="n">
        <x:v>48</x:v>
      </x:c>
      <x:c r="F252" t="n">
        <x:v>533499976</x:v>
      </x:c>
      <x:c r="G252" t="str">
        <x:v>你值得太阳</x:v>
      </x:c>
      <x:c r="H252" t="str">
        <x:v>刘雨昕</x:v>
      </x:c>
      <x:c r="I252" t="str">
        <x:v>002h3baK1xH9MY</x:v>
      </x:c>
      <x:c r="J252" t="str">
        <x:v>True</x:v>
      </x:c>
      <x:c r="K252" t="n">
        <x:v>0</x:v>
      </x:c>
      <x:c r="L252" t="n">
        <x:v>1</x:v>
      </x:c>
      <x:c r="M252" t="n">
        <x:v>48</x:v>
      </x:c>
      <x:c r="N252" t="n">
        <x:v>89.18444</x:v>
      </x:c>
      <x:c r="O252" t="n">
        <x:v>56.8</x:v>
      </x:c>
      <x:c r="P252" t="n">
        <x:v>0</x:v>
      </x:c>
      <x:c r="Q252" t="n">
        <x:v>0</x:v>
      </x:c>
      <x:c r="R252" t="n">
        <x:v>21.01</x:v>
      </x:c>
      <x:c r="S252" t="n">
        <x:v>66.08</x:v>
      </x:c>
      <x:c r="T252" t="str">
        <x:v>https://y.gtimg.cn/music/photo_new/T002R500x500M000003n2pLK3MInUU_1.jpg</x:v>
      </x:c>
      <x:c r="U252" s="24" t="str">
        <x:f>IFERROR(VLOOKUP(I252,'07_字典与参数'!$G$5:$J$9,2,FALSE),"未入选")</x:f>
        <x:v>未入选</x:v>
      </x:c>
      <x:c r="V252" s="24" t="str">
        <x:f>IFERROR(VLOOKUP(I252,'07_字典与参数'!$G$5:$J$9,3,FALSE),"—")</x:f>
        <x:v>—</x:v>
      </x:c>
      <x:c r="W252" s="24" t="str">
        <x:f>IF(U252="未入选","否","是")</x:f>
        <x:v>否</x:v>
      </x:c>
    </x:row>
    <x:row r="253">
      <x:c r="A253" t="n">
        <x:v>202629</x:v>
      </x:c>
      <x:c r="B253" t="str">
        <x:v>第29期（07.20-07.26）</x:v>
      </x:c>
      <x:c r="C253" t="str">
        <x:v>2026-07-20</x:v>
      </x:c>
      <x:c r="D253" t="str">
        <x:v>2026-07-26</x:v>
      </x:c>
      <x:c r="E253" t="n">
        <x:v>49</x:v>
      </x:c>
      <x:c r="F253" t="n">
        <x:v>532410193</x:v>
      </x:c>
      <x:c r="G253" t="str">
        <x:v>晨星</x:v>
      </x:c>
      <x:c r="H253" t="str">
        <x:v>罗云熙</x:v>
      </x:c>
      <x:c r="I253" t="str">
        <x:v>002S7iU01xTW3O</x:v>
      </x:c>
      <x:c r="J253" t="str">
        <x:v>True</x:v>
      </x:c>
      <x:c r="K253" t="n">
        <x:v>0</x:v>
      </x:c>
      <x:c r="L253" t="n">
        <x:v>1</x:v>
      </x:c>
      <x:c r="M253" t="n">
        <x:v>49</x:v>
      </x:c>
      <x:c r="N253" t="n">
        <x:v>89.14492</x:v>
      </x:c>
      <x:c r="O253" t="n">
        <x:v>48.69</x:v>
      </x:c>
      <x:c r="P253" t="n">
        <x:v>0</x:v>
      </x:c>
      <x:c r="Q253" t="n">
        <x:v>0</x:v>
      </x:c>
      <x:c r="R253" t="n">
        <x:v>67.08</x:v>
      </x:c>
      <x:c r="S253" t="n">
        <x:v>18.34</x:v>
      </x:c>
      <x:c r="T253" t="str">
        <x:v>https://y.gtimg.cn/music/photo_new/T002R500x500M000002D9AST0qddiF_1.jpg</x:v>
      </x:c>
      <x:c r="U253" s="24" t="str">
        <x:f>IFERROR(VLOOKUP(I253,'07_字典与参数'!$G$5:$J$9,2,FALSE),"未入选")</x:f>
        <x:v>未入选</x:v>
      </x:c>
      <x:c r="V253" s="24" t="str">
        <x:f>IFERROR(VLOOKUP(I253,'07_字典与参数'!$G$5:$J$9,3,FALSE),"—")</x:f>
        <x:v>—</x:v>
      </x:c>
      <x:c r="W253" s="24" t="str">
        <x:f>IF(U253="未入选","否","是")</x:f>
        <x:v>否</x:v>
      </x:c>
    </x:row>
    <x:row r="254">
      <x:c r="A254" t="n">
        <x:v>202629</x:v>
      </x:c>
      <x:c r="B254" t="str">
        <x:v>第29期（07.20-07.26）</x:v>
      </x:c>
      <x:c r="C254" t="str">
        <x:v>2026-07-20</x:v>
      </x:c>
      <x:c r="D254" t="str">
        <x:v>2026-07-26</x:v>
      </x:c>
      <x:c r="E254" t="n">
        <x:v>50</x:v>
      </x:c>
      <x:c r="F254" t="n">
        <x:v>532441524</x:v>
      </x:c>
      <x:c r="G254" t="str">
        <x:v>过海</x:v>
      </x:c>
      <x:c r="H254" t="str">
        <x:v>王赫野,黄龄</x:v>
      </x:c>
      <x:c r="I254" t="str">
        <x:v>003DEzAQ3HSB9l</x:v>
      </x:c>
      <x:c r="J254" t="str">
        <x:v>True</x:v>
      </x:c>
      <x:c r="K254" t="n">
        <x:v>113</x:v>
      </x:c>
      <x:c r="L254" t="n">
        <x:v>1</x:v>
      </x:c>
      <x:c r="M254" t="n">
        <x:v>50</x:v>
      </x:c>
      <x:c r="N254" t="n">
        <x:v>89.09646</x:v>
      </x:c>
      <x:c r="O254" t="n">
        <x:v>76.78</x:v>
      </x:c>
      <x:c r="P254" t="n">
        <x:v>0</x:v>
      </x:c>
      <x:c r="Q254" t="n">
        <x:v>0</x:v>
      </x:c>
      <x:c r="R254" t="n">
        <x:v>18.83</x:v>
      </x:c>
      <x:c r="S254" t="n">
        <x:v>50.42</x:v>
      </x:c>
      <x:c r="T254" t="str">
        <x:v>https://y.gtimg.cn/music/photo_new/T002R500x500M000003sDdGY2FtUY2_1.jpg</x:v>
      </x:c>
      <x:c r="U254" s="24" t="n">
        <x:f>IFERROR(VLOOKUP(I254,'07_字典与参数'!$G$5:$J$9,2,FALSE),"未入选")</x:f>
        <x:v>87.5</x:v>
      </x:c>
      <x:c r="V254" s="24" t="str">
        <x:f>IFERROR(VLOOKUP(I254,'07_字典与参数'!$G$5:$J$9,3,FALSE),"—")</x:f>
        <x:v>过海</x:v>
      </x:c>
      <x:c r="W254" s="24" t="str">
        <x:f>IF(U254="未入选","否","是")</x:f>
        <x:v>是</x:v>
      </x:c>
    </x:row>
    <x:row r="255">
      <x:c r="A255" t="n">
        <x:v>202629</x:v>
      </x:c>
      <x:c r="B255" t="str">
        <x:v>第29期（07.20-07.26）</x:v>
      </x:c>
      <x:c r="C255" t="str">
        <x:v>2026-07-20</x:v>
      </x:c>
      <x:c r="D255" t="str">
        <x:v>2026-07-26</x:v>
      </x:c>
      <x:c r="E255" t="n">
        <x:v>51</x:v>
      </x:c>
      <x:c r="F255" t="n">
        <x:v>522436400</x:v>
      </x:c>
      <x:c r="G255" t="str">
        <x:v>Smoke &amp; Mirrors</x:v>
      </x:c>
      <x:c r="H255" t="str">
        <x:v>张艺兴</x:v>
      </x:c>
      <x:c r="I255" t="str">
        <x:v>000SGh5g1MgDzo</x:v>
      </x:c>
      <x:c r="J255" t="str">
        <x:v>False</x:v>
      </x:c>
      <x:c r="K255" t="n">
        <x:v>14</x:v>
      </x:c>
      <x:c r="L255" t="n">
        <x:v>4</x:v>
      </x:c>
      <x:c r="M255" t="n">
        <x:v>9</x:v>
      </x:c>
      <x:c r="N255" t="n">
        <x:v>89.02003</x:v>
      </x:c>
      <x:c r="O255" t="n">
        <x:v>58.66</x:v>
      </x:c>
      <x:c r="P255" t="n">
        <x:v>0</x:v>
      </x:c>
      <x:c r="Q255" t="n">
        <x:v>0</x:v>
      </x:c>
      <x:c r="R255" t="n">
        <x:v>65.19</x:v>
      </x:c>
      <x:c r="S255" t="n">
        <x:v>41</x:v>
      </x:c>
      <x:c r="T255" t="str">
        <x:v>https://y.gtimg.cn/music/photo_new/T002R500x500M000001w138z3PZEcz_1.jpg</x:v>
      </x:c>
      <x:c r="U255" s="24" t="str">
        <x:f>IFERROR(VLOOKUP(I255,'07_字典与参数'!$G$5:$J$9,2,FALSE),"未入选")</x:f>
        <x:v>未入选</x:v>
      </x:c>
      <x:c r="V255" s="24" t="str">
        <x:f>IFERROR(VLOOKUP(I255,'07_字典与参数'!$G$5:$J$9,3,FALSE),"—")</x:f>
        <x:v>—</x:v>
      </x:c>
      <x:c r="W255" s="24" t="str">
        <x:f>IF(U255="未入选","否","是")</x:f>
        <x:v>否</x:v>
      </x:c>
    </x:row>
    <x:row r="256">
      <x:c r="A256" t="n">
        <x:v>202629</x:v>
      </x:c>
      <x:c r="B256" t="str">
        <x:v>第29期（07.20-07.26）</x:v>
      </x:c>
      <x:c r="C256" t="str">
        <x:v>2026-07-20</x:v>
      </x:c>
      <x:c r="D256" t="str">
        <x:v>2026-07-26</x:v>
      </x:c>
      <x:c r="E256" t="n">
        <x:v>52</x:v>
      </x:c>
      <x:c r="F256" t="n">
        <x:v>522436410</x:v>
      </x:c>
      <x:c r="G256" t="str">
        <x:v>Living</x:v>
      </x:c>
      <x:c r="H256" t="str">
        <x:v>张艺兴</x:v>
      </x:c>
      <x:c r="I256" t="str">
        <x:v>003hfE050iuS2B</x:v>
      </x:c>
      <x:c r="J256" t="str">
        <x:v>False</x:v>
      </x:c>
      <x:c r="K256" t="n">
        <x:v>13</x:v>
      </x:c>
      <x:c r="L256" t="n">
        <x:v>4</x:v>
      </x:c>
      <x:c r="M256" t="n">
        <x:v>7</x:v>
      </x:c>
      <x:c r="N256" t="n">
        <x:v>88.96825</x:v>
      </x:c>
      <x:c r="O256" t="n">
        <x:v>58.37</x:v>
      </x:c>
      <x:c r="P256" t="n">
        <x:v>0</x:v>
      </x:c>
      <x:c r="Q256" t="n">
        <x:v>0</x:v>
      </x:c>
      <x:c r="R256" t="n">
        <x:v>65.13</x:v>
      </x:c>
      <x:c r="S256" t="n">
        <x:v>41.03</x:v>
      </x:c>
      <x:c r="T256" t="str">
        <x:v>https://y.gtimg.cn/music/photo_new/T002R500x500M000001w138z3PZEcz_1.jpg</x:v>
      </x:c>
      <x:c r="U256" s="24" t="str">
        <x:f>IFERROR(VLOOKUP(I256,'07_字典与参数'!$G$5:$J$9,2,FALSE),"未入选")</x:f>
        <x:v>未入选</x:v>
      </x:c>
      <x:c r="V256" s="24" t="str">
        <x:f>IFERROR(VLOOKUP(I256,'07_字典与参数'!$G$5:$J$9,3,FALSE),"—")</x:f>
        <x:v>—</x:v>
      </x:c>
      <x:c r="W256" s="24" t="str">
        <x:f>IF(U256="未入选","否","是")</x:f>
        <x:v>否</x:v>
      </x:c>
    </x:row>
    <x:row r="257">
      <x:c r="A257" t="n">
        <x:v>202629</x:v>
      </x:c>
      <x:c r="B257" t="str">
        <x:v>第29期（07.20-07.26）</x:v>
      </x:c>
      <x:c r="C257" t="str">
        <x:v>2026-07-20</x:v>
      </x:c>
      <x:c r="D257" t="str">
        <x:v>2026-07-26</x:v>
      </x:c>
      <x:c r="E257" t="n">
        <x:v>53</x:v>
      </x:c>
      <x:c r="F257" t="n">
        <x:v>522436402</x:v>
      </x:c>
      <x:c r="G257" t="str">
        <x:v>Again</x:v>
      </x:c>
      <x:c r="H257" t="str">
        <x:v>张艺兴</x:v>
      </x:c>
      <x:c r="I257" t="str">
        <x:v>001deuwV3jcVOr</x:v>
      </x:c>
      <x:c r="J257" t="str">
        <x:v>False</x:v>
      </x:c>
      <x:c r="K257" t="n">
        <x:v>11</x:v>
      </x:c>
      <x:c r="L257" t="n">
        <x:v>4</x:v>
      </x:c>
      <x:c r="M257" t="n">
        <x:v>6</x:v>
      </x:c>
      <x:c r="N257" t="n">
        <x:v>88.96609</x:v>
      </x:c>
      <x:c r="O257" t="n">
        <x:v>58.42</x:v>
      </x:c>
      <x:c r="P257" t="n">
        <x:v>0</x:v>
      </x:c>
      <x:c r="Q257" t="n">
        <x:v>0</x:v>
      </x:c>
      <x:c r="R257" t="n">
        <x:v>65.16</x:v>
      </x:c>
      <x:c r="S257" t="n">
        <x:v>40.84</x:v>
      </x:c>
      <x:c r="T257" t="str">
        <x:v>https://y.gtimg.cn/music/photo_new/T002R500x500M000001w138z3PZEcz_1.jpg</x:v>
      </x:c>
      <x:c r="U257" s="24" t="str">
        <x:f>IFERROR(VLOOKUP(I257,'07_字典与参数'!$G$5:$J$9,2,FALSE),"未入选")</x:f>
        <x:v>未入选</x:v>
      </x:c>
      <x:c r="V257" s="24" t="str">
        <x:f>IFERROR(VLOOKUP(I257,'07_字典与参数'!$G$5:$J$9,3,FALSE),"—")</x:f>
        <x:v>—</x:v>
      </x:c>
      <x:c r="W257" s="24" t="str">
        <x:f>IF(U257="未入选","否","是")</x:f>
        <x:v>否</x:v>
      </x:c>
    </x:row>
    <x:row r="258">
      <x:c r="A258" t="n">
        <x:v>202629</x:v>
      </x:c>
      <x:c r="B258" t="str">
        <x:v>第29期（07.20-07.26）</x:v>
      </x:c>
      <x:c r="C258" t="str">
        <x:v>2026-07-20</x:v>
      </x:c>
      <x:c r="D258" t="str">
        <x:v>2026-07-26</x:v>
      </x:c>
      <x:c r="E258" t="n">
        <x:v>54</x:v>
      </x:c>
      <x:c r="F258" t="n">
        <x:v>530399436</x:v>
      </x:c>
      <x:c r="G258" t="str">
        <x:v>Badi Badi</x:v>
      </x:c>
      <x:c r="H258" t="str">
        <x:v>王俊凯</x:v>
      </x:c>
      <x:c r="I258" t="str">
        <x:v>003DPd5i2qrCU7</x:v>
      </x:c>
      <x:c r="J258" t="str">
        <x:v>False</x:v>
      </x:c>
      <x:c r="K258" t="n">
        <x:v>48</x:v>
      </x:c>
      <x:c r="L258" t="n">
        <x:v>3</x:v>
      </x:c>
      <x:c r="M258" t="n">
        <x:v>7</x:v>
      </x:c>
      <x:c r="N258" t="n">
        <x:v>88.88309</x:v>
      </x:c>
      <x:c r="O258" t="n">
        <x:v>74.21</x:v>
      </x:c>
      <x:c r="P258" t="n">
        <x:v>0</x:v>
      </x:c>
      <x:c r="Q258" t="n">
        <x:v>0</x:v>
      </x:c>
      <x:c r="R258" t="n">
        <x:v>47.89</x:v>
      </x:c>
      <x:c r="S258" t="n">
        <x:v>51.5</x:v>
      </x:c>
      <x:c r="T258" t="str">
        <x:v>https://y.qq.com/music/photo_new/T062R500x500M00000263WWe1mlRaa.jpg</x:v>
      </x:c>
      <x:c r="U258" s="24" t="str">
        <x:f>IFERROR(VLOOKUP(I258,'07_字典与参数'!$G$5:$J$9,2,FALSE),"未入选")</x:f>
        <x:v>未入选</x:v>
      </x:c>
      <x:c r="V258" s="24" t="str">
        <x:f>IFERROR(VLOOKUP(I258,'07_字典与参数'!$G$5:$J$9,3,FALSE),"—")</x:f>
        <x:v>—</x:v>
      </x:c>
      <x:c r="W258" s="24" t="str">
        <x:f>IF(U258="未入选","否","是")</x:f>
        <x:v>否</x:v>
      </x:c>
    </x:row>
    <x:row r="259">
      <x:c r="A259" t="n">
        <x:v>202629</x:v>
      </x:c>
      <x:c r="B259" t="str">
        <x:v>第29期（07.20-07.26）</x:v>
      </x:c>
      <x:c r="C259" t="str">
        <x:v>2026-07-20</x:v>
      </x:c>
      <x:c r="D259" t="str">
        <x:v>2026-07-26</x:v>
      </x:c>
      <x:c r="E259" t="n">
        <x:v>55</x:v>
      </x:c>
      <x:c r="F259" t="n">
        <x:v>522436418</x:v>
      </x:c>
      <x:c r="G259" t="str">
        <x:v>错错错</x:v>
      </x:c>
      <x:c r="H259" t="str">
        <x:v>张艺兴</x:v>
      </x:c>
      <x:c r="I259" t="str">
        <x:v>004V2b6s39ainE</x:v>
      </x:c>
      <x:c r="J259" t="str">
        <x:v>False</x:v>
      </x:c>
      <x:c r="K259" t="n">
        <x:v>16</x:v>
      </x:c>
      <x:c r="L259" t="n">
        <x:v>4</x:v>
      </x:c>
      <x:c r="M259" t="n">
        <x:v>11</x:v>
      </x:c>
      <x:c r="N259" t="n">
        <x:v>88.77208</x:v>
      </x:c>
      <x:c r="O259" t="n">
        <x:v>58.31</x:v>
      </x:c>
      <x:c r="P259" t="n">
        <x:v>0</x:v>
      </x:c>
      <x:c r="Q259" t="n">
        <x:v>0</x:v>
      </x:c>
      <x:c r="R259" t="n">
        <x:v>64.83</x:v>
      </x:c>
      <x:c r="S259" t="n">
        <x:v>41</x:v>
      </x:c>
      <x:c r="T259" t="str">
        <x:v>https://y.gtimg.cn/music/photo_new/T002R500x500M000001w138z3PZEcz_1.jpg</x:v>
      </x:c>
      <x:c r="U259" s="24" t="str">
        <x:f>IFERROR(VLOOKUP(I259,'07_字典与参数'!$G$5:$J$9,2,FALSE),"未入选")</x:f>
        <x:v>未入选</x:v>
      </x:c>
      <x:c r="V259" s="24" t="str">
        <x:f>IFERROR(VLOOKUP(I259,'07_字典与参数'!$G$5:$J$9,3,FALSE),"—")</x:f>
        <x:v>—</x:v>
      </x:c>
      <x:c r="W259" s="24" t="str">
        <x:f>IF(U259="未入选","否","是")</x:f>
        <x:v>否</x:v>
      </x:c>
    </x:row>
    <x:row r="260">
      <x:c r="A260" t="n">
        <x:v>202629</x:v>
      </x:c>
      <x:c r="B260" t="str">
        <x:v>第29期（07.20-07.26）</x:v>
      </x:c>
      <x:c r="C260" t="str">
        <x:v>2026-07-20</x:v>
      </x:c>
      <x:c r="D260" t="str">
        <x:v>2026-07-26</x:v>
      </x:c>
      <x:c r="E260" t="n">
        <x:v>56</x:v>
      </x:c>
      <x:c r="F260" t="n">
        <x:v>474412516</x:v>
      </x:c>
      <x:c r="G260" t="str">
        <x:v>爱琴海</x:v>
      </x:c>
      <x:c r="H260" t="str">
        <x:v>周杰伦</x:v>
      </x:c>
      <x:c r="I260" t="str">
        <x:v>003WPrjL4dimFE</x:v>
      </x:c>
      <x:c r="J260" t="str">
        <x:v>False</x:v>
      </x:c>
      <x:c r="K260" t="n">
        <x:v>62</x:v>
      </x:c>
      <x:c r="L260" t="n">
        <x:v>18</x:v>
      </x:c>
      <x:c r="M260" t="n">
        <x:v>4</x:v>
      </x:c>
      <x:c r="N260" t="n">
        <x:v>88.64948</x:v>
      </x:c>
      <x:c r="O260" t="n">
        <x:v>77.39</x:v>
      </x:c>
      <x:c r="P260" t="n">
        <x:v>0</x:v>
      </x:c>
      <x:c r="Q260" t="n">
        <x:v>0</x:v>
      </x:c>
      <x:c r="R260" t="n">
        <x:v>28.53</x:v>
      </x:c>
      <x:c r="S260" t="n">
        <x:v>40.89</x:v>
      </x:c>
      <x:c r="T260" t="str">
        <x:v>https://y.gtimg.cn/music/photo_new/T002R500x500M0000041WVfh2vtlJE_1.jpg</x:v>
      </x:c>
      <x:c r="U260" s="24" t="str">
        <x:f>IFERROR(VLOOKUP(I260,'07_字典与参数'!$G$5:$J$9,2,FALSE),"未入选")</x:f>
        <x:v>未入选</x:v>
      </x:c>
      <x:c r="V260" s="24" t="str">
        <x:f>IFERROR(VLOOKUP(I260,'07_字典与参数'!$G$5:$J$9,3,FALSE),"—")</x:f>
        <x:v>—</x:v>
      </x:c>
      <x:c r="W260" s="24" t="str">
        <x:f>IF(U260="未入选","否","是")</x:f>
        <x:v>否</x:v>
      </x:c>
    </x:row>
    <x:row r="261">
      <x:c r="A261" t="n">
        <x:v>202629</x:v>
      </x:c>
      <x:c r="B261" t="str">
        <x:v>第29期（07.20-07.26）</x:v>
      </x:c>
      <x:c r="C261" t="str">
        <x:v>2026-07-20</x:v>
      </x:c>
      <x:c r="D261" t="str">
        <x:v>2026-07-26</x:v>
      </x:c>
      <x:c r="E261" t="n">
        <x:v>57</x:v>
      </x:c>
      <x:c r="F261" t="n">
        <x:v>512101294</x:v>
      </x:c>
      <x:c r="G261" t="str">
        <x:v>人间的剧本</x:v>
      </x:c>
      <x:c r="H261" t="str">
        <x:v>老韩很哇塞</x:v>
      </x:c>
      <x:c r="I261" t="str">
        <x:v>001Pa1g53DmNQ3</x:v>
      </x:c>
      <x:c r="J261" t="str">
        <x:v>False</x:v>
      </x:c>
      <x:c r="K261" t="n">
        <x:v>79</x:v>
      </x:c>
      <x:c r="L261" t="n">
        <x:v>4</x:v>
      </x:c>
      <x:c r="M261" t="n">
        <x:v>57</x:v>
      </x:c>
      <x:c r="N261" t="n">
        <x:v>88.54127</x:v>
      </x:c>
      <x:c r="O261" t="n">
        <x:v>76.27</x:v>
      </x:c>
      <x:c r="P261" t="n">
        <x:v>0</x:v>
      </x:c>
      <x:c r="Q261" t="n">
        <x:v>0</x:v>
      </x:c>
      <x:c r="R261" t="n">
        <x:v>42.03</x:v>
      </x:c>
      <x:c r="S261" t="n">
        <x:v>42.54</x:v>
      </x:c>
      <x:c r="T261" t="str">
        <x:v>https://y.gtimg.cn/music/photo_new/T002R500x500M000002F2Rfl3kTcYx_2.jpg</x:v>
      </x:c>
      <x:c r="U261" s="24" t="str">
        <x:f>IFERROR(VLOOKUP(I261,'07_字典与参数'!$G$5:$J$9,2,FALSE),"未入选")</x:f>
        <x:v>未入选</x:v>
      </x:c>
      <x:c r="V261" s="24" t="str">
        <x:f>IFERROR(VLOOKUP(I261,'07_字典与参数'!$G$5:$J$9,3,FALSE),"—")</x:f>
        <x:v>—</x:v>
      </x:c>
      <x:c r="W261" s="24" t="str">
        <x:f>IF(U261="未入选","否","是")</x:f>
        <x:v>否</x:v>
      </x:c>
    </x:row>
    <x:row r="262">
      <x:c r="A262" t="n">
        <x:v>202629</x:v>
      </x:c>
      <x:c r="B262" t="str">
        <x:v>第29期（07.20-07.26）</x:v>
      </x:c>
      <x:c r="C262" t="str">
        <x:v>2026-07-20</x:v>
      </x:c>
      <x:c r="D262" t="str">
        <x:v>2026-07-26</x:v>
      </x:c>
      <x:c r="E262" t="n">
        <x:v>58</x:v>
      </x:c>
      <x:c r="F262" t="n">
        <x:v>522436399</x:v>
      </x:c>
      <x:c r="G262" t="str">
        <x:v>意中人</x:v>
      </x:c>
      <x:c r="H262" t="str">
        <x:v>张艺兴</x:v>
      </x:c>
      <x:c r="I262" t="str">
        <x:v>0032Yh0918cF8c</x:v>
      </x:c>
      <x:c r="J262" t="str">
        <x:v>False</x:v>
      </x:c>
      <x:c r="K262" t="n">
        <x:v>17</x:v>
      </x:c>
      <x:c r="L262" t="n">
        <x:v>4</x:v>
      </x:c>
      <x:c r="M262" t="n">
        <x:v>10</x:v>
      </x:c>
      <x:c r="N262" t="n">
        <x:v>88.49552</x:v>
      </x:c>
      <x:c r="O262" t="n">
        <x:v>57.97</x:v>
      </x:c>
      <x:c r="P262" t="n">
        <x:v>0</x:v>
      </x:c>
      <x:c r="Q262" t="n">
        <x:v>0</x:v>
      </x:c>
      <x:c r="R262" t="n">
        <x:v>64.47</x:v>
      </x:c>
      <x:c r="S262" t="n">
        <x:v>40.77</x:v>
      </x:c>
      <x:c r="T262" t="str">
        <x:v>https://y.gtimg.cn/music/photo_new/T002R500x500M000001w138z3PZEcz_1.jpg</x:v>
      </x:c>
      <x:c r="U262" s="24" t="str">
        <x:f>IFERROR(VLOOKUP(I262,'07_字典与参数'!$G$5:$J$9,2,FALSE),"未入选")</x:f>
        <x:v>未入选</x:v>
      </x:c>
      <x:c r="V262" s="24" t="str">
        <x:f>IFERROR(VLOOKUP(I262,'07_字典与参数'!$G$5:$J$9,3,FALSE),"—")</x:f>
        <x:v>—</x:v>
      </x:c>
      <x:c r="W262" s="24" t="str">
        <x:f>IF(U262="未入选","否","是")</x:f>
        <x:v>否</x:v>
      </x:c>
    </x:row>
    <x:row r="263">
      <x:c r="A263" t="n">
        <x:v>202629</x:v>
      </x:c>
      <x:c r="B263" t="str">
        <x:v>第29期（07.20-07.26）</x:v>
      </x:c>
      <x:c r="C263" t="str">
        <x:v>2026-07-20</x:v>
      </x:c>
      <x:c r="D263" t="str">
        <x:v>2026-07-26</x:v>
      </x:c>
      <x:c r="E263" t="n">
        <x:v>59</x:v>
      </x:c>
      <x:c r="F263" t="n">
        <x:v>522436428</x:v>
      </x:c>
      <x:c r="G263" t="str">
        <x:v>文艺工作者</x:v>
      </x:c>
      <x:c r="H263" t="str">
        <x:v>张艺兴</x:v>
      </x:c>
      <x:c r="I263" t="str">
        <x:v>001tQZO33ntbnd</x:v>
      </x:c>
      <x:c r="J263" t="str">
        <x:v>False</x:v>
      </x:c>
      <x:c r="K263" t="n">
        <x:v>15</x:v>
      </x:c>
      <x:c r="L263" t="n">
        <x:v>4</x:v>
      </x:c>
      <x:c r="M263" t="n">
        <x:v>12</x:v>
      </x:c>
      <x:c r="N263" t="n">
        <x:v>88.272</x:v>
      </x:c>
      <x:c r="O263" t="n">
        <x:v>57.72</x:v>
      </x:c>
      <x:c r="P263" t="n">
        <x:v>0</x:v>
      </x:c>
      <x:c r="Q263" t="n">
        <x:v>0</x:v>
      </x:c>
      <x:c r="R263" t="n">
        <x:v>64.08</x:v>
      </x:c>
      <x:c r="S263" t="n">
        <x:v>41.04</x:v>
      </x:c>
      <x:c r="T263" t="str">
        <x:v>https://y.gtimg.cn/music/photo_new/T002R500x500M000001w138z3PZEcz_1.jpg</x:v>
      </x:c>
      <x:c r="U263" s="24" t="str">
        <x:f>IFERROR(VLOOKUP(I263,'07_字典与参数'!$G$5:$J$9,2,FALSE),"未入选")</x:f>
        <x:v>未入选</x:v>
      </x:c>
      <x:c r="V263" s="24" t="str">
        <x:f>IFERROR(VLOOKUP(I263,'07_字典与参数'!$G$5:$J$9,3,FALSE),"—")</x:f>
        <x:v>—</x:v>
      </x:c>
      <x:c r="W263" s="24" t="str">
        <x:f>IF(U263="未入选","否","是")</x:f>
        <x:v>否</x:v>
      </x:c>
    </x:row>
    <x:row r="264">
      <x:c r="A264" t="n">
        <x:v>202629</x:v>
      </x:c>
      <x:c r="B264" t="str">
        <x:v>第29期（07.20-07.26）</x:v>
      </x:c>
      <x:c r="C264" t="str">
        <x:v>2026-07-20</x:v>
      </x:c>
      <x:c r="D264" t="str">
        <x:v>2026-07-26</x:v>
      </x:c>
      <x:c r="E264" t="n">
        <x:v>60</x:v>
      </x:c>
      <x:c r="F264" t="n">
        <x:v>524476063</x:v>
      </x:c>
      <x:c r="G264" t="str">
        <x:v>一直下</x:v>
      </x:c>
      <x:c r="H264" t="str">
        <x:v>陈宇祥</x:v>
      </x:c>
      <x:c r="I264" t="str">
        <x:v>002GlLlX2IsyYr</x:v>
      </x:c>
      <x:c r="J264" t="str">
        <x:v>False</x:v>
      </x:c>
      <x:c r="K264" t="n">
        <x:v>60</x:v>
      </x:c>
      <x:c r="L264" t="n">
        <x:v>2</x:v>
      </x:c>
      <x:c r="M264" t="n">
        <x:v>60</x:v>
      </x:c>
      <x:c r="N264" t="n">
        <x:v>88.12936</x:v>
      </x:c>
      <x:c r="O264" t="n">
        <x:v>77.76</x:v>
      </x:c>
      <x:c r="P264" t="n">
        <x:v>0</x:v>
      </x:c>
      <x:c r="Q264" t="n">
        <x:v>0</x:v>
      </x:c>
      <x:c r="R264" t="n">
        <x:v>3.86</x:v>
      </x:c>
      <x:c r="S264" t="n">
        <x:v>21.61</x:v>
      </x:c>
      <x:c r="T264" t="str">
        <x:v>https://y.gtimg.cn/music/photo_new/T002R500x500M0000036ad3O39VsR1_1.jpg</x:v>
      </x:c>
      <x:c r="U264" s="24" t="str">
        <x:f>IFERROR(VLOOKUP(I264,'07_字典与参数'!$G$5:$J$9,2,FALSE),"未入选")</x:f>
        <x:v>未入选</x:v>
      </x:c>
      <x:c r="V264" s="24" t="str">
        <x:f>IFERROR(VLOOKUP(I264,'07_字典与参数'!$G$5:$J$9,3,FALSE),"—")</x:f>
        <x:v>—</x:v>
      </x:c>
      <x:c r="W264" s="24" t="str">
        <x:f>IF(U264="未入选","否","是")</x:f>
        <x:v>否</x:v>
      </x:c>
    </x:row>
    <x:row r="265">
      <x:c r="A265" t="n">
        <x:v>202629</x:v>
      </x:c>
      <x:c r="B265" t="str">
        <x:v>第29期（07.20-07.26）</x:v>
      </x:c>
      <x:c r="C265" t="str">
        <x:v>2026-07-20</x:v>
      </x:c>
      <x:c r="D265" t="str">
        <x:v>2026-07-26</x:v>
      </x:c>
      <x:c r="E265" t="n">
        <x:v>61</x:v>
      </x:c>
      <x:c r="F265" t="n">
        <x:v>533556213</x:v>
      </x:c>
      <x:c r="G265" t="str">
        <x:v>缠</x:v>
      </x:c>
      <x:c r="H265" t="str">
        <x:v>那英</x:v>
      </x:c>
      <x:c r="I265" t="str">
        <x:v>003XAZLD3KzQ2j</x:v>
      </x:c>
      <x:c r="J265" t="str">
        <x:v>True</x:v>
      </x:c>
      <x:c r="K265" t="n">
        <x:v>0</x:v>
      </x:c>
      <x:c r="L265" t="n">
        <x:v>1</x:v>
      </x:c>
      <x:c r="M265" t="n">
        <x:v>61</x:v>
      </x:c>
      <x:c r="N265" t="n">
        <x:v>87.83523</x:v>
      </x:c>
      <x:c r="O265" t="n">
        <x:v>77.15</x:v>
      </x:c>
      <x:c r="P265" t="n">
        <x:v>0</x:v>
      </x:c>
      <x:c r="Q265" t="n">
        <x:v>0</x:v>
      </x:c>
      <x:c r="R265" t="n">
        <x:v>8.11</x:v>
      </x:c>
      <x:c r="S265" t="n">
        <x:v>38.04</x:v>
      </x:c>
      <x:c r="T265" t="str">
        <x:v>https://y.gtimg.cn/music/photo_new/T002R500x500M000003mTx4M2vjsxl_1.jpg</x:v>
      </x:c>
      <x:c r="U265" s="24" t="str">
        <x:f>IFERROR(VLOOKUP(I265,'07_字典与参数'!$G$5:$J$9,2,FALSE),"未入选")</x:f>
        <x:v>未入选</x:v>
      </x:c>
      <x:c r="V265" s="24" t="str">
        <x:f>IFERROR(VLOOKUP(I265,'07_字典与参数'!$G$5:$J$9,3,FALSE),"—")</x:f>
        <x:v>—</x:v>
      </x:c>
      <x:c r="W265" s="24" t="str">
        <x:f>IF(U265="未入选","否","是")</x:f>
        <x:v>否</x:v>
      </x:c>
    </x:row>
    <x:row r="266">
      <x:c r="A266" t="n">
        <x:v>202629</x:v>
      </x:c>
      <x:c r="B266" t="str">
        <x:v>第29期（07.20-07.26）</x:v>
      </x:c>
      <x:c r="C266" t="str">
        <x:v>2026-07-20</x:v>
      </x:c>
      <x:c r="D266" t="str">
        <x:v>2026-07-26</x:v>
      </x:c>
      <x:c r="E266" t="n">
        <x:v>62</x:v>
      </x:c>
      <x:c r="F266" t="n">
        <x:v>518582456</x:v>
      </x:c>
      <x:c r="G266" t="str">
        <x:v>相思锁</x:v>
      </x:c>
      <x:c r="H266" t="str">
        <x:v>张真源</x:v>
      </x:c>
      <x:c r="I266" t="str">
        <x:v>000EQX6y3kMOYI</x:v>
      </x:c>
      <x:c r="J266" t="str">
        <x:v>False</x:v>
      </x:c>
      <x:c r="K266" t="n">
        <x:v>56</x:v>
      </x:c>
      <x:c r="L266" t="n">
        <x:v>4</x:v>
      </x:c>
      <x:c r="M266" t="n">
        <x:v>2</x:v>
      </x:c>
      <x:c r="N266" t="n">
        <x:v>87.64706</x:v>
      </x:c>
      <x:c r="O266" t="n">
        <x:v>69.4</x:v>
      </x:c>
      <x:c r="P266" t="n">
        <x:v>0</x:v>
      </x:c>
      <x:c r="Q266" t="n">
        <x:v>0</x:v>
      </x:c>
      <x:c r="R266" t="n">
        <x:v>31.37</x:v>
      </x:c>
      <x:c r="S266" t="n">
        <x:v>60.18</x:v>
      </x:c>
      <x:c r="T266" t="str">
        <x:v>https://y.gtimg.cn/music/photo_new/T002R500x500M000003YtOnb3UDtqO_2.jpg</x:v>
      </x:c>
      <x:c r="U266" s="24" t="str">
        <x:f>IFERROR(VLOOKUP(I266,'07_字典与参数'!$G$5:$J$9,2,FALSE),"未入选")</x:f>
        <x:v>未入选</x:v>
      </x:c>
      <x:c r="V266" s="24" t="str">
        <x:f>IFERROR(VLOOKUP(I266,'07_字典与参数'!$G$5:$J$9,3,FALSE),"—")</x:f>
        <x:v>—</x:v>
      </x:c>
      <x:c r="W266" s="24" t="str">
        <x:f>IF(U266="未入选","否","是")</x:f>
        <x:v>否</x:v>
      </x:c>
    </x:row>
    <x:row r="267">
      <x:c r="A267" t="n">
        <x:v>202629</x:v>
      </x:c>
      <x:c r="B267" t="str">
        <x:v>第29期（07.20-07.26）</x:v>
      </x:c>
      <x:c r="C267" t="str">
        <x:v>2026-07-20</x:v>
      </x:c>
      <x:c r="D267" t="str">
        <x:v>2026-07-26</x:v>
      </x:c>
      <x:c r="E267" t="n">
        <x:v>63</x:v>
      </x:c>
      <x:c r="F267" t="n">
        <x:v>480650228</x:v>
      </x:c>
      <x:c r="G267" t="str">
        <x:v>让你知道</x:v>
      </x:c>
      <x:c r="H267" t="str">
        <x:v>汪苏泷,G.E.M. 邓紫棋</x:v>
      </x:c>
      <x:c r="I267" t="str">
        <x:v>002V5FGl3Wga6v</x:v>
      </x:c>
      <x:c r="J267" t="str">
        <x:v>False</x:v>
      </x:c>
      <x:c r="K267" t="n">
        <x:v>64</x:v>
      </x:c>
      <x:c r="L267" t="n">
        <x:v>5</x:v>
      </x:c>
      <x:c r="M267" t="n">
        <x:v>11</x:v>
      </x:c>
      <x:c r="N267" t="n">
        <x:v>87.64311</x:v>
      </x:c>
      <x:c r="O267" t="n">
        <x:v>74.95</x:v>
      </x:c>
      <x:c r="P267" t="n">
        <x:v>0</x:v>
      </x:c>
      <x:c r="Q267" t="n">
        <x:v>0</x:v>
      </x:c>
      <x:c r="R267" t="n">
        <x:v>8.48</x:v>
      </x:c>
      <x:c r="S267" t="n">
        <x:v>52.44</x:v>
      </x:c>
      <x:c r="T267" t="str">
        <x:v>https://y.gtimg.cn/music/photo_new/T002R500x500M000000A1M903iHvyT_4.jpg</x:v>
      </x:c>
      <x:c r="U267" s="24" t="str">
        <x:f>IFERROR(VLOOKUP(I267,'07_字典与参数'!$G$5:$J$9,2,FALSE),"未入选")</x:f>
        <x:v>未入选</x:v>
      </x:c>
      <x:c r="V267" s="24" t="str">
        <x:f>IFERROR(VLOOKUP(I267,'07_字典与参数'!$G$5:$J$9,3,FALSE),"—")</x:f>
        <x:v>—</x:v>
      </x:c>
      <x:c r="W267" s="24" t="str">
        <x:f>IF(U267="未入选","否","是")</x:f>
        <x:v>否</x:v>
      </x:c>
    </x:row>
    <x:row r="268">
      <x:c r="A268" t="n">
        <x:v>202629</x:v>
      </x:c>
      <x:c r="B268" t="str">
        <x:v>第29期（07.20-07.26）</x:v>
      </x:c>
      <x:c r="C268" t="str">
        <x:v>2026-07-20</x:v>
      </x:c>
      <x:c r="D268" t="str">
        <x:v>2026-07-26</x:v>
      </x:c>
      <x:c r="E268" t="n">
        <x:v>64</x:v>
      </x:c>
      <x:c r="F268" t="n">
        <x:v>463431785</x:v>
      </x:c>
      <x:c r="G268" t="str">
        <x:v>巴拉莱卡（The Rod）</x:v>
      </x:c>
      <x:c r="H268" t="str">
        <x:v>门尼</x:v>
      </x:c>
      <x:c r="I268" t="str">
        <x:v>004cIIT23E42Bi</x:v>
      </x:c>
      <x:c r="J268" t="str">
        <x:v>False</x:v>
      </x:c>
      <x:c r="K268" t="n">
        <x:v>67</x:v>
      </x:c>
      <x:c r="L268" t="n">
        <x:v>18</x:v>
      </x:c>
      <x:c r="M268" t="n">
        <x:v>19</x:v>
      </x:c>
      <x:c r="N268" t="n">
        <x:v>87.44643</x:v>
      </x:c>
      <x:c r="O268" t="n">
        <x:v>76.23</x:v>
      </x:c>
      <x:c r="P268" t="n">
        <x:v>0</x:v>
      </x:c>
      <x:c r="Q268" t="n">
        <x:v>0</x:v>
      </x:c>
      <x:c r="R268" t="n">
        <x:v>25.81</x:v>
      </x:c>
      <x:c r="S268" t="n">
        <x:v>41.36</x:v>
      </x:c>
      <x:c r="T268" t="str">
        <x:v>https://y.qq.com/music/photo_new/T062R500x500M000000KuGDR0MKlCb.jpg</x:v>
      </x:c>
      <x:c r="U268" s="24" t="str">
        <x:f>IFERROR(VLOOKUP(I268,'07_字典与参数'!$G$5:$J$9,2,FALSE),"未入选")</x:f>
        <x:v>未入选</x:v>
      </x:c>
      <x:c r="V268" s="24" t="str">
        <x:f>IFERROR(VLOOKUP(I268,'07_字典与参数'!$G$5:$J$9,3,FALSE),"—")</x:f>
        <x:v>—</x:v>
      </x:c>
      <x:c r="W268" s="24" t="str">
        <x:f>IF(U268="未入选","否","是")</x:f>
        <x:v>否</x:v>
      </x:c>
    </x:row>
    <x:row r="269">
      <x:c r="A269" t="n">
        <x:v>202629</x:v>
      </x:c>
      <x:c r="B269" t="str">
        <x:v>第29期（07.20-07.26）</x:v>
      </x:c>
      <x:c r="C269" t="str">
        <x:v>2026-07-20</x:v>
      </x:c>
      <x:c r="D269" t="str">
        <x:v>2026-07-26</x:v>
      </x:c>
      <x:c r="E269" t="n">
        <x:v>65</x:v>
      </x:c>
      <x:c r="F269" t="n">
        <x:v>463774753</x:v>
      </x:c>
      <x:c r="G269" t="str">
        <x:v>Colder</x:v>
      </x:c>
      <x:c r="H269" t="str">
        <x:v>蔡徐坤</x:v>
      </x:c>
      <x:c r="I269" t="str">
        <x:v>00400RDv0ozgWg</x:v>
      </x:c>
      <x:c r="J269" t="str">
        <x:v>False</x:v>
      </x:c>
      <x:c r="K269" t="n">
        <x:v>20</x:v>
      </x:c>
      <x:c r="L269" t="n">
        <x:v>25</x:v>
      </x:c>
      <x:c r="M269" t="n">
        <x:v>2</x:v>
      </x:c>
      <x:c r="N269" t="n">
        <x:v>86.94447</x:v>
      </x:c>
      <x:c r="O269" t="n">
        <x:v>54.61</x:v>
      </x:c>
      <x:c r="P269" t="n">
        <x:v>0</x:v>
      </x:c>
      <x:c r="Q269" t="n">
        <x:v>0</x:v>
      </x:c>
      <x:c r="R269" t="n">
        <x:v>50.9</x:v>
      </x:c>
      <x:c r="S269" t="n">
        <x:v>58.39</x:v>
      </x:c>
      <x:c r="T269" t="str">
        <x:v>https://y.gtimg.cn/music/photo_new/T002R500x500M000003Q9it10RWLId_2.jpg</x:v>
      </x:c>
      <x:c r="U269" s="24" t="str">
        <x:f>IFERROR(VLOOKUP(I269,'07_字典与参数'!$G$5:$J$9,2,FALSE),"未入选")</x:f>
        <x:v>未入选</x:v>
      </x:c>
      <x:c r="V269" s="24" t="str">
        <x:f>IFERROR(VLOOKUP(I269,'07_字典与参数'!$G$5:$J$9,3,FALSE),"—")</x:f>
        <x:v>—</x:v>
      </x:c>
      <x:c r="W269" s="24" t="str">
        <x:f>IF(U269="未入选","否","是")</x:f>
        <x:v>否</x:v>
      </x:c>
    </x:row>
    <x:row r="270">
      <x:c r="A270" t="n">
        <x:v>202629</x:v>
      </x:c>
      <x:c r="B270" t="str">
        <x:v>第29期（07.20-07.26）</x:v>
      </x:c>
      <x:c r="C270" t="str">
        <x:v>2026-07-20</x:v>
      </x:c>
      <x:c r="D270" t="str">
        <x:v>2026-07-26</x:v>
      </x:c>
      <x:c r="E270" t="n">
        <x:v>66</x:v>
      </x:c>
      <x:c r="F270" t="n">
        <x:v>534467920</x:v>
      </x:c>
      <x:c r="G270" t="str">
        <x:v>云儿</x:v>
      </x:c>
      <x:c r="H270" t="str">
        <x:v>喻言</x:v>
      </x:c>
      <x:c r="I270" t="str">
        <x:v>0004am9z0JNbXr</x:v>
      </x:c>
      <x:c r="J270" t="str">
        <x:v>True</x:v>
      </x:c>
      <x:c r="K270" t="n">
        <x:v>0</x:v>
      </x:c>
      <x:c r="L270" t="n">
        <x:v>1</x:v>
      </x:c>
      <x:c r="M270" t="n">
        <x:v>66</x:v>
      </x:c>
      <x:c r="N270" t="n">
        <x:v>86.94351</x:v>
      </x:c>
      <x:c r="O270" t="n">
        <x:v>57.04</x:v>
      </x:c>
      <x:c r="P270" t="n">
        <x:v>0</x:v>
      </x:c>
      <x:c r="Q270" t="n">
        <x:v>0</x:v>
      </x:c>
      <x:c r="R270" t="n">
        <x:v>49.32</x:v>
      </x:c>
      <x:c r="S270" t="n">
        <x:v>58.83</x:v>
      </x:c>
      <x:c r="T270" t="str">
        <x:v>https://y.qq.com/music/photo_new/T062R500x500M0000000DBkm13Yu2I.jpg</x:v>
      </x:c>
      <x:c r="U270" s="24" t="str">
        <x:f>IFERROR(VLOOKUP(I270,'07_字典与参数'!$G$5:$J$9,2,FALSE),"未入选")</x:f>
        <x:v>未入选</x:v>
      </x:c>
      <x:c r="V270" s="24" t="str">
        <x:f>IFERROR(VLOOKUP(I270,'07_字典与参数'!$G$5:$J$9,3,FALSE),"—")</x:f>
        <x:v>—</x:v>
      </x:c>
      <x:c r="W270" s="24" t="str">
        <x:f>IF(U270="未入选","否","是")</x:f>
        <x:v>否</x:v>
      </x:c>
    </x:row>
    <x:row r="271">
      <x:c r="A271" t="n">
        <x:v>202629</x:v>
      </x:c>
      <x:c r="B271" t="str">
        <x:v>第29期（07.20-07.26）</x:v>
      </x:c>
      <x:c r="C271" t="str">
        <x:v>2026-07-20</x:v>
      </x:c>
      <x:c r="D271" t="str">
        <x:v>2026-07-26</x:v>
      </x:c>
      <x:c r="E271" t="n">
        <x:v>67</x:v>
      </x:c>
      <x:c r="F271" t="n">
        <x:v>530004147</x:v>
      </x:c>
      <x:c r="G271" t="str">
        <x:v>红尘慌慌</x:v>
      </x:c>
      <x:c r="H271" t="str">
        <x:v>周深</x:v>
      </x:c>
      <x:c r="I271" t="str">
        <x:v>003ARFyH2himMe</x:v>
      </x:c>
      <x:c r="J271" t="str">
        <x:v>False</x:v>
      </x:c>
      <x:c r="K271" t="n">
        <x:v>1</x:v>
      </x:c>
      <x:c r="L271" t="n">
        <x:v>3</x:v>
      </x:c>
      <x:c r="M271" t="n">
        <x:v>1</x:v>
      </x:c>
      <x:c r="N271" t="n">
        <x:v>86.88849</x:v>
      </x:c>
      <x:c r="O271" t="n">
        <x:v>71.83</x:v>
      </x:c>
      <x:c r="P271" t="n">
        <x:v>0</x:v>
      </x:c>
      <x:c r="Q271" t="n">
        <x:v>0</x:v>
      </x:c>
      <x:c r="R271" t="n">
        <x:v>23.86</x:v>
      </x:c>
      <x:c r="S271" t="n">
        <x:v>54.62</x:v>
      </x:c>
      <x:c r="T271" t="str">
        <x:v>https://y.qq.com/music/photo_new/T062R500x500M000002P5PQ93Mb5a2.jpg</x:v>
      </x:c>
      <x:c r="U271" s="24" t="str">
        <x:f>IFERROR(VLOOKUP(I271,'07_字典与参数'!$G$5:$J$9,2,FALSE),"未入选")</x:f>
        <x:v>未入选</x:v>
      </x:c>
      <x:c r="V271" s="24" t="str">
        <x:f>IFERROR(VLOOKUP(I271,'07_字典与参数'!$G$5:$J$9,3,FALSE),"—")</x:f>
        <x:v>—</x:v>
      </x:c>
      <x:c r="W271" s="24" t="str">
        <x:f>IF(U271="未入选","否","是")</x:f>
        <x:v>否</x:v>
      </x:c>
    </x:row>
    <x:row r="272">
      <x:c r="A272" t="n">
        <x:v>202629</x:v>
      </x:c>
      <x:c r="B272" t="str">
        <x:v>第29期（07.20-07.26）</x:v>
      </x:c>
      <x:c r="C272" t="str">
        <x:v>2026-07-20</x:v>
      </x:c>
      <x:c r="D272" t="str">
        <x:v>2026-07-26</x:v>
      </x:c>
      <x:c r="E272" t="n">
        <x:v>68</x:v>
      </x:c>
      <x:c r="F272" t="n">
        <x:v>521720356</x:v>
      </x:c>
      <x:c r="G272" t="str">
        <x:v>疑疑疑</x:v>
      </x:c>
      <x:c r="H272" t="str">
        <x:v>王俊凯</x:v>
      </x:c>
      <x:c r="I272" t="str">
        <x:v>003Y82u91ZIDmO</x:v>
      </x:c>
      <x:c r="J272" t="str">
        <x:v>False</x:v>
      </x:c>
      <x:c r="K272" t="n">
        <x:v>61</x:v>
      </x:c>
      <x:c r="L272" t="n">
        <x:v>4</x:v>
      </x:c>
      <x:c r="M272" t="n">
        <x:v>3</x:v>
      </x:c>
      <x:c r="N272" t="n">
        <x:v>86.76372</x:v>
      </x:c>
      <x:c r="O272" t="n">
        <x:v>73.09</x:v>
      </x:c>
      <x:c r="P272" t="n">
        <x:v>0</x:v>
      </x:c>
      <x:c r="Q272" t="n">
        <x:v>0</x:v>
      </x:c>
      <x:c r="R272" t="n">
        <x:v>35.45</x:v>
      </x:c>
      <x:c r="S272" t="n">
        <x:v>49.91</x:v>
      </x:c>
      <x:c r="T272" t="str">
        <x:v>https://y.qq.com/music/photo_new/T062R500x500M000001RGf6N2Plzq6.jpg</x:v>
      </x:c>
      <x:c r="U272" s="24" t="str">
        <x:f>IFERROR(VLOOKUP(I272,'07_字典与参数'!$G$5:$J$9,2,FALSE),"未入选")</x:f>
        <x:v>未入选</x:v>
      </x:c>
      <x:c r="V272" s="24" t="str">
        <x:f>IFERROR(VLOOKUP(I272,'07_字典与参数'!$G$5:$J$9,3,FALSE),"—")</x:f>
        <x:v>—</x:v>
      </x:c>
      <x:c r="W272" s="24" t="str">
        <x:f>IF(U272="未入选","否","是")</x:f>
        <x:v>否</x:v>
      </x:c>
    </x:row>
    <x:row r="273">
      <x:c r="A273" t="n">
        <x:v>202629</x:v>
      </x:c>
      <x:c r="B273" t="str">
        <x:v>第29期（07.20-07.26）</x:v>
      </x:c>
      <x:c r="C273" t="str">
        <x:v>2026-07-20</x:v>
      </x:c>
      <x:c r="D273" t="str">
        <x:v>2026-07-26</x:v>
      </x:c>
      <x:c r="E273" t="n">
        <x:v>69</x:v>
      </x:c>
      <x:c r="F273" t="n">
        <x:v>522467069</x:v>
      </x:c>
      <x:c r="G273" t="str">
        <x:v>太阳</x:v>
      </x:c>
      <x:c r="H273" t="str">
        <x:v>张艺兴</x:v>
      </x:c>
      <x:c r="I273" t="str">
        <x:v>001Uoqxt4SYZNY</x:v>
      </x:c>
      <x:c r="J273" t="str">
        <x:v>False</x:v>
      </x:c>
      <x:c r="K273" t="n">
        <x:v>32</x:v>
      </x:c>
      <x:c r="L273" t="n">
        <x:v>2</x:v>
      </x:c>
      <x:c r="M273" t="n">
        <x:v>32</x:v>
      </x:c>
      <x:c r="N273" t="n">
        <x:v>86.73125</x:v>
      </x:c>
      <x:c r="O273" t="n">
        <x:v>64.81</x:v>
      </x:c>
      <x:c r="P273" t="n">
        <x:v>0</x:v>
      </x:c>
      <x:c r="Q273" t="n">
        <x:v>0</x:v>
      </x:c>
      <x:c r="R273" t="n">
        <x:v>59.43</x:v>
      </x:c>
      <x:c r="S273" t="n">
        <x:v>42.21</x:v>
      </x:c>
      <x:c r="T273" t="str">
        <x:v>https://y.gtimg.cn/music/photo_new/T002R500x500M000001w138z3PZEcz_1.jpg</x:v>
      </x:c>
      <x:c r="U273" s="24" t="str">
        <x:f>IFERROR(VLOOKUP(I273,'07_字典与参数'!$G$5:$J$9,2,FALSE),"未入选")</x:f>
        <x:v>未入选</x:v>
      </x:c>
      <x:c r="V273" s="24" t="str">
        <x:f>IFERROR(VLOOKUP(I273,'07_字典与参数'!$G$5:$J$9,3,FALSE),"—")</x:f>
        <x:v>—</x:v>
      </x:c>
      <x:c r="W273" s="24" t="str">
        <x:f>IF(U273="未入选","否","是")</x:f>
        <x:v>否</x:v>
      </x:c>
    </x:row>
    <x:row r="274">
      <x:c r="A274" t="n">
        <x:v>202629</x:v>
      </x:c>
      <x:c r="B274" t="str">
        <x:v>第29期（07.20-07.26）</x:v>
      </x:c>
      <x:c r="C274" t="str">
        <x:v>2026-07-20</x:v>
      </x:c>
      <x:c r="D274" t="str">
        <x:v>2026-07-26</x:v>
      </x:c>
      <x:c r="E274" t="n">
        <x:v>70</x:v>
      </x:c>
      <x:c r="F274" t="n">
        <x:v>532410184</x:v>
      </x:c>
      <x:c r="G274" t="str">
        <x:v>事隔多年</x:v>
      </x:c>
      <x:c r="H274" t="str">
        <x:v>罗云熙</x:v>
      </x:c>
      <x:c r="I274" t="str">
        <x:v>001RhwBP2MJf3w</x:v>
      </x:c>
      <x:c r="J274" t="str">
        <x:v>True</x:v>
      </x:c>
      <x:c r="K274" t="n">
        <x:v>0</x:v>
      </x:c>
      <x:c r="L274" t="n">
        <x:v>1</x:v>
      </x:c>
      <x:c r="M274" t="n">
        <x:v>70</x:v>
      </x:c>
      <x:c r="N274" t="n">
        <x:v>86.54412</x:v>
      </x:c>
      <x:c r="O274" t="n">
        <x:v>47.98</x:v>
      </x:c>
      <x:c r="P274" t="n">
        <x:v>0</x:v>
      </x:c>
      <x:c r="Q274" t="n">
        <x:v>0</x:v>
      </x:c>
      <x:c r="R274" t="n">
        <x:v>62.98</x:v>
      </x:c>
      <x:c r="S274" t="n">
        <x:v>11.1</x:v>
      </x:c>
      <x:c r="T274" t="str">
        <x:v>https://y.gtimg.cn/music/photo_new/T002R500x500M000002D9AST0qddiF_1.jpg</x:v>
      </x:c>
      <x:c r="U274" s="24" t="str">
        <x:f>IFERROR(VLOOKUP(I274,'07_字典与参数'!$G$5:$J$9,2,FALSE),"未入选")</x:f>
        <x:v>未入选</x:v>
      </x:c>
      <x:c r="V274" s="24" t="str">
        <x:f>IFERROR(VLOOKUP(I274,'07_字典与参数'!$G$5:$J$9,3,FALSE),"—")</x:f>
        <x:v>—</x:v>
      </x:c>
      <x:c r="W274" s="24" t="str">
        <x:f>IF(U274="未入选","否","是")</x:f>
        <x:v>否</x:v>
      </x:c>
    </x:row>
    <x:row r="275">
      <x:c r="A275" t="n">
        <x:v>202629</x:v>
      </x:c>
      <x:c r="B275" t="str">
        <x:v>第29期（07.20-07.26）</x:v>
      </x:c>
      <x:c r="C275" t="str">
        <x:v>2026-07-20</x:v>
      </x:c>
      <x:c r="D275" t="str">
        <x:v>2026-07-26</x:v>
      </x:c>
      <x:c r="E275" t="n">
        <x:v>71</x:v>
      </x:c>
      <x:c r="F275" t="n">
        <x:v>478120646</x:v>
      </x:c>
      <x:c r="G275" t="str">
        <x:v>情深深雨濛濛</x:v>
      </x:c>
      <x:c r="H275" t="str">
        <x:v>梓渝</x:v>
      </x:c>
      <x:c r="I275" t="str">
        <x:v>001IodTs2xXctR</x:v>
      </x:c>
      <x:c r="J275" t="str">
        <x:v>False</x:v>
      </x:c>
      <x:c r="K275" t="n">
        <x:v>80</x:v>
      </x:c>
      <x:c r="L275" t="n">
        <x:v>17</x:v>
      </x:c>
      <x:c r="M275" t="n">
        <x:v>1</x:v>
      </x:c>
      <x:c r="N275" t="n">
        <x:v>86.45828</x:v>
      </x:c>
      <x:c r="O275" t="n">
        <x:v>62.11</x:v>
      </x:c>
      <x:c r="P275" t="n">
        <x:v>0</x:v>
      </x:c>
      <x:c r="Q275" t="n">
        <x:v>0</x:v>
      </x:c>
      <x:c r="R275" t="n">
        <x:v>12.46</x:v>
      </x:c>
      <x:c r="S275" t="n">
        <x:v>61.01</x:v>
      </x:c>
      <x:c r="T275" t="str">
        <x:v>https://y.gtimg.cn/music/photo_new/T002R500x500M000004d4d3s0RGI34_1.jpg</x:v>
      </x:c>
      <x:c r="U275" s="24" t="str">
        <x:f>IFERROR(VLOOKUP(I275,'07_字典与参数'!$G$5:$J$9,2,FALSE),"未入选")</x:f>
        <x:v>未入选</x:v>
      </x:c>
      <x:c r="V275" s="24" t="str">
        <x:f>IFERROR(VLOOKUP(I275,'07_字典与参数'!$G$5:$J$9,3,FALSE),"—")</x:f>
        <x:v>—</x:v>
      </x:c>
      <x:c r="W275" s="24" t="str">
        <x:f>IF(U275="未入选","否","是")</x:f>
        <x:v>否</x:v>
      </x:c>
    </x:row>
    <x:row r="276">
      <x:c r="A276" t="n">
        <x:v>202629</x:v>
      </x:c>
      <x:c r="B276" t="str">
        <x:v>第29期（07.20-07.26）</x:v>
      </x:c>
      <x:c r="C276" t="str">
        <x:v>2026-07-20</x:v>
      </x:c>
      <x:c r="D276" t="str">
        <x:v>2026-07-26</x:v>
      </x:c>
      <x:c r="E276" t="n">
        <x:v>72</x:v>
      </x:c>
      <x:c r="F276" t="n">
        <x:v>491256250</x:v>
      </x:c>
      <x:c r="G276" t="str">
        <x:v>凌绝顶</x:v>
      </x:c>
      <x:c r="H276" t="str">
        <x:v>梓渝</x:v>
      </x:c>
      <x:c r="I276" t="str">
        <x:v>001SZuO01zTv4Y</x:v>
      </x:c>
      <x:c r="J276" t="str">
        <x:v>False</x:v>
      </x:c>
      <x:c r="K276" t="n">
        <x:v>78</x:v>
      </x:c>
      <x:c r="L276" t="n">
        <x:v>10</x:v>
      </x:c>
      <x:c r="M276" t="n">
        <x:v>1</x:v>
      </x:c>
      <x:c r="N276" t="n">
        <x:v>86.45826</x:v>
      </x:c>
      <x:c r="O276" t="n">
        <x:v>63.25</x:v>
      </x:c>
      <x:c r="P276" t="n">
        <x:v>0</x:v>
      </x:c>
      <x:c r="Q276" t="n">
        <x:v>0</x:v>
      </x:c>
      <x:c r="R276" t="n">
        <x:v>25.32</x:v>
      </x:c>
      <x:c r="S276" t="n">
        <x:v>60.29</x:v>
      </x:c>
      <x:c r="T276" t="str">
        <x:v>https://y.gtimg.cn/music/photo_new/T002R500x500M000004bXPkr3OymlI_1.jpg</x:v>
      </x:c>
      <x:c r="U276" s="24" t="str">
        <x:f>IFERROR(VLOOKUP(I276,'07_字典与参数'!$G$5:$J$9,2,FALSE),"未入选")</x:f>
        <x:v>未入选</x:v>
      </x:c>
      <x:c r="V276" s="24" t="str">
        <x:f>IFERROR(VLOOKUP(I276,'07_字典与参数'!$G$5:$J$9,3,FALSE),"—")</x:f>
        <x:v>—</x:v>
      </x:c>
      <x:c r="W276" s="24" t="str">
        <x:f>IF(U276="未入选","否","是")</x:f>
        <x:v>否</x:v>
      </x:c>
    </x:row>
    <x:row r="277">
      <x:c r="A277" t="n">
        <x:v>202629</x:v>
      </x:c>
      <x:c r="B277" t="str">
        <x:v>第29期（07.20-07.26）</x:v>
      </x:c>
      <x:c r="C277" t="str">
        <x:v>2026-07-20</x:v>
      </x:c>
      <x:c r="D277" t="str">
        <x:v>2026-07-26</x:v>
      </x:c>
      <x:c r="E277" t="n">
        <x:v>73</x:v>
      </x:c>
      <x:c r="F277" t="n">
        <x:v>521720340</x:v>
      </x:c>
      <x:c r="G277" t="str">
        <x:v>如期</x:v>
      </x:c>
      <x:c r="H277" t="str">
        <x:v>王俊凯</x:v>
      </x:c>
      <x:c r="I277" t="str">
        <x:v>000n3xE32Sdk1C</x:v>
      </x:c>
      <x:c r="J277" t="str">
        <x:v>False</x:v>
      </x:c>
      <x:c r="K277" t="n">
        <x:v>74</x:v>
      </x:c>
      <x:c r="L277" t="n">
        <x:v>4</x:v>
      </x:c>
      <x:c r="M277" t="n">
        <x:v>25</x:v>
      </x:c>
      <x:c r="N277" t="n">
        <x:v>86.43706</x:v>
      </x:c>
      <x:c r="O277" t="n">
        <x:v>72.06</x:v>
      </x:c>
      <x:c r="P277" t="n">
        <x:v>0</x:v>
      </x:c>
      <x:c r="Q277" t="n">
        <x:v>0</x:v>
      </x:c>
      <x:c r="R277" t="n">
        <x:v>36.82</x:v>
      </x:c>
      <x:c r="S277" t="n">
        <x:v>50.41</x:v>
      </x:c>
      <x:c r="T277" t="str">
        <x:v>https://y.qq.com/music/photo_new/T062R500x500M000000axnOS3fnS48.jpg</x:v>
      </x:c>
      <x:c r="U277" s="24" t="str">
        <x:f>IFERROR(VLOOKUP(I277,'07_字典与参数'!$G$5:$J$9,2,FALSE),"未入选")</x:f>
        <x:v>未入选</x:v>
      </x:c>
      <x:c r="V277" s="24" t="str">
        <x:f>IFERROR(VLOOKUP(I277,'07_字典与参数'!$G$5:$J$9,3,FALSE),"—")</x:f>
        <x:v>—</x:v>
      </x:c>
      <x:c r="W277" s="24" t="str">
        <x:f>IF(U277="未入选","否","是")</x:f>
        <x:v>否</x:v>
      </x:c>
    </x:row>
    <x:row r="278">
      <x:c r="A278" t="n">
        <x:v>202629</x:v>
      </x:c>
      <x:c r="B278" t="str">
        <x:v>第29期（07.20-07.26）</x:v>
      </x:c>
      <x:c r="C278" t="str">
        <x:v>2026-07-20</x:v>
      </x:c>
      <x:c r="D278" t="str">
        <x:v>2026-07-26</x:v>
      </x:c>
      <x:c r="E278" t="n">
        <x:v>74</x:v>
      </x:c>
      <x:c r="F278" t="n">
        <x:v>466782905</x:v>
      </x:c>
      <x:c r="G278" t="str">
        <x:v>梦底</x:v>
      </x:c>
      <x:c r="H278" t="str">
        <x:v>海来阿木</x:v>
      </x:c>
      <x:c r="I278" t="str">
        <x:v>001bG0HK1bhUgX</x:v>
      </x:c>
      <x:c r="J278" t="str">
        <x:v>False</x:v>
      </x:c>
      <x:c r="K278" t="n">
        <x:v>82</x:v>
      </x:c>
      <x:c r="L278" t="n">
        <x:v>21</x:v>
      </x:c>
      <x:c r="M278" t="n">
        <x:v>9</x:v>
      </x:c>
      <x:c r="N278" t="n">
        <x:v>86.42978</x:v>
      </x:c>
      <x:c r="O278" t="n">
        <x:v>75.38</x:v>
      </x:c>
      <x:c r="P278" t="n">
        <x:v>0</x:v>
      </x:c>
      <x:c r="Q278" t="n">
        <x:v>0</x:v>
      </x:c>
      <x:c r="R278" t="n">
        <x:v>28.83</x:v>
      </x:c>
      <x:c r="S278" t="n">
        <x:v>37.67</x:v>
      </x:c>
      <x:c r="T278" t="str">
        <x:v>https://y.qq.com/music/photo_new/T062R500x500M000002Lcths3JW6kx.jpg</x:v>
      </x:c>
      <x:c r="U278" s="24" t="str">
        <x:f>IFERROR(VLOOKUP(I278,'07_字典与参数'!$G$5:$J$9,2,FALSE),"未入选")</x:f>
        <x:v>未入选</x:v>
      </x:c>
      <x:c r="V278" s="24" t="str">
        <x:f>IFERROR(VLOOKUP(I278,'07_字典与参数'!$G$5:$J$9,3,FALSE),"—")</x:f>
        <x:v>—</x:v>
      </x:c>
      <x:c r="W278" s="24" t="str">
        <x:f>IF(U278="未入选","否","是")</x:f>
        <x:v>否</x:v>
      </x:c>
    </x:row>
    <x:row r="279">
      <x:c r="A279" t="n">
        <x:v>202629</x:v>
      </x:c>
      <x:c r="B279" t="str">
        <x:v>第29期（07.20-07.26）</x:v>
      </x:c>
      <x:c r="C279" t="str">
        <x:v>2026-07-20</x:v>
      </x:c>
      <x:c r="D279" t="str">
        <x:v>2026-07-26</x:v>
      </x:c>
      <x:c r="E279" t="n">
        <x:v>75</x:v>
      </x:c>
      <x:c r="F279" t="n">
        <x:v>531359848</x:v>
      </x:c>
      <x:c r="G279" t="str">
        <x:v>我只要我开心</x:v>
      </x:c>
      <x:c r="H279" t="str">
        <x:v>时代少年团</x:v>
      </x:c>
      <x:c r="I279" t="str">
        <x:v>0047kieu3p1Zrf</x:v>
      </x:c>
      <x:c r="J279" t="str">
        <x:v>False</x:v>
      </x:c>
      <x:c r="K279" t="n">
        <x:v>4</x:v>
      </x:c>
      <x:c r="L279" t="n">
        <x:v>2</x:v>
      </x:c>
      <x:c r="M279" t="n">
        <x:v>4</x:v>
      </x:c>
      <x:c r="N279" t="n">
        <x:v>86.21525</x:v>
      </x:c>
      <x:c r="O279" t="n">
        <x:v>72.36</x:v>
      </x:c>
      <x:c r="P279" t="n">
        <x:v>0</x:v>
      </x:c>
      <x:c r="Q279" t="n">
        <x:v>0</x:v>
      </x:c>
      <x:c r="R279" t="n">
        <x:v>35.82</x:v>
      </x:c>
      <x:c r="S279" t="n">
        <x:v>48.44</x:v>
      </x:c>
      <x:c r="T279" t="str">
        <x:v>https://y.gtimg.cn/music/photo_new/T002R500x500M000002zvO7r0gSXWZ_1.jpg</x:v>
      </x:c>
      <x:c r="U279" s="24" t="str">
        <x:f>IFERROR(VLOOKUP(I279,'07_字典与参数'!$G$5:$J$9,2,FALSE),"未入选")</x:f>
        <x:v>未入选</x:v>
      </x:c>
      <x:c r="V279" s="24" t="str">
        <x:f>IFERROR(VLOOKUP(I279,'07_字典与参数'!$G$5:$J$9,3,FALSE),"—")</x:f>
        <x:v>—</x:v>
      </x:c>
      <x:c r="W279" s="24" t="str">
        <x:f>IF(U279="未入选","否","是")</x:f>
        <x:v>否</x:v>
      </x:c>
    </x:row>
    <x:row r="280">
      <x:c r="A280" t="n">
        <x:v>202629</x:v>
      </x:c>
      <x:c r="B280" t="str">
        <x:v>第29期（07.20-07.26）</x:v>
      </x:c>
      <x:c r="C280" t="str">
        <x:v>2026-07-20</x:v>
      </x:c>
      <x:c r="D280" t="str">
        <x:v>2026-07-26</x:v>
      </x:c>
      <x:c r="E280" t="n">
        <x:v>76</x:v>
      </x:c>
      <x:c r="F280" t="n">
        <x:v>471987459</x:v>
      </x:c>
      <x:c r="G280" t="str">
        <x:v>无趣生活指南</x:v>
      </x:c>
      <x:c r="H280" t="str">
        <x:v>宋亚轩</x:v>
      </x:c>
      <x:c r="I280" t="str">
        <x:v>004MTdEu3oB5ZR</x:v>
      </x:c>
      <x:c r="J280" t="str">
        <x:v>False</x:v>
      </x:c>
      <x:c r="K280" t="n">
        <x:v>85</x:v>
      </x:c>
      <x:c r="L280" t="n">
        <x:v>20</x:v>
      </x:c>
      <x:c r="M280" t="n">
        <x:v>1</x:v>
      </x:c>
      <x:c r="N280" t="n">
        <x:v>86.20899</x:v>
      </x:c>
      <x:c r="O280" t="n">
        <x:v>60.02</x:v>
      </x:c>
      <x:c r="P280" t="n">
        <x:v>0</x:v>
      </x:c>
      <x:c r="Q280" t="n">
        <x:v>0</x:v>
      </x:c>
      <x:c r="R280" t="n">
        <x:v>7.6</x:v>
      </x:c>
      <x:c r="S280" t="n">
        <x:v>61.29</x:v>
      </x:c>
      <x:c r="T280" t="str">
        <x:v>https://y.gtimg.cn/music/photo_new/T002R500x500M000003Lv1d94F8P3W_1.jpg</x:v>
      </x:c>
      <x:c r="U280" s="24" t="str">
        <x:f>IFERROR(VLOOKUP(I280,'07_字典与参数'!$G$5:$J$9,2,FALSE),"未入选")</x:f>
        <x:v>未入选</x:v>
      </x:c>
      <x:c r="V280" s="24" t="str">
        <x:f>IFERROR(VLOOKUP(I280,'07_字典与参数'!$G$5:$J$9,3,FALSE),"—")</x:f>
        <x:v>—</x:v>
      </x:c>
      <x:c r="W280" s="24" t="str">
        <x:f>IF(U280="未入选","否","是")</x:f>
        <x:v>否</x:v>
      </x:c>
    </x:row>
    <x:row r="281">
      <x:c r="A281" t="n">
        <x:v>202629</x:v>
      </x:c>
      <x:c r="B281" t="str">
        <x:v>第29期（07.20-07.26）</x:v>
      </x:c>
      <x:c r="C281" t="str">
        <x:v>2026-07-20</x:v>
      </x:c>
      <x:c r="D281" t="str">
        <x:v>2026-07-26</x:v>
      </x:c>
      <x:c r="E281" t="n">
        <x:v>77</x:v>
      </x:c>
      <x:c r="F281" t="n">
        <x:v>512003003</x:v>
      </x:c>
      <x:c r="G281" t="str">
        <x:v>逍遥仙</x:v>
      </x:c>
      <x:c r="H281" t="str">
        <x:v>筷子兄弟</x:v>
      </x:c>
      <x:c r="I281" t="str">
        <x:v>00485M1a40O8Hi</x:v>
      </x:c>
      <x:c r="J281" t="str">
        <x:v>False</x:v>
      </x:c>
      <x:c r="K281" t="n">
        <x:v>71</x:v>
      </x:c>
      <x:c r="L281" t="n">
        <x:v>6</x:v>
      </x:c>
      <x:c r="M281" t="n">
        <x:v>28</x:v>
      </x:c>
      <x:c r="N281" t="n">
        <x:v>86.19813</x:v>
      </x:c>
      <x:c r="O281" t="n">
        <x:v>75.39</x:v>
      </x:c>
      <x:c r="P281" t="n">
        <x:v>0</x:v>
      </x:c>
      <x:c r="Q281" t="n">
        <x:v>0</x:v>
      </x:c>
      <x:c r="R281" t="n">
        <x:v>27.74</x:v>
      </x:c>
      <x:c r="S281" t="n">
        <x:v>26.58</x:v>
      </x:c>
      <x:c r="T281" t="str">
        <x:v>https://y.gtimg.cn/music/photo_new/T002R500x500M000002z6UmJ3m71jH_2.jpg</x:v>
      </x:c>
      <x:c r="U281" s="24" t="str">
        <x:f>IFERROR(VLOOKUP(I281,'07_字典与参数'!$G$5:$J$9,2,FALSE),"未入选")</x:f>
        <x:v>未入选</x:v>
      </x:c>
      <x:c r="V281" s="24" t="str">
        <x:f>IFERROR(VLOOKUP(I281,'07_字典与参数'!$G$5:$J$9,3,FALSE),"—")</x:f>
        <x:v>—</x:v>
      </x:c>
      <x:c r="W281" s="24" t="str">
        <x:f>IF(U281="未入选","否","是")</x:f>
        <x:v>否</x:v>
      </x:c>
    </x:row>
    <x:row r="282">
      <x:c r="A282" t="n">
        <x:v>202629</x:v>
      </x:c>
      <x:c r="B282" t="str">
        <x:v>第29期（07.20-07.26）</x:v>
      </x:c>
      <x:c r="C282" t="str">
        <x:v>2026-07-20</x:v>
      </x:c>
      <x:c r="D282" t="str">
        <x:v>2026-07-26</x:v>
      </x:c>
      <x:c r="E282" t="n">
        <x:v>78</x:v>
      </x:c>
      <x:c r="F282" t="n">
        <x:v>476300984</x:v>
      </x:c>
      <x:c r="G282" t="str">
        <x:v>无人乐园</x:v>
      </x:c>
      <x:c r="H282" t="str">
        <x:v>王俊凯</x:v>
      </x:c>
      <x:c r="I282" t="str">
        <x:v>004BsuOC1hamlB</x:v>
      </x:c>
      <x:c r="J282" t="str">
        <x:v>False</x:v>
      </x:c>
      <x:c r="K282" t="n">
        <x:v>86</x:v>
      </x:c>
      <x:c r="L282" t="n">
        <x:v>18</x:v>
      </x:c>
      <x:c r="M282" t="n">
        <x:v>1</x:v>
      </x:c>
      <x:c r="N282" t="n">
        <x:v>86.10936</x:v>
      </x:c>
      <x:c r="O282" t="n">
        <x:v>70.72</x:v>
      </x:c>
      <x:c r="P282" t="n">
        <x:v>0</x:v>
      </x:c>
      <x:c r="Q282" t="n">
        <x:v>0</x:v>
      </x:c>
      <x:c r="R282" t="n">
        <x:v>30.43</x:v>
      </x:c>
      <x:c r="S282" t="n">
        <x:v>53.09</x:v>
      </x:c>
      <x:c r="T282" t="str">
        <x:v>https://y.qq.com/music/photo_new/T062R500x500M000002ExhNX0VO1Mc.jpg</x:v>
      </x:c>
      <x:c r="U282" s="24" t="str">
        <x:f>IFERROR(VLOOKUP(I282,'07_字典与参数'!$G$5:$J$9,2,FALSE),"未入选")</x:f>
        <x:v>未入选</x:v>
      </x:c>
      <x:c r="V282" s="24" t="str">
        <x:f>IFERROR(VLOOKUP(I282,'07_字典与参数'!$G$5:$J$9,3,FALSE),"—")</x:f>
        <x:v>—</x:v>
      </x:c>
      <x:c r="W282" s="24" t="str">
        <x:f>IF(U282="未入选","否","是")</x:f>
        <x:v>否</x:v>
      </x:c>
    </x:row>
    <x:row r="283">
      <x:c r="A283" t="n">
        <x:v>202629</x:v>
      </x:c>
      <x:c r="B283" t="str">
        <x:v>第29期（07.20-07.26）</x:v>
      </x:c>
      <x:c r="C283" t="str">
        <x:v>2026-07-20</x:v>
      </x:c>
      <x:c r="D283" t="str">
        <x:v>2026-07-26</x:v>
      </x:c>
      <x:c r="E283" t="n">
        <x:v>79</x:v>
      </x:c>
      <x:c r="F283" t="n">
        <x:v>533552071</x:v>
      </x:c>
      <x:c r="G283" t="str">
        <x:v>男朋友</x:v>
      </x:c>
      <x:c r="H283" t="str">
        <x:v>刘轩丞</x:v>
      </x:c>
      <x:c r="I283" t="str">
        <x:v>000r2c360zHJhr</x:v>
      </x:c>
      <x:c r="J283" t="str">
        <x:v>True</x:v>
      </x:c>
      <x:c r="K283" t="n">
        <x:v>0</x:v>
      </x:c>
      <x:c r="L283" t="n">
        <x:v>1</x:v>
      </x:c>
      <x:c r="M283" t="n">
        <x:v>79</x:v>
      </x:c>
      <x:c r="N283" t="n">
        <x:v>86.02594</x:v>
      </x:c>
      <x:c r="O283" t="n">
        <x:v>62.43</x:v>
      </x:c>
      <x:c r="P283" t="n">
        <x:v>0</x:v>
      </x:c>
      <x:c r="Q283" t="n">
        <x:v>0</x:v>
      </x:c>
      <x:c r="R283" t="n">
        <x:v>51.8</x:v>
      </x:c>
      <x:c r="S283" t="n">
        <x:v>51.34</x:v>
      </x:c>
      <x:c r="T283" t="str">
        <x:v>https://y.gtimg.cn/music/photo_new/T002R500x500M0000045UOmN0pyYKP_1.jpg</x:v>
      </x:c>
      <x:c r="U283" s="24" t="str">
        <x:f>IFERROR(VLOOKUP(I283,'07_字典与参数'!$G$5:$J$9,2,FALSE),"未入选")</x:f>
        <x:v>未入选</x:v>
      </x:c>
      <x:c r="V283" s="24" t="str">
        <x:f>IFERROR(VLOOKUP(I283,'07_字典与参数'!$G$5:$J$9,3,FALSE),"—")</x:f>
        <x:v>—</x:v>
      </x:c>
      <x:c r="W283" s="24" t="str">
        <x:f>IF(U283="未入选","否","是")</x:f>
        <x:v>否</x:v>
      </x:c>
    </x:row>
    <x:row r="284">
      <x:c r="A284" t="n">
        <x:v>202629</x:v>
      </x:c>
      <x:c r="B284" t="str">
        <x:v>第29期（07.20-07.26）</x:v>
      </x:c>
      <x:c r="C284" t="str">
        <x:v>2026-07-20</x:v>
      </x:c>
      <x:c r="D284" t="str">
        <x:v>2026-07-26</x:v>
      </x:c>
      <x:c r="E284" t="n">
        <x:v>80</x:v>
      </x:c>
      <x:c r="F284" t="n">
        <x:v>530399435</x:v>
      </x:c>
      <x:c r="G284" t="str">
        <x:v>破晓</x:v>
      </x:c>
      <x:c r="H284" t="str">
        <x:v>王俊凯</x:v>
      </x:c>
      <x:c r="I284" t="str">
        <x:v>001IXEnW4OmqLF</x:v>
      </x:c>
      <x:c r="J284" t="str">
        <x:v>False</x:v>
      </x:c>
      <x:c r="K284" t="n">
        <x:v>50</x:v>
      </x:c>
      <x:c r="L284" t="n">
        <x:v>3</x:v>
      </x:c>
      <x:c r="M284" t="n">
        <x:v>1</x:v>
      </x:c>
      <x:c r="N284" t="n">
        <x:v>85.95708</x:v>
      </x:c>
      <x:c r="O284" t="n">
        <x:v>71.38</x:v>
      </x:c>
      <x:c r="P284" t="n">
        <x:v>0</x:v>
      </x:c>
      <x:c r="Q284" t="n">
        <x:v>0</x:v>
      </x:c>
      <x:c r="R284" t="n">
        <x:v>38.46</x:v>
      </x:c>
      <x:c r="S284" t="n">
        <x:v>49.17</x:v>
      </x:c>
      <x:c r="T284" t="str">
        <x:v>https://y.qq.com/music/photo_new/T062R500x500M000004EhfP90kZ9le.jpg</x:v>
      </x:c>
      <x:c r="U284" s="24" t="str">
        <x:f>IFERROR(VLOOKUP(I284,'07_字典与参数'!$G$5:$J$9,2,FALSE),"未入选")</x:f>
        <x:v>未入选</x:v>
      </x:c>
      <x:c r="V284" s="24" t="str">
        <x:f>IFERROR(VLOOKUP(I284,'07_字典与参数'!$G$5:$J$9,3,FALSE),"—")</x:f>
        <x:v>—</x:v>
      </x:c>
      <x:c r="W284" s="24" t="str">
        <x:f>IF(U284="未入选","否","是")</x:f>
        <x:v>否</x:v>
      </x:c>
    </x:row>
    <x:row r="285">
      <x:c r="A285" t="n">
        <x:v>202629</x:v>
      </x:c>
      <x:c r="B285" t="str">
        <x:v>第29期（07.20-07.26）</x:v>
      </x:c>
      <x:c r="C285" t="str">
        <x:v>2026-07-20</x:v>
      </x:c>
      <x:c r="D285" t="str">
        <x:v>2026-07-26</x:v>
      </x:c>
      <x:c r="E285" t="n">
        <x:v>81</x:v>
      </x:c>
      <x:c r="F285" t="n">
        <x:v>532410188</x:v>
      </x:c>
      <x:c r="G285" t="str">
        <x:v>宇宙第一响</x:v>
      </x:c>
      <x:c r="H285" t="str">
        <x:v>罗云熙</x:v>
      </x:c>
      <x:c r="I285" t="str">
        <x:v>000zj7kA02FPiz</x:v>
      </x:c>
      <x:c r="J285" t="str">
        <x:v>True</x:v>
      </x:c>
      <x:c r="K285" t="n">
        <x:v>0</x:v>
      </x:c>
      <x:c r="L285" t="n">
        <x:v>1</x:v>
      </x:c>
      <x:c r="M285" t="n">
        <x:v>81</x:v>
      </x:c>
      <x:c r="N285" t="n">
        <x:v>85.93992</x:v>
      </x:c>
      <x:c r="O285" t="n">
        <x:v>47.38</x:v>
      </x:c>
      <x:c r="P285" t="n">
        <x:v>0</x:v>
      </x:c>
      <x:c r="Q285" t="n">
        <x:v>0</x:v>
      </x:c>
      <x:c r="R285" t="n">
        <x:v>62.03</x:v>
      </x:c>
      <x:c r="S285" t="n">
        <x:v>10.43</x:v>
      </x:c>
      <x:c r="T285" t="str">
        <x:v>https://y.gtimg.cn/music/photo_new/T002R500x500M000002D9AST0qddiF_1.jpg</x:v>
      </x:c>
      <x:c r="U285" s="24" t="str">
        <x:f>IFERROR(VLOOKUP(I285,'07_字典与参数'!$G$5:$J$9,2,FALSE),"未入选")</x:f>
        <x:v>未入选</x:v>
      </x:c>
      <x:c r="V285" s="24" t="str">
        <x:f>IFERROR(VLOOKUP(I285,'07_字典与参数'!$G$5:$J$9,3,FALSE),"—")</x:f>
        <x:v>—</x:v>
      </x:c>
      <x:c r="W285" s="24" t="str">
        <x:f>IF(U285="未入选","否","是")</x:f>
        <x:v>否</x:v>
      </x:c>
    </x:row>
    <x:row r="286">
      <x:c r="A286" t="n">
        <x:v>202629</x:v>
      </x:c>
      <x:c r="B286" t="str">
        <x:v>第29期（07.20-07.26）</x:v>
      </x:c>
      <x:c r="C286" t="str">
        <x:v>2026-07-20</x:v>
      </x:c>
      <x:c r="D286" t="str">
        <x:v>2026-07-26</x:v>
      </x:c>
      <x:c r="E286" t="n">
        <x:v>82</x:v>
      </x:c>
      <x:c r="F286" t="n">
        <x:v>532410186</x:v>
      </x:c>
      <x:c r="G286" t="str">
        <x:v>圣塔里奥酒馆</x:v>
      </x:c>
      <x:c r="H286" t="str">
        <x:v>罗云熙</x:v>
      </x:c>
      <x:c r="I286" t="str">
        <x:v>001bfNQo1lJC7D</x:v>
      </x:c>
      <x:c r="J286" t="str">
        <x:v>True</x:v>
      </x:c>
      <x:c r="K286" t="n">
        <x:v>0</x:v>
      </x:c>
      <x:c r="L286" t="n">
        <x:v>1</x:v>
      </x:c>
      <x:c r="M286" t="n">
        <x:v>82</x:v>
      </x:c>
      <x:c r="N286" t="n">
        <x:v>85.93927</x:v>
      </x:c>
      <x:c r="O286" t="n">
        <x:v>47.88</x:v>
      </x:c>
      <x:c r="P286" t="n">
        <x:v>0</x:v>
      </x:c>
      <x:c r="Q286" t="n">
        <x:v>0</x:v>
      </x:c>
      <x:c r="R286" t="n">
        <x:v>62</x:v>
      </x:c>
      <x:c r="S286" t="n">
        <x:v>12.78</x:v>
      </x:c>
      <x:c r="T286" t="str">
        <x:v>https://y.gtimg.cn/music/photo_new/T002R500x500M000002D9AST0qddiF_1.jpg</x:v>
      </x:c>
      <x:c r="U286" s="24" t="str">
        <x:f>IFERROR(VLOOKUP(I286,'07_字典与参数'!$G$5:$J$9,2,FALSE),"未入选")</x:f>
        <x:v>未入选</x:v>
      </x:c>
      <x:c r="V286" s="24" t="str">
        <x:f>IFERROR(VLOOKUP(I286,'07_字典与参数'!$G$5:$J$9,3,FALSE),"—")</x:f>
        <x:v>—</x:v>
      </x:c>
      <x:c r="W286" s="24" t="str">
        <x:f>IF(U286="未入选","否","是")</x:f>
        <x:v>否</x:v>
      </x:c>
    </x:row>
    <x:row r="287">
      <x:c r="A287" t="n">
        <x:v>202629</x:v>
      </x:c>
      <x:c r="B287" t="str">
        <x:v>第29期（07.20-07.26）</x:v>
      </x:c>
      <x:c r="C287" t="str">
        <x:v>2026-07-20</x:v>
      </x:c>
      <x:c r="D287" t="str">
        <x:v>2026-07-26</x:v>
      </x:c>
      <x:c r="E287" t="n">
        <x:v>83</x:v>
      </x:c>
      <x:c r="F287" t="n">
        <x:v>532410189</x:v>
      </x:c>
      <x:c r="G287" t="str">
        <x:v>夜梦春游</x:v>
      </x:c>
      <x:c r="H287" t="str">
        <x:v>罗云熙</x:v>
      </x:c>
      <x:c r="I287" t="str">
        <x:v>003dKXes3PsPHc</x:v>
      </x:c>
      <x:c r="J287" t="str">
        <x:v>True</x:v>
      </x:c>
      <x:c r="K287" t="n">
        <x:v>0</x:v>
      </x:c>
      <x:c r="L287" t="n">
        <x:v>1</x:v>
      </x:c>
      <x:c r="M287" t="n">
        <x:v>83</x:v>
      </x:c>
      <x:c r="N287" t="n">
        <x:v>85.87374</x:v>
      </x:c>
      <x:c r="O287" t="n">
        <x:v>49.41</x:v>
      </x:c>
      <x:c r="P287" t="n">
        <x:v>0</x:v>
      </x:c>
      <x:c r="Q287" t="n">
        <x:v>0</x:v>
      </x:c>
      <x:c r="R287" t="n">
        <x:v>61.81</x:v>
      </x:c>
      <x:c r="S287" t="n">
        <x:v>18.17</x:v>
      </x:c>
      <x:c r="T287" t="str">
        <x:v>https://y.gtimg.cn/music/photo_new/T002R500x500M000002D9AST0qddiF_1.jpg</x:v>
      </x:c>
      <x:c r="U287" s="24" t="str">
        <x:f>IFERROR(VLOOKUP(I287,'07_字典与参数'!$G$5:$J$9,2,FALSE),"未入选")</x:f>
        <x:v>未入选</x:v>
      </x:c>
      <x:c r="V287" s="24" t="str">
        <x:f>IFERROR(VLOOKUP(I287,'07_字典与参数'!$G$5:$J$9,3,FALSE),"—")</x:f>
        <x:v>—</x:v>
      </x:c>
      <x:c r="W287" s="24" t="str">
        <x:f>IF(U287="未入选","否","是")</x:f>
        <x:v>否</x:v>
      </x:c>
    </x:row>
    <x:row r="288">
      <x:c r="A288" t="n">
        <x:v>202629</x:v>
      </x:c>
      <x:c r="B288" t="str">
        <x:v>第29期（07.20-07.26）</x:v>
      </x:c>
      <x:c r="C288" t="str">
        <x:v>2026-07-20</x:v>
      </x:c>
      <x:c r="D288" t="str">
        <x:v>2026-07-26</x:v>
      </x:c>
      <x:c r="E288" t="n">
        <x:v>84</x:v>
      </x:c>
      <x:c r="F288" t="n">
        <x:v>534467928</x:v>
      </x:c>
      <x:c r="G288" t="str">
        <x:v>同学，我有一本关于你的日记</x:v>
      </x:c>
      <x:c r="H288" t="str">
        <x:v>陈卓璇</x:v>
      </x:c>
      <x:c r="I288" t="str">
        <x:v>003DDhRU2rMxxl</x:v>
      </x:c>
      <x:c r="J288" t="str">
        <x:v>True</x:v>
      </x:c>
      <x:c r="K288" t="n">
        <x:v>0</x:v>
      </x:c>
      <x:c r="L288" t="n">
        <x:v>1</x:v>
      </x:c>
      <x:c r="M288" t="n">
        <x:v>84</x:v>
      </x:c>
      <x:c r="N288" t="n">
        <x:v>85.86405</x:v>
      </x:c>
      <x:c r="O288" t="n">
        <x:v>51.25</x:v>
      </x:c>
      <x:c r="P288" t="n">
        <x:v>0</x:v>
      </x:c>
      <x:c r="Q288" t="n">
        <x:v>0</x:v>
      </x:c>
      <x:c r="R288" t="n">
        <x:v>3.56</x:v>
      </x:c>
      <x:c r="S288" t="n">
        <x:v>61.73</x:v>
      </x:c>
      <x:c r="T288" t="str">
        <x:v>https://y.qq.com/music/photo_new/T062R500x500M000002OtuYt2bvN6K.jpg</x:v>
      </x:c>
      <x:c r="U288" s="24" t="str">
        <x:f>IFERROR(VLOOKUP(I288,'07_字典与参数'!$G$5:$J$9,2,FALSE),"未入选")</x:f>
        <x:v>未入选</x:v>
      </x:c>
      <x:c r="V288" s="24" t="str">
        <x:f>IFERROR(VLOOKUP(I288,'07_字典与参数'!$G$5:$J$9,3,FALSE),"—")</x:f>
        <x:v>—</x:v>
      </x:c>
      <x:c r="W288" s="24" t="str">
        <x:f>IF(U288="未入选","否","是")</x:f>
        <x:v>否</x:v>
      </x:c>
    </x:row>
    <x:row r="289">
      <x:c r="A289" t="n">
        <x:v>202629</x:v>
      </x:c>
      <x:c r="B289" t="str">
        <x:v>第29期（07.20-07.26）</x:v>
      </x:c>
      <x:c r="C289" t="str">
        <x:v>2026-07-20</x:v>
      </x:c>
      <x:c r="D289" t="str">
        <x:v>2026-07-26</x:v>
      </x:c>
      <x:c r="E289" t="n">
        <x:v>85</x:v>
      </x:c>
      <x:c r="F289" t="n">
        <x:v>464961899</x:v>
      </x:c>
      <x:c r="G289" t="str">
        <x:v>失眠了</x:v>
      </x:c>
      <x:c r="H289" t="str">
        <x:v>吴琳珂Moske</x:v>
      </x:c>
      <x:c r="I289" t="str">
        <x:v>001TbwI91Lu6kB</x:v>
      </x:c>
      <x:c r="J289" t="str">
        <x:v>False</x:v>
      </x:c>
      <x:c r="K289" t="n">
        <x:v>88</x:v>
      </x:c>
      <x:c r="L289" t="n">
        <x:v>22</x:v>
      </x:c>
      <x:c r="M289" t="n">
        <x:v>19</x:v>
      </x:c>
      <x:c r="N289" t="n">
        <x:v>85.78029</x:v>
      </x:c>
      <x:c r="O289" t="n">
        <x:v>75.16</x:v>
      </x:c>
      <x:c r="P289" t="n">
        <x:v>0</x:v>
      </x:c>
      <x:c r="Q289" t="n">
        <x:v>0</x:v>
      </x:c>
      <x:c r="R289" t="n">
        <x:v>1.77</x:v>
      </x:c>
      <x:c r="S289" t="n">
        <x:v>40.17</x:v>
      </x:c>
      <x:c r="T289" t="str">
        <x:v>https://y.gtimg.cn/music/photo_new/T002R500x500M000001Eq1Sr22DGRf_1.jpg</x:v>
      </x:c>
      <x:c r="U289" s="24" t="str">
        <x:f>IFERROR(VLOOKUP(I289,'07_字典与参数'!$G$5:$J$9,2,FALSE),"未入选")</x:f>
        <x:v>未入选</x:v>
      </x:c>
      <x:c r="V289" s="24" t="str">
        <x:f>IFERROR(VLOOKUP(I289,'07_字典与参数'!$G$5:$J$9,3,FALSE),"—")</x:f>
        <x:v>—</x:v>
      </x:c>
      <x:c r="W289" s="24" t="str">
        <x:f>IF(U289="未入选","否","是")</x:f>
        <x:v>否</x:v>
      </x:c>
    </x:row>
    <x:row r="290">
      <x:c r="A290" t="n">
        <x:v>202629</x:v>
      </x:c>
      <x:c r="B290" t="str">
        <x:v>第29期（07.20-07.26）</x:v>
      </x:c>
      <x:c r="C290" t="str">
        <x:v>2026-07-20</x:v>
      </x:c>
      <x:c r="D290" t="str">
        <x:v>2026-07-26</x:v>
      </x:c>
      <x:c r="E290" t="n">
        <x:v>86</x:v>
      </x:c>
      <x:c r="F290" t="n">
        <x:v>474678725</x:v>
      </x:c>
      <x:c r="G290" t="str">
        <x:v>宠</x:v>
      </x:c>
      <x:c r="H290" t="str">
        <x:v>檀健次</x:v>
      </x:c>
      <x:c r="I290" t="str">
        <x:v>004F7UlD2YXJtR</x:v>
      </x:c>
      <x:c r="J290" t="str">
        <x:v>False</x:v>
      </x:c>
      <x:c r="K290" t="n">
        <x:v>99</x:v>
      </x:c>
      <x:c r="L290" t="n">
        <x:v>19</x:v>
      </x:c>
      <x:c r="M290" t="n">
        <x:v>10</x:v>
      </x:c>
      <x:c r="N290" t="n">
        <x:v>85.779</x:v>
      </x:c>
      <x:c r="O290" t="n">
        <x:v>61</x:v>
      </x:c>
      <x:c r="P290" t="n">
        <x:v>0</x:v>
      </x:c>
      <x:c r="Q290" t="n">
        <x:v>0</x:v>
      </x:c>
      <x:c r="R290" t="n">
        <x:v>17.31</x:v>
      </x:c>
      <x:c r="S290" t="n">
        <x:v>60.11</x:v>
      </x:c>
      <x:c r="T290" t="str">
        <x:v>https://y.gtimg.cn/music/photo_new/T002R500x500M000001pEKRz4LW4Vx_1.jpg</x:v>
      </x:c>
      <x:c r="U290" s="24" t="str">
        <x:f>IFERROR(VLOOKUP(I290,'07_字典与参数'!$G$5:$J$9,2,FALSE),"未入选")</x:f>
        <x:v>未入选</x:v>
      </x:c>
      <x:c r="V290" s="24" t="str">
        <x:f>IFERROR(VLOOKUP(I290,'07_字典与参数'!$G$5:$J$9,3,FALSE),"—")</x:f>
        <x:v>—</x:v>
      </x:c>
      <x:c r="W290" s="24" t="str">
        <x:f>IF(U290="未入选","否","是")</x:f>
        <x:v>否</x:v>
      </x:c>
    </x:row>
    <x:row r="291">
      <x:c r="A291" t="n">
        <x:v>202629</x:v>
      </x:c>
      <x:c r="B291" t="str">
        <x:v>第29期（07.20-07.26）</x:v>
      </x:c>
      <x:c r="C291" t="str">
        <x:v>2026-07-20</x:v>
      </x:c>
      <x:c r="D291" t="str">
        <x:v>2026-07-26</x:v>
      </x:c>
      <x:c r="E291" t="n">
        <x:v>87</x:v>
      </x:c>
      <x:c r="F291" t="n">
        <x:v>517708558</x:v>
      </x:c>
      <x:c r="G291" t="str">
        <x:v>Call My Name</x:v>
      </x:c>
      <x:c r="H291" t="str">
        <x:v>张艺兴</x:v>
      </x:c>
      <x:c r="I291" t="str">
        <x:v>000LnSwg4DkKg2</x:v>
      </x:c>
      <x:c r="J291" t="str">
        <x:v>False</x:v>
      </x:c>
      <x:c r="K291" t="n">
        <x:v>29</x:v>
      </x:c>
      <x:c r="L291" t="n">
        <x:v>5</x:v>
      </x:c>
      <x:c r="M291" t="n">
        <x:v>1</x:v>
      </x:c>
      <x:c r="N291" t="n">
        <x:v>85.77633</x:v>
      </x:c>
      <x:c r="O291" t="n">
        <x:v>62.44</x:v>
      </x:c>
      <x:c r="P291" t="n">
        <x:v>0</x:v>
      </x:c>
      <x:c r="Q291" t="n">
        <x:v>0</x:v>
      </x:c>
      <x:c r="R291" t="n">
        <x:v>57.09</x:v>
      </x:c>
      <x:c r="S291" t="n">
        <x:v>41.99</x:v>
      </x:c>
      <x:c r="T291" t="str">
        <x:v>https://y.gtimg.cn/music/photo_new/T002R500x500M000001w138z3PZEcz_1.jpg</x:v>
      </x:c>
      <x:c r="U291" s="24" t="str">
        <x:f>IFERROR(VLOOKUP(I291,'07_字典与参数'!$G$5:$J$9,2,FALSE),"未入选")</x:f>
        <x:v>未入选</x:v>
      </x:c>
      <x:c r="V291" s="24" t="str">
        <x:f>IFERROR(VLOOKUP(I291,'07_字典与参数'!$G$5:$J$9,3,FALSE),"—")</x:f>
        <x:v>—</x:v>
      </x:c>
      <x:c r="W291" s="24" t="str">
        <x:f>IF(U291="未入选","否","是")</x:f>
        <x:v>否</x:v>
      </x:c>
    </x:row>
    <x:row r="292">
      <x:c r="A292" t="n">
        <x:v>202629</x:v>
      </x:c>
      <x:c r="B292" t="str">
        <x:v>第29期（07.20-07.26）</x:v>
      </x:c>
      <x:c r="C292" t="str">
        <x:v>2026-07-20</x:v>
      </x:c>
      <x:c r="D292" t="str">
        <x:v>2026-07-26</x:v>
      </x:c>
      <x:c r="E292" t="n">
        <x:v>88</x:v>
      </x:c>
      <x:c r="F292" t="n">
        <x:v>513694560</x:v>
      </x:c>
      <x:c r="G292" t="str">
        <x:v>最后的借口</x:v>
      </x:c>
      <x:c r="H292" t="str">
        <x:v>h3R3刘清云,罗可Lorkin</x:v>
      </x:c>
      <x:c r="I292" t="str">
        <x:v>0009ekdK2Ilzld</x:v>
      </x:c>
      <x:c r="J292" t="str">
        <x:v>False</x:v>
      </x:c>
      <x:c r="K292" t="n">
        <x:v>87</x:v>
      </x:c>
      <x:c r="L292" t="n">
        <x:v>3</x:v>
      </x:c>
      <x:c r="M292" t="n">
        <x:v>73</x:v>
      </x:c>
      <x:c r="N292" t="n">
        <x:v>85.73202</x:v>
      </x:c>
      <x:c r="O292" t="n">
        <x:v>74.82</x:v>
      </x:c>
      <x:c r="P292" t="n">
        <x:v>0</x:v>
      </x:c>
      <x:c r="Q292" t="n">
        <x:v>0</x:v>
      </x:c>
      <x:c r="R292" t="n">
        <x:v>9.38</x:v>
      </x:c>
      <x:c r="S292" t="n">
        <x:v>40.96</x:v>
      </x:c>
      <x:c r="T292" t="str">
        <x:v>https://y.gtimg.cn/music/photo_new/T002R500x500M0000031yTwA0yq3b5_1.jpg</x:v>
      </x:c>
      <x:c r="U292" s="24" t="str">
        <x:f>IFERROR(VLOOKUP(I292,'07_字典与参数'!$G$5:$J$9,2,FALSE),"未入选")</x:f>
        <x:v>未入选</x:v>
      </x:c>
      <x:c r="V292" s="24" t="str">
        <x:f>IFERROR(VLOOKUP(I292,'07_字典与参数'!$G$5:$J$9,3,FALSE),"—")</x:f>
        <x:v>—</x:v>
      </x:c>
      <x:c r="W292" s="24" t="str">
        <x:f>IF(U292="未入选","否","是")</x:f>
        <x:v>否</x:v>
      </x:c>
    </x:row>
    <x:row r="293">
      <x:c r="A293" t="n">
        <x:v>202629</x:v>
      </x:c>
      <x:c r="B293" t="str">
        <x:v>第29期（07.20-07.26）</x:v>
      </x:c>
      <x:c r="C293" t="str">
        <x:v>2026-07-20</x:v>
      </x:c>
      <x:c r="D293" t="str">
        <x:v>2026-07-26</x:v>
      </x:c>
      <x:c r="E293" t="n">
        <x:v>89</x:v>
      </x:c>
      <x:c r="F293" t="n">
        <x:v>533345324</x:v>
      </x:c>
      <x:c r="G293" t="str">
        <x:v>是你让我成为我</x:v>
      </x:c>
      <x:c r="H293" t="str">
        <x:v>丁禹兮</x:v>
      </x:c>
      <x:c r="I293" t="str">
        <x:v>000mrOhm3lXq0Z</x:v>
      </x:c>
      <x:c r="J293" t="str">
        <x:v>True</x:v>
      </x:c>
      <x:c r="K293" t="n">
        <x:v>0</x:v>
      </x:c>
      <x:c r="L293" t="n">
        <x:v>1</x:v>
      </x:c>
      <x:c r="M293" t="n">
        <x:v>89</x:v>
      </x:c>
      <x:c r="N293" t="n">
        <x:v>85.68733</x:v>
      </x:c>
      <x:c r="O293" t="n">
        <x:v>67.04</x:v>
      </x:c>
      <x:c r="P293" t="n">
        <x:v>0</x:v>
      </x:c>
      <x:c r="Q293" t="n">
        <x:v>0</x:v>
      </x:c>
      <x:c r="R293" t="n">
        <x:v>41.88</x:v>
      </x:c>
      <x:c r="S293" t="n">
        <x:v>52.01</x:v>
      </x:c>
      <x:c r="T293" t="str">
        <x:v>https://y.gtimg.cn/music/photo_new/T002R500x500M000001Tb9NF0x1OJU_1.jpg</x:v>
      </x:c>
      <x:c r="U293" s="24" t="str">
        <x:f>IFERROR(VLOOKUP(I293,'07_字典与参数'!$G$5:$J$9,2,FALSE),"未入选")</x:f>
        <x:v>未入选</x:v>
      </x:c>
      <x:c r="V293" s="24" t="str">
        <x:f>IFERROR(VLOOKUP(I293,'07_字典与参数'!$G$5:$J$9,3,FALSE),"—")</x:f>
        <x:v>—</x:v>
      </x:c>
      <x:c r="W293" s="24" t="str">
        <x:f>IF(U293="未入选","否","是")</x:f>
        <x:v>否</x:v>
      </x:c>
    </x:row>
    <x:row r="294">
      <x:c r="A294" t="n">
        <x:v>202629</x:v>
      </x:c>
      <x:c r="B294" t="str">
        <x:v>第29期（07.20-07.26）</x:v>
      </x:c>
      <x:c r="C294" t="str">
        <x:v>2026-07-20</x:v>
      </x:c>
      <x:c r="D294" t="str">
        <x:v>2026-07-26</x:v>
      </x:c>
      <x:c r="E294" t="n">
        <x:v>90</x:v>
      </x:c>
      <x:c r="F294" t="n">
        <x:v>481957782</x:v>
      </x:c>
      <x:c r="G294" t="str">
        <x:v>烟花街</x:v>
      </x:c>
      <x:c r="H294" t="str">
        <x:v>崔十八,听潮阁</x:v>
      </x:c>
      <x:c r="I294" t="str">
        <x:v>002EsPoW4eUnsu</x:v>
      </x:c>
      <x:c r="J294" t="str">
        <x:v>False</x:v>
      </x:c>
      <x:c r="K294" t="n">
        <x:v>93</x:v>
      </x:c>
      <x:c r="L294" t="n">
        <x:v>5</x:v>
      </x:c>
      <x:c r="M294" t="n">
        <x:v>52</x:v>
      </x:c>
      <x:c r="N294" t="n">
        <x:v>85.62243</x:v>
      </x:c>
      <x:c r="O294" t="n">
        <x:v>45.87</x:v>
      </x:c>
      <x:c r="P294" t="n">
        <x:v>0</x:v>
      </x:c>
      <x:c r="Q294" t="n">
        <x:v>0</x:v>
      </x:c>
      <x:c r="R294" t="n">
        <x:v>25.94</x:v>
      </x:c>
      <x:c r="S294" t="n">
        <x:v>60.94</x:v>
      </x:c>
      <x:c r="T294" t="str">
        <x:v>https://y.gtimg.cn/music/photo_new/T002R500x500M000003VWOiA0YwIBI_1.jpg</x:v>
      </x:c>
      <x:c r="U294" s="24" t="str">
        <x:f>IFERROR(VLOOKUP(I294,'07_字典与参数'!$G$5:$J$9,2,FALSE),"未入选")</x:f>
        <x:v>未入选</x:v>
      </x:c>
      <x:c r="V294" s="24" t="str">
        <x:f>IFERROR(VLOOKUP(I294,'07_字典与参数'!$G$5:$J$9,3,FALSE),"—")</x:f>
        <x:v>—</x:v>
      </x:c>
      <x:c r="W294" s="24" t="str">
        <x:f>IF(U294="未入选","否","是")</x:f>
        <x:v>否</x:v>
      </x:c>
    </x:row>
    <x:row r="295">
      <x:c r="A295" t="n">
        <x:v>202629</x:v>
      </x:c>
      <x:c r="B295" t="str">
        <x:v>第29期（07.20-07.26）</x:v>
      </x:c>
      <x:c r="C295" t="str">
        <x:v>2026-07-20</x:v>
      </x:c>
      <x:c r="D295" t="str">
        <x:v>2026-07-26</x:v>
      </x:c>
      <x:c r="E295" t="n">
        <x:v>91</x:v>
      </x:c>
      <x:c r="F295" t="n">
        <x:v>463774751</x:v>
      </x:c>
      <x:c r="G295" t="str">
        <x:v>Don't Call (feat. Free Nationals)</x:v>
      </x:c>
      <x:c r="H295" t="str">
        <x:v>蔡徐坤</x:v>
      </x:c>
      <x:c r="I295" t="str">
        <x:v>004O0a1f4T0RI8</x:v>
      </x:c>
      <x:c r="J295" t="str">
        <x:v>False</x:v>
      </x:c>
      <x:c r="K295" t="n">
        <x:v>23</x:v>
      </x:c>
      <x:c r="L295" t="n">
        <x:v>23</x:v>
      </x:c>
      <x:c r="M295" t="n">
        <x:v>3</x:v>
      </x:c>
      <x:c r="N295" t="n">
        <x:v>85.5544</x:v>
      </x:c>
      <x:c r="O295" t="n">
        <x:v>53.73</x:v>
      </x:c>
      <x:c r="P295" t="n">
        <x:v>0</x:v>
      </x:c>
      <x:c r="Q295" t="n">
        <x:v>0</x:v>
      </x:c>
      <x:c r="R295" t="n">
        <x:v>50.47</x:v>
      </x:c>
      <x:c r="S295" t="n">
        <x:v>53.74</x:v>
      </x:c>
      <x:c r="T295" t="str">
        <x:v>https://y.gtimg.cn/music/photo_new/T002R500x500M000003Q9it10RWLId_2.jpg</x:v>
      </x:c>
      <x:c r="U295" s="24" t="str">
        <x:f>IFERROR(VLOOKUP(I295,'07_字典与参数'!$G$5:$J$9,2,FALSE),"未入选")</x:f>
        <x:v>未入选</x:v>
      </x:c>
      <x:c r="V295" s="24" t="str">
        <x:f>IFERROR(VLOOKUP(I295,'07_字典与参数'!$G$5:$J$9,3,FALSE),"—")</x:f>
        <x:v>—</x:v>
      </x:c>
      <x:c r="W295" s="24" t="str">
        <x:f>IF(U295="未入选","否","是")</x:f>
        <x:v>否</x:v>
      </x:c>
    </x:row>
    <x:row r="296">
      <x:c r="A296" t="n">
        <x:v>202629</x:v>
      </x:c>
      <x:c r="B296" t="str">
        <x:v>第29期（07.20-07.26）</x:v>
      </x:c>
      <x:c r="C296" t="str">
        <x:v>2026-07-20</x:v>
      </x:c>
      <x:c r="D296" t="str">
        <x:v>2026-07-26</x:v>
      </x:c>
      <x:c r="E296" t="n">
        <x:v>92</x:v>
      </x:c>
      <x:c r="F296" t="n">
        <x:v>484990426</x:v>
      </x:c>
      <x:c r="G296" t="str">
        <x:v>西乌旗99号公路</x:v>
      </x:c>
      <x:c r="H296" t="str">
        <x:v>LunaLiu刘不语,张川海</x:v>
      </x:c>
      <x:c r="I296" t="str">
        <x:v>002n9rPh3tYpOc</x:v>
      </x:c>
      <x:c r="J296" t="str">
        <x:v>False</x:v>
      </x:c>
      <x:c r="K296" t="n">
        <x:v>69</x:v>
      </x:c>
      <x:c r="L296" t="n">
        <x:v>4</x:v>
      </x:c>
      <x:c r="M296" t="n">
        <x:v>51</x:v>
      </x:c>
      <x:c r="N296" t="n">
        <x:v>85.48258</x:v>
      </x:c>
      <x:c r="O296" t="n">
        <x:v>73.66</x:v>
      </x:c>
      <x:c r="P296" t="n">
        <x:v>0</x:v>
      </x:c>
      <x:c r="Q296" t="n">
        <x:v>0</x:v>
      </x:c>
      <x:c r="R296" t="n">
        <x:v>30.91</x:v>
      </x:c>
      <x:c r="S296" t="n">
        <x:v>39.93</x:v>
      </x:c>
      <x:c r="T296" t="str">
        <x:v>https://y.gtimg.cn/music/photo_new/T002R500x500M000003woY5f2sdNs7_2.jpg</x:v>
      </x:c>
      <x:c r="U296" s="24" t="str">
        <x:f>IFERROR(VLOOKUP(I296,'07_字典与参数'!$G$5:$J$9,2,FALSE),"未入选")</x:f>
        <x:v>未入选</x:v>
      </x:c>
      <x:c r="V296" s="24" t="str">
        <x:f>IFERROR(VLOOKUP(I296,'07_字典与参数'!$G$5:$J$9,3,FALSE),"—")</x:f>
        <x:v>—</x:v>
      </x:c>
      <x:c r="W296" s="24" t="str">
        <x:f>IF(U296="未入选","否","是")</x:f>
        <x:v>否</x:v>
      </x:c>
    </x:row>
    <x:row r="297">
      <x:c r="A297" t="n">
        <x:v>202629</x:v>
      </x:c>
      <x:c r="B297" t="str">
        <x:v>第29期（07.20-07.26）</x:v>
      </x:c>
      <x:c r="C297" t="str">
        <x:v>2026-07-20</x:v>
      </x:c>
      <x:c r="D297" t="str">
        <x:v>2026-07-26</x:v>
      </x:c>
      <x:c r="E297" t="n">
        <x:v>93</x:v>
      </x:c>
      <x:c r="F297" t="n">
        <x:v>467620041</x:v>
      </x:c>
      <x:c r="G297" t="str">
        <x:v>吉量</x:v>
      </x:c>
      <x:c r="H297" t="str">
        <x:v>周深</x:v>
      </x:c>
      <x:c r="I297" t="str">
        <x:v>004VCyBy391azx</x:v>
      </x:c>
      <x:c r="J297" t="str">
        <x:v>False</x:v>
      </x:c>
      <x:c r="K297" t="n">
        <x:v>84</x:v>
      </x:c>
      <x:c r="L297" t="n">
        <x:v>23</x:v>
      </x:c>
      <x:c r="M297" t="n">
        <x:v>1</x:v>
      </x:c>
      <x:c r="N297" t="n">
        <x:v>85.45009</x:v>
      </x:c>
      <x:c r="O297" t="n">
        <x:v>68.93</x:v>
      </x:c>
      <x:c r="P297" t="n">
        <x:v>0</x:v>
      </x:c>
      <x:c r="Q297" t="n">
        <x:v>0</x:v>
      </x:c>
      <x:c r="R297" t="n">
        <x:v>29.89</x:v>
      </x:c>
      <x:c r="S297" t="n">
        <x:v>52.78</x:v>
      </x:c>
      <x:c r="T297" t="str">
        <x:v>https://y.gtimg.cn/music/photo_new/T002R500x500M0000010e79v0CExQN_2.jpg</x:v>
      </x:c>
      <x:c r="U297" s="24" t="str">
        <x:f>IFERROR(VLOOKUP(I297,'07_字典与参数'!$G$5:$J$9,2,FALSE),"未入选")</x:f>
        <x:v>未入选</x:v>
      </x:c>
      <x:c r="V297" s="24" t="str">
        <x:f>IFERROR(VLOOKUP(I297,'07_字典与参数'!$G$5:$J$9,3,FALSE),"—")</x:f>
        <x:v>—</x:v>
      </x:c>
      <x:c r="W297" s="24" t="str">
        <x:f>IF(U297="未入选","否","是")</x:f>
        <x:v>否</x:v>
      </x:c>
    </x:row>
    <x:row r="298">
      <x:c r="A298" t="n">
        <x:v>202629</x:v>
      </x:c>
      <x:c r="B298" t="str">
        <x:v>第29期（07.20-07.26）</x:v>
      </x:c>
      <x:c r="C298" t="str">
        <x:v>2026-07-20</x:v>
      </x:c>
      <x:c r="D298" t="str">
        <x:v>2026-07-26</x:v>
      </x:c>
      <x:c r="E298" t="n">
        <x:v>94</x:v>
      </x:c>
      <x:c r="F298" t="n">
        <x:v>515090709</x:v>
      </x:c>
      <x:c r="G298" t="str">
        <x:v>落日微醺（晚风中一杯酒）</x:v>
      </x:c>
      <x:c r="H298" t="str">
        <x:v>落日微醺</x:v>
      </x:c>
      <x:c r="I298" t="str">
        <x:v>0029j7eI4Poe44</x:v>
      </x:c>
      <x:c r="J298" t="str">
        <x:v>False</x:v>
      </x:c>
      <x:c r="K298" t="n">
        <x:v>72</x:v>
      </x:c>
      <x:c r="L298" t="n">
        <x:v>3</x:v>
      </x:c>
      <x:c r="M298" t="n">
        <x:v>72</x:v>
      </x:c>
      <x:c r="N298" t="n">
        <x:v>85.4499</x:v>
      </x:c>
      <x:c r="O298" t="n">
        <x:v>72.92</x:v>
      </x:c>
      <x:c r="P298" t="n">
        <x:v>0</x:v>
      </x:c>
      <x:c r="Q298" t="n">
        <x:v>0</x:v>
      </x:c>
      <x:c r="R298" t="n">
        <x:v>35.8</x:v>
      </x:c>
      <x:c r="S298" t="n">
        <x:v>40.56</x:v>
      </x:c>
      <x:c r="T298" t="str">
        <x:v>https://y.gtimg.cn/music/photo_new/T002R500x500M000001TMIlo2CCoNX_1.jpg</x:v>
      </x:c>
      <x:c r="U298" s="24" t="str">
        <x:f>IFERROR(VLOOKUP(I298,'07_字典与参数'!$G$5:$J$9,2,FALSE),"未入选")</x:f>
        <x:v>未入选</x:v>
      </x:c>
      <x:c r="V298" s="24" t="str">
        <x:f>IFERROR(VLOOKUP(I298,'07_字典与参数'!$G$5:$J$9,3,FALSE),"—")</x:f>
        <x:v>—</x:v>
      </x:c>
      <x:c r="W298" s="24" t="str">
        <x:f>IF(U298="未入选","否","是")</x:f>
        <x:v>否</x:v>
      </x:c>
    </x:row>
    <x:row r="299">
      <x:c r="A299" t="n">
        <x:v>202629</x:v>
      </x:c>
      <x:c r="B299" t="str">
        <x:v>第29期（07.20-07.26）</x:v>
      </x:c>
      <x:c r="C299" t="str">
        <x:v>2026-07-20</x:v>
      </x:c>
      <x:c r="D299" t="str">
        <x:v>2026-07-26</x:v>
      </x:c>
      <x:c r="E299" t="n">
        <x:v>95</x:v>
      </x:c>
      <x:c r="F299" t="n">
        <x:v>492018231</x:v>
      </x:c>
      <x:c r="G299" t="str">
        <x:v>焰 (Born of fire)</x:v>
      </x:c>
      <x:c r="H299" t="str">
        <x:v>喻言</x:v>
      </x:c>
      <x:c r="I299" t="str">
        <x:v>002XikGC1GN4Ug</x:v>
      </x:c>
      <x:c r="J299" t="str">
        <x:v>False</x:v>
      </x:c>
      <x:c r="K299" t="n">
        <x:v>97</x:v>
      </x:c>
      <x:c r="L299" t="n">
        <x:v>10</x:v>
      </x:c>
      <x:c r="M299" t="n">
        <x:v>5</x:v>
      </x:c>
      <x:c r="N299" t="n">
        <x:v>85.38492</x:v>
      </x:c>
      <x:c r="O299" t="n">
        <x:v>43.24</x:v>
      </x:c>
      <x:c r="P299" t="n">
        <x:v>0</x:v>
      </x:c>
      <x:c r="Q299" t="n">
        <x:v>0</x:v>
      </x:c>
      <x:c r="R299" t="n">
        <x:v>8.87</x:v>
      </x:c>
      <x:c r="S299" t="n">
        <x:v>61.14</x:v>
      </x:c>
      <x:c r="T299" t="str">
        <x:v>https://y.gtimg.cn/music/photo_new/T002R500x500M000000rhRU20WI7Ce_1.jpg</x:v>
      </x:c>
      <x:c r="U299" s="24" t="str">
        <x:f>IFERROR(VLOOKUP(I299,'07_字典与参数'!$G$5:$J$9,2,FALSE),"未入选")</x:f>
        <x:v>未入选</x:v>
      </x:c>
      <x:c r="V299" s="24" t="str">
        <x:f>IFERROR(VLOOKUP(I299,'07_字典与参数'!$G$5:$J$9,3,FALSE),"—")</x:f>
        <x:v>—</x:v>
      </x:c>
      <x:c r="W299" s="24" t="str">
        <x:f>IF(U299="未入选","否","是")</x:f>
        <x:v>否</x:v>
      </x:c>
    </x:row>
    <x:row r="300">
      <x:c r="A300" t="n">
        <x:v>202629</x:v>
      </x:c>
      <x:c r="B300" t="str">
        <x:v>第29期（07.20-07.26）</x:v>
      </x:c>
      <x:c r="C300" t="str">
        <x:v>2026-07-20</x:v>
      </x:c>
      <x:c r="D300" t="str">
        <x:v>2026-07-26</x:v>
      </x:c>
      <x:c r="E300" t="n">
        <x:v>96</x:v>
      </x:c>
      <x:c r="F300" t="n">
        <x:v>472514843</x:v>
      </x:c>
      <x:c r="G300" t="str">
        <x:v>问你一个人类梦寐以求的深奥问题</x:v>
      </x:c>
      <x:c r="H300" t="str">
        <x:v>汪苏泷</x:v>
      </x:c>
      <x:c r="I300" t="str">
        <x:v>003O2jAx2Z8mad</x:v>
      </x:c>
      <x:c r="J300" t="str">
        <x:v>False</x:v>
      </x:c>
      <x:c r="K300" t="n">
        <x:v>98</x:v>
      </x:c>
      <x:c r="L300" t="n">
        <x:v>20</x:v>
      </x:c>
      <x:c r="M300" t="n">
        <x:v>5</x:v>
      </x:c>
      <x:c r="N300" t="n">
        <x:v>85.38423</x:v>
      </x:c>
      <x:c r="O300" t="n">
        <x:v>70.23</x:v>
      </x:c>
      <x:c r="P300" t="n">
        <x:v>0</x:v>
      </x:c>
      <x:c r="Q300" t="n">
        <x:v>0</x:v>
      </x:c>
      <x:c r="R300" t="n">
        <x:v>16.3</x:v>
      </x:c>
      <x:c r="S300" t="n">
        <x:v>52.64</x:v>
      </x:c>
      <x:c r="T300" t="str">
        <x:v>https://y.qq.com/music/photo_new/T062R500x500M000001MhXjs26yhdQ.jpg</x:v>
      </x:c>
      <x:c r="U300" s="24" t="str">
        <x:f>IFERROR(VLOOKUP(I300,'07_字典与参数'!$G$5:$J$9,2,FALSE),"未入选")</x:f>
        <x:v>未入选</x:v>
      </x:c>
      <x:c r="V300" s="24" t="str">
        <x:f>IFERROR(VLOOKUP(I300,'07_字典与参数'!$G$5:$J$9,3,FALSE),"—")</x:f>
        <x:v>—</x:v>
      </x:c>
      <x:c r="W300" s="24" t="str">
        <x:f>IF(U300="未入选","否","是")</x:f>
        <x:v>否</x:v>
      </x:c>
    </x:row>
    <x:row r="301">
      <x:c r="A301" t="n">
        <x:v>202629</x:v>
      </x:c>
      <x:c r="B301" t="str">
        <x:v>第29期（07.20-07.26）</x:v>
      </x:c>
      <x:c r="C301" t="str">
        <x:v>2026-07-20</x:v>
      </x:c>
      <x:c r="D301" t="str">
        <x:v>2026-07-26</x:v>
      </x:c>
      <x:c r="E301" t="n">
        <x:v>97</x:v>
      </x:c>
      <x:c r="F301" t="n">
        <x:v>530399437</x:v>
      </x:c>
      <x:c r="G301" t="str">
        <x:v>下一天</x:v>
      </x:c>
      <x:c r="H301" t="str">
        <x:v>王俊凯</x:v>
      </x:c>
      <x:c r="I301" t="str">
        <x:v>002d62eR3BYiWY</x:v>
      </x:c>
      <x:c r="J301" t="str">
        <x:v>False</x:v>
      </x:c>
      <x:c r="K301" t="n">
        <x:v>68</x:v>
      </x:c>
      <x:c r="L301" t="n">
        <x:v>3</x:v>
      </x:c>
      <x:c r="M301" t="n">
        <x:v>9</x:v>
      </x:c>
      <x:c r="N301" t="n">
        <x:v>85.3677</x:v>
      </x:c>
      <x:c r="O301" t="n">
        <x:v>70.32</x:v>
      </x:c>
      <x:c r="P301" t="n">
        <x:v>0</x:v>
      </x:c>
      <x:c r="Q301" t="n">
        <x:v>0</x:v>
      </x:c>
      <x:c r="R301" t="n">
        <x:v>36.38</x:v>
      </x:c>
      <x:c r="S301" t="n">
        <x:v>49.66</x:v>
      </x:c>
      <x:c r="T301" t="str">
        <x:v>https://y.qq.com/music/photo_new/T062R500x500M000000NfJyp11Nuig.jpg</x:v>
      </x:c>
      <x:c r="U301" s="24" t="str">
        <x:f>IFERROR(VLOOKUP(I301,'07_字典与参数'!$G$5:$J$9,2,FALSE),"未入选")</x:f>
        <x:v>未入选</x:v>
      </x:c>
      <x:c r="V301" s="24" t="str">
        <x:f>IFERROR(VLOOKUP(I301,'07_字典与参数'!$G$5:$J$9,3,FALSE),"—")</x:f>
        <x:v>—</x:v>
      </x:c>
      <x:c r="W301" s="24" t="str">
        <x:f>IF(U301="未入选","否","是")</x:f>
        <x:v>否</x:v>
      </x:c>
    </x:row>
    <x:row r="302">
      <x:c r="A302" t="n">
        <x:v>202629</x:v>
      </x:c>
      <x:c r="B302" t="str">
        <x:v>第29期（07.20-07.26）</x:v>
      </x:c>
      <x:c r="C302" t="str">
        <x:v>2026-07-20</x:v>
      </x:c>
      <x:c r="D302" t="str">
        <x:v>2026-07-26</x:v>
      </x:c>
      <x:c r="E302" t="n">
        <x:v>98</x:v>
      </x:c>
      <x:c r="F302" t="n">
        <x:v>521720344</x:v>
      </x:c>
      <x:c r="G302" t="str">
        <x:v>无声潮汐</x:v>
      </x:c>
      <x:c r="H302" t="str">
        <x:v>王俊凯</x:v>
      </x:c>
      <x:c r="I302" t="str">
        <x:v>002OhQnJ2tqnT6</x:v>
      </x:c>
      <x:c r="J302" t="str">
        <x:v>False</x:v>
      </x:c>
      <x:c r="K302" t="n">
        <x:v>76</x:v>
      </x:c>
      <x:c r="L302" t="n">
        <x:v>4</x:v>
      </x:c>
      <x:c r="M302" t="n">
        <x:v>26</x:v>
      </x:c>
      <x:c r="N302" t="n">
        <x:v>85.36535</x:v>
      </x:c>
      <x:c r="O302" t="n">
        <x:v>70.8</x:v>
      </x:c>
      <x:c r="P302" t="n">
        <x:v>0</x:v>
      </x:c>
      <x:c r="Q302" t="n">
        <x:v>0</x:v>
      </x:c>
      <x:c r="R302" t="n">
        <x:v>33.51</x:v>
      </x:c>
      <x:c r="S302" t="n">
        <x:v>49</x:v>
      </x:c>
      <x:c r="T302" t="str">
        <x:v>https://y.qq.com/music/photo_new/T062R500x500M000004ATwLB1BZI0b.jpg</x:v>
      </x:c>
      <x:c r="U302" s="24" t="str">
        <x:f>IFERROR(VLOOKUP(I302,'07_字典与参数'!$G$5:$J$9,2,FALSE),"未入选")</x:f>
        <x:v>未入选</x:v>
      </x:c>
      <x:c r="V302" s="24" t="str">
        <x:f>IFERROR(VLOOKUP(I302,'07_字典与参数'!$G$5:$J$9,3,FALSE),"—")</x:f>
        <x:v>—</x:v>
      </x:c>
      <x:c r="W302" s="24" t="str">
        <x:f>IF(U302="未入选","否","是")</x:f>
        <x:v>否</x:v>
      </x:c>
    </x:row>
    <x:row r="303">
      <x:c r="A303" t="n">
        <x:v>202629</x:v>
      </x:c>
      <x:c r="B303" t="str">
        <x:v>第29期（07.20-07.26）</x:v>
      </x:c>
      <x:c r="C303" t="str">
        <x:v>2026-07-20</x:v>
      </x:c>
      <x:c r="D303" t="str">
        <x:v>2026-07-26</x:v>
      </x:c>
      <x:c r="E303" t="n">
        <x:v>99</x:v>
      </x:c>
      <x:c r="F303" t="n">
        <x:v>532547067</x:v>
      </x:c>
      <x:c r="G303" t="str">
        <x:v>如果你也刚好抬头看树</x:v>
      </x:c>
      <x:c r="H303" t="str">
        <x:v>孙天宇</x:v>
      </x:c>
      <x:c r="I303" t="str">
        <x:v>0005HuT83Cze8P</x:v>
      </x:c>
      <x:c r="J303" t="str">
        <x:v>True</x:v>
      </x:c>
      <x:c r="K303" t="n">
        <x:v>0</x:v>
      </x:c>
      <x:c r="L303" t="n">
        <x:v>1</x:v>
      </x:c>
      <x:c r="M303" t="n">
        <x:v>99</x:v>
      </x:c>
      <x:c r="N303" t="n">
        <x:v>85.33858</x:v>
      </x:c>
      <x:c r="O303" t="n">
        <x:v>70.64</x:v>
      </x:c>
      <x:c r="P303" t="n">
        <x:v>0</x:v>
      </x:c>
      <x:c r="Q303" t="n">
        <x:v>0</x:v>
      </x:c>
      <x:c r="R303" t="n">
        <x:v>15.39</x:v>
      </x:c>
      <x:c r="S303" t="n">
        <x:v>51.72</x:v>
      </x:c>
      <x:c r="T303" t="str">
        <x:v>https://y.gtimg.cn/music/photo_new/T002R500x500M000002w4MPC0gdACF_1.jpg</x:v>
      </x:c>
      <x:c r="U303" s="24" t="str">
        <x:f>IFERROR(VLOOKUP(I303,'07_字典与参数'!$G$5:$J$9,2,FALSE),"未入选")</x:f>
        <x:v>未入选</x:v>
      </x:c>
      <x:c r="V303" s="24" t="str">
        <x:f>IFERROR(VLOOKUP(I303,'07_字典与参数'!$G$5:$J$9,3,FALSE),"—")</x:f>
        <x:v>—</x:v>
      </x:c>
      <x:c r="W303" s="24" t="str">
        <x:f>IF(U303="未入选","否","是")</x:f>
        <x:v>否</x:v>
      </x:c>
    </x:row>
    <x:row r="304">
      <x:c r="A304" t="n">
        <x:v>202629</x:v>
      </x:c>
      <x:c r="B304" t="str">
        <x:v>第29期（07.20-07.26）</x:v>
      </x:c>
      <x:c r="C304" t="str">
        <x:v>2026-07-20</x:v>
      </x:c>
      <x:c r="D304" t="str">
        <x:v>2026-07-26</x:v>
      </x:c>
      <x:c r="E304" t="n">
        <x:v>100</x:v>
      </x:c>
      <x:c r="F304" t="n">
        <x:v>522436398</x:v>
      </x:c>
      <x:c r="G304" t="str">
        <x:v>斗战胜佛</x:v>
      </x:c>
      <x:c r="H304" t="str">
        <x:v>张艺兴</x:v>
      </x:c>
      <x:c r="I304" t="str">
        <x:v>0031lecC265Cw1</x:v>
      </x:c>
      <x:c r="J304" t="str">
        <x:v>False</x:v>
      </x:c>
      <x:c r="K304" t="n">
        <x:v>31</x:v>
      </x:c>
      <x:c r="L304" t="n">
        <x:v>4</x:v>
      </x:c>
      <x:c r="M304" t="n">
        <x:v>13</x:v>
      </x:c>
      <x:c r="N304" t="n">
        <x:v>85.3065</x:v>
      </x:c>
      <x:c r="O304" t="n">
        <x:v>61.96</x:v>
      </x:c>
      <x:c r="P304" t="n">
        <x:v>0</x:v>
      </x:c>
      <x:c r="Q304" t="n">
        <x:v>0</x:v>
      </x:c>
      <x:c r="R304" t="n">
        <x:v>55.65</x:v>
      </x:c>
      <x:c r="S304" t="n">
        <x:v>41.48</x:v>
      </x:c>
      <x:c r="T304" t="str">
        <x:v>https://y.gtimg.cn/music/photo_new/T002R500x500M000001w138z3PZEcz_1.jpg</x:v>
      </x:c>
      <x:c r="U304" s="24" t="str">
        <x:f>IFERROR(VLOOKUP(I304,'07_字典与参数'!$G$5:$J$9,2,FALSE),"未入选")</x:f>
        <x:v>未入选</x:v>
      </x:c>
      <x:c r="V304" s="24" t="str">
        <x:f>IFERROR(VLOOKUP(I304,'07_字典与参数'!$G$5:$J$9,3,FALSE),"—")</x:f>
        <x:v>—</x:v>
      </x:c>
      <x:c r="W304" s="24" t="str">
        <x:f>IF(U304="未入选","否","是")</x:f>
        <x:v>否</x:v>
      </x:c>
    </x:row>
    <x:row r="305">
      <x:c r="A305" t="n">
        <x:v>202629</x:v>
      </x:c>
      <x:c r="B305" t="str">
        <x:v>第29期（07.20-07.26）</x:v>
      </x:c>
      <x:c r="C305" t="str">
        <x:v>2026-07-20</x:v>
      </x:c>
      <x:c r="D305" t="str">
        <x:v>2026-07-26</x:v>
      </x:c>
      <x:c r="E305" t="n">
        <x:v>101</x:v>
      </x:c>
      <x:c r="F305" t="n">
        <x:v>530494384</x:v>
      </x:c>
      <x:c r="G305" t="str">
        <x:v>青玉恋</x:v>
      </x:c>
      <x:c r="H305" t="str">
        <x:v>刘宇</x:v>
      </x:c>
      <x:c r="I305" t="str">
        <x:v>001Mlxo70U5jA2</x:v>
      </x:c>
      <x:c r="J305" t="str">
        <x:v>False</x:v>
      </x:c>
      <x:c r="K305" t="n">
        <x:v>65</x:v>
      </x:c>
      <x:c r="L305" t="n">
        <x:v>0</x:v>
      </x:c>
      <x:c r="M305" t="n">
        <x:v>0</x:v>
      </x:c>
      <x:c r="N305" t="n">
        <x:v>85.28273</x:v>
      </x:c>
      <x:c r="O305" t="n">
        <x:v>63.23</x:v>
      </x:c>
      <x:c r="P305" t="n">
        <x:v>0</x:v>
      </x:c>
      <x:c r="Q305" t="n">
        <x:v>0</x:v>
      </x:c>
      <x:c r="R305" t="n">
        <x:v>25.93</x:v>
      </x:c>
      <x:c r="S305" t="n">
        <x:v>56.22</x:v>
      </x:c>
      <x:c r="T305" t="str">
        <x:v>https://y.gtimg.cn/music/photo_new/T002R500x500M000003zREKb4gJGUF_1.jpg</x:v>
      </x:c>
      <x:c r="U305" s="24" t="str">
        <x:f>IFERROR(VLOOKUP(I305,'07_字典与参数'!$G$5:$J$9,2,FALSE),"未入选")</x:f>
        <x:v>未入选</x:v>
      </x:c>
      <x:c r="V305" s="24" t="str">
        <x:f>IFERROR(VLOOKUP(I305,'07_字典与参数'!$G$5:$J$9,3,FALSE),"—")</x:f>
        <x:v>—</x:v>
      </x:c>
      <x:c r="W305" s="24" t="str">
        <x:f>IF(U305="未入选","否","是")</x:f>
        <x:v>否</x:v>
      </x:c>
    </x:row>
    <x:row r="306">
      <x:c r="A306" t="n">
        <x:v>202629</x:v>
      </x:c>
      <x:c r="B306" t="str">
        <x:v>第29期（07.20-07.26）</x:v>
      </x:c>
      <x:c r="C306" t="str">
        <x:v>2026-07-20</x:v>
      </x:c>
      <x:c r="D306" t="str">
        <x:v>2026-07-26</x:v>
      </x:c>
      <x:c r="E306" t="n">
        <x:v>102</x:v>
      </x:c>
      <x:c r="F306" t="n">
        <x:v>533494826</x:v>
      </x:c>
      <x:c r="G306" t="str">
        <x:v>山风山风等等我</x:v>
      </x:c>
      <x:c r="H306" t="str">
        <x:v>万海东</x:v>
      </x:c>
      <x:c r="I306" t="str">
        <x:v>0012TY2n0qQurs</x:v>
      </x:c>
      <x:c r="J306" t="str">
        <x:v>False</x:v>
      </x:c>
      <x:c r="K306" t="n">
        <x:v>0</x:v>
      </x:c>
      <x:c r="L306" t="n">
        <x:v>0</x:v>
      </x:c>
      <x:c r="M306" t="n">
        <x:v>0</x:v>
      </x:c>
      <x:c r="N306" t="n">
        <x:v>85.27865</x:v>
      </x:c>
      <x:c r="O306" t="n">
        <x:v>72.07</x:v>
      </x:c>
      <x:c r="P306" t="n">
        <x:v>0</x:v>
      </x:c>
      <x:c r="Q306" t="n">
        <x:v>0</x:v>
      </x:c>
      <x:c r="R306" t="n">
        <x:v>30.3</x:v>
      </x:c>
      <x:c r="S306" t="n">
        <x:v>44.81</x:v>
      </x:c>
      <x:c r="T306" t="str">
        <x:v>https://y.gtimg.cn/music/photo_new/T002R500x500M000002O92eu0Jubpi_3.jpg</x:v>
      </x:c>
      <x:c r="U306" s="24" t="str">
        <x:f>IFERROR(VLOOKUP(I306,'07_字典与参数'!$G$5:$J$9,2,FALSE),"未入选")</x:f>
        <x:v>未入选</x:v>
      </x:c>
      <x:c r="V306" s="24" t="str">
        <x:f>IFERROR(VLOOKUP(I306,'07_字典与参数'!$G$5:$J$9,3,FALSE),"—")</x:f>
        <x:v>—</x:v>
      </x:c>
      <x:c r="W306" s="24" t="str">
        <x:f>IF(U306="未入选","否","是")</x:f>
        <x:v>否</x:v>
      </x:c>
    </x:row>
    <x:row r="307">
      <x:c r="A307" t="n">
        <x:v>202629</x:v>
      </x:c>
      <x:c r="B307" t="str">
        <x:v>第29期（07.20-07.26）</x:v>
      </x:c>
      <x:c r="C307" t="str">
        <x:v>2026-07-20</x:v>
      </x:c>
      <x:c r="D307" t="str">
        <x:v>2026-07-26</x:v>
      </x:c>
      <x:c r="E307" t="n">
        <x:v>103</x:v>
      </x:c>
      <x:c r="F307" t="n">
        <x:v>521720355</x:v>
      </x:c>
      <x:c r="G307" t="str">
        <x:v>幻梦</x:v>
      </x:c>
      <x:c r="H307" t="str">
        <x:v>王俊凯</x:v>
      </x:c>
      <x:c r="I307" t="str">
        <x:v>000bbwzf2E0nwB</x:v>
      </x:c>
      <x:c r="J307" t="str">
        <x:v>False</x:v>
      </x:c>
      <x:c r="K307" t="n">
        <x:v>81</x:v>
      </x:c>
      <x:c r="L307" t="n">
        <x:v>0</x:v>
      </x:c>
      <x:c r="M307" t="n">
        <x:v>0</x:v>
      </x:c>
      <x:c r="N307" t="n">
        <x:v>85.22224</x:v>
      </x:c>
      <x:c r="O307" t="n">
        <x:v>70.53</x:v>
      </x:c>
      <x:c r="P307" t="n">
        <x:v>0</x:v>
      </x:c>
      <x:c r="Q307" t="n">
        <x:v>0</x:v>
      </x:c>
      <x:c r="R307" t="n">
        <x:v>32.22</x:v>
      </x:c>
      <x:c r="S307" t="n">
        <x:v>49.5</x:v>
      </x:c>
      <x:c r="T307" t="str">
        <x:v>https://y.qq.com/music/photo_new/T062R500x500M000003tjnfQ2DkfyZ.jpg</x:v>
      </x:c>
      <x:c r="U307" s="24" t="str">
        <x:f>IFERROR(VLOOKUP(I307,'07_字典与参数'!$G$5:$J$9,2,FALSE),"未入选")</x:f>
        <x:v>未入选</x:v>
      </x:c>
      <x:c r="V307" s="24" t="str">
        <x:f>IFERROR(VLOOKUP(I307,'07_字典与参数'!$G$5:$J$9,3,FALSE),"—")</x:f>
        <x:v>—</x:v>
      </x:c>
      <x:c r="W307" s="24" t="str">
        <x:f>IF(U307="未入选","否","是")</x:f>
        <x:v>否</x:v>
      </x:c>
    </x:row>
    <x:row r="308">
      <x:c r="A308" t="n">
        <x:v>202629</x:v>
      </x:c>
      <x:c r="B308" t="str">
        <x:v>第29期（07.20-07.26）</x:v>
      </x:c>
      <x:c r="C308" t="str">
        <x:v>2026-07-20</x:v>
      </x:c>
      <x:c r="D308" t="str">
        <x:v>2026-07-26</x:v>
      </x:c>
      <x:c r="E308" t="n">
        <x:v>104</x:v>
      </x:c>
      <x:c r="F308" t="n">
        <x:v>530838888</x:v>
      </x:c>
      <x:c r="G308" t="str">
        <x:v>窝囊废</x:v>
      </x:c>
      <x:c r="H308" t="str">
        <x:v>刘凤瑶,曾一鸣,张玮,李琦,派克特</x:v>
      </x:c>
      <x:c r="I308" t="str">
        <x:v>002oy5sA18Y1vl</x:v>
      </x:c>
      <x:c r="J308" t="str">
        <x:v>False</x:v>
      </x:c>
      <x:c r="K308" t="n">
        <x:v>63</x:v>
      </x:c>
      <x:c r="L308" t="n">
        <x:v>0</x:v>
      </x:c>
      <x:c r="M308" t="n">
        <x:v>0</x:v>
      </x:c>
      <x:c r="N308" t="n">
        <x:v>85.17514</x:v>
      </x:c>
      <x:c r="O308" t="n">
        <x:v>73.58</x:v>
      </x:c>
      <x:c r="P308" t="n">
        <x:v>0</x:v>
      </x:c>
      <x:c r="Q308" t="n">
        <x:v>0</x:v>
      </x:c>
      <x:c r="R308" t="n">
        <x:v>15.29</x:v>
      </x:c>
      <x:c r="S308" t="n">
        <x:v>40.94</x:v>
      </x:c>
      <x:c r="T308" t="str">
        <x:v>https://y.gtimg.cn/music/photo_new/T002R500x500M000000i2YjH2563cV_1.jpg</x:v>
      </x:c>
      <x:c r="U308" s="24" t="str">
        <x:f>IFERROR(VLOOKUP(I308,'07_字典与参数'!$G$5:$J$9,2,FALSE),"未入选")</x:f>
        <x:v>未入选</x:v>
      </x:c>
      <x:c r="V308" s="24" t="str">
        <x:f>IFERROR(VLOOKUP(I308,'07_字典与参数'!$G$5:$J$9,3,FALSE),"—")</x:f>
        <x:v>—</x:v>
      </x:c>
      <x:c r="W308" s="24" t="str">
        <x:f>IF(U308="未入选","否","是")</x:f>
        <x:v>否</x:v>
      </x:c>
    </x:row>
    <x:row r="309">
      <x:c r="A309" t="n">
        <x:v>202629</x:v>
      </x:c>
      <x:c r="B309" t="str">
        <x:v>第29期（07.20-07.26）</x:v>
      </x:c>
      <x:c r="C309" t="str">
        <x:v>2026-07-20</x:v>
      </x:c>
      <x:c r="D309" t="str">
        <x:v>2026-07-26</x:v>
      </x:c>
      <x:c r="E309" t="n">
        <x:v>105</x:v>
      </x:c>
      <x:c r="F309" t="n">
        <x:v>513296573</x:v>
      </x:c>
      <x:c r="G309" t="str">
        <x:v>街角的晚风1997</x:v>
      </x:c>
      <x:c r="H309" t="str">
        <x:v>曾舜晞</x:v>
      </x:c>
      <x:c r="I309" t="str">
        <x:v>004Ge20S1FuiOF</x:v>
      </x:c>
      <x:c r="J309" t="str">
        <x:v>False</x:v>
      </x:c>
      <x:c r="K309" t="n">
        <x:v>91</x:v>
      </x:c>
      <x:c r="L309" t="n">
        <x:v>0</x:v>
      </x:c>
      <x:c r="M309" t="n">
        <x:v>0</x:v>
      </x:c>
      <x:c r="N309" t="n">
        <x:v>85.16236</x:v>
      </x:c>
      <x:c r="O309" t="n">
        <x:v>74.77</x:v>
      </x:c>
      <x:c r="P309" t="n">
        <x:v>0</x:v>
      </x:c>
      <x:c r="Q309" t="n">
        <x:v>0</x:v>
      </x:c>
      <x:c r="R309" t="n">
        <x:v>3.71</x:v>
      </x:c>
      <x:c r="S309" t="n">
        <x:v>19.82</x:v>
      </x:c>
      <x:c r="T309" t="str">
        <x:v>https://y.gtimg.cn/music/photo_new/T002R500x500M000002eea6O0cudxW_2.jpg</x:v>
      </x:c>
      <x:c r="U309" s="24" t="str">
        <x:f>IFERROR(VLOOKUP(I309,'07_字典与参数'!$G$5:$J$9,2,FALSE),"未入选")</x:f>
        <x:v>未入选</x:v>
      </x:c>
      <x:c r="V309" s="24" t="str">
        <x:f>IFERROR(VLOOKUP(I309,'07_字典与参数'!$G$5:$J$9,3,FALSE),"—")</x:f>
        <x:v>—</x:v>
      </x:c>
      <x:c r="W309" s="24" t="str">
        <x:f>IF(U309="未入选","否","是")</x:f>
        <x:v>否</x:v>
      </x:c>
    </x:row>
    <x:row r="310">
      <x:c r="A310" t="n">
        <x:v>202629</x:v>
      </x:c>
      <x:c r="B310" t="str">
        <x:v>第29期（07.20-07.26）</x:v>
      </x:c>
      <x:c r="C310" t="str">
        <x:v>2026-07-20</x:v>
      </x:c>
      <x:c r="D310" t="str">
        <x:v>2026-07-26</x:v>
      </x:c>
      <x:c r="E310" t="n">
        <x:v>106</x:v>
      </x:c>
      <x:c r="F310" t="n">
        <x:v>515780154</x:v>
      </x:c>
      <x:c r="G310" t="str">
        <x:v>从前</x:v>
      </x:c>
      <x:c r="H310" t="str">
        <x:v>王俊凯</x:v>
      </x:c>
      <x:c r="I310" t="str">
        <x:v>000Ji0xi2WKRll</x:v>
      </x:c>
      <x:c r="J310" t="str">
        <x:v>False</x:v>
      </x:c>
      <x:c r="K310" t="n">
        <x:v>94</x:v>
      </x:c>
      <x:c r="L310" t="n">
        <x:v>0</x:v>
      </x:c>
      <x:c r="M310" t="n">
        <x:v>0</x:v>
      </x:c>
      <x:c r="N310" t="n">
        <x:v>85.12422</x:v>
      </x:c>
      <x:c r="O310" t="n">
        <x:v>70.45</x:v>
      </x:c>
      <x:c r="P310" t="n">
        <x:v>0</x:v>
      </x:c>
      <x:c r="Q310" t="n">
        <x:v>0</x:v>
      </x:c>
      <x:c r="R310" t="n">
        <x:v>32.58</x:v>
      </x:c>
      <x:c r="S310" t="n">
        <x:v>48.93</x:v>
      </x:c>
      <x:c r="T310" t="str">
        <x:v>https://y.qq.com/music/photo_new/T062R500x500M000001q4lBQ4YRSPD.jpg</x:v>
      </x:c>
      <x:c r="U310" s="24" t="str">
        <x:f>IFERROR(VLOOKUP(I310,'07_字典与参数'!$G$5:$J$9,2,FALSE),"未入选")</x:f>
        <x:v>未入选</x:v>
      </x:c>
      <x:c r="V310" s="24" t="str">
        <x:f>IFERROR(VLOOKUP(I310,'07_字典与参数'!$G$5:$J$9,3,FALSE),"—")</x:f>
        <x:v>—</x:v>
      </x:c>
      <x:c r="W310" s="24" t="str">
        <x:f>IF(U310="未入选","否","是")</x:f>
        <x:v>否</x:v>
      </x:c>
    </x:row>
    <x:row r="311">
      <x:c r="A311" t="n">
        <x:v>202629</x:v>
      </x:c>
      <x:c r="B311" t="str">
        <x:v>第29期（07.20-07.26）</x:v>
      </x:c>
      <x:c r="C311" t="str">
        <x:v>2026-07-20</x:v>
      </x:c>
      <x:c r="D311" t="str">
        <x:v>2026-07-26</x:v>
      </x:c>
      <x:c r="E311" t="n">
        <x:v>107</x:v>
      </x:c>
      <x:c r="F311" t="n">
        <x:v>532410192</x:v>
      </x:c>
      <x:c r="G311" t="str">
        <x:v>也许有你</x:v>
      </x:c>
      <x:c r="H311" t="str">
        <x:v>罗云熙</x:v>
      </x:c>
      <x:c r="I311" t="str">
        <x:v>0018E0jN2IO9Az</x:v>
      </x:c>
      <x:c r="J311" t="str">
        <x:v>False</x:v>
      </x:c>
      <x:c r="K311" t="n">
        <x:v>0</x:v>
      </x:c>
      <x:c r="L311" t="n">
        <x:v>0</x:v>
      </x:c>
      <x:c r="M311" t="n">
        <x:v>0</x:v>
      </x:c>
      <x:c r="N311" t="n">
        <x:v>85.11506</x:v>
      </x:c>
      <x:c r="O311" t="n">
        <x:v>46.72</x:v>
      </x:c>
      <x:c r="P311" t="n">
        <x:v>0</x:v>
      </x:c>
      <x:c r="Q311" t="n">
        <x:v>0</x:v>
      </x:c>
      <x:c r="R311" t="n">
        <x:v>60.73</x:v>
      </x:c>
      <x:c r="S311" t="n">
        <x:v>9.77</x:v>
      </x:c>
      <x:c r="T311" t="str">
        <x:v>https://y.gtimg.cn/music/photo_new/T002R500x500M000002D9AST0qddiF_1.jpg</x:v>
      </x:c>
      <x:c r="U311" s="24" t="str">
        <x:f>IFERROR(VLOOKUP(I311,'07_字典与参数'!$G$5:$J$9,2,FALSE),"未入选")</x:f>
        <x:v>未入选</x:v>
      </x:c>
      <x:c r="V311" s="24" t="str">
        <x:f>IFERROR(VLOOKUP(I311,'07_字典与参数'!$G$5:$J$9,3,FALSE),"—")</x:f>
        <x:v>—</x:v>
      </x:c>
      <x:c r="W311" s="24" t="str">
        <x:f>IF(U311="未入选","否","是")</x:f>
        <x:v>否</x:v>
      </x:c>
    </x:row>
    <x:row r="312">
      <x:c r="A312" t="n">
        <x:v>202629</x:v>
      </x:c>
      <x:c r="B312" t="str">
        <x:v>第29期（07.20-07.26）</x:v>
      </x:c>
      <x:c r="C312" t="str">
        <x:v>2026-07-20</x:v>
      </x:c>
      <x:c r="D312" t="str">
        <x:v>2026-07-26</x:v>
      </x:c>
      <x:c r="E312" t="n">
        <x:v>108</x:v>
      </x:c>
      <x:c r="F312" t="n">
        <x:v>521720357</x:v>
      </x:c>
      <x:c r="G312" t="str">
        <x:v>Stay</x:v>
      </x:c>
      <x:c r="H312" t="str">
        <x:v>王俊凯</x:v>
      </x:c>
      <x:c r="I312" t="str">
        <x:v>002TplNQ18uPB9</x:v>
      </x:c>
      <x:c r="J312" t="str">
        <x:v>False</x:v>
      </x:c>
      <x:c r="K312" t="n">
        <x:v>83</x:v>
      </x:c>
      <x:c r="L312" t="n">
        <x:v>0</x:v>
      </x:c>
      <x:c r="M312" t="n">
        <x:v>0</x:v>
      </x:c>
      <x:c r="N312" t="n">
        <x:v>85.10589</x:v>
      </x:c>
      <x:c r="O312" t="n">
        <x:v>70.62</x:v>
      </x:c>
      <x:c r="P312" t="n">
        <x:v>0</x:v>
      </x:c>
      <x:c r="Q312" t="n">
        <x:v>0</x:v>
      </x:c>
      <x:c r="R312" t="n">
        <x:v>31.08</x:v>
      </x:c>
      <x:c r="S312" t="n">
        <x:v>48.78</x:v>
      </x:c>
      <x:c r="T312" t="str">
        <x:v>https://y.qq.com/music/photo_new/T062R500x500M000000yKB6w1WY6fo.jpg</x:v>
      </x:c>
      <x:c r="U312" s="24" t="str">
        <x:f>IFERROR(VLOOKUP(I312,'07_字典与参数'!$G$5:$J$9,2,FALSE),"未入选")</x:f>
        <x:v>未入选</x:v>
      </x:c>
      <x:c r="V312" s="24" t="str">
        <x:f>IFERROR(VLOOKUP(I312,'07_字典与参数'!$G$5:$J$9,3,FALSE),"—")</x:f>
        <x:v>—</x:v>
      </x:c>
      <x:c r="W312" s="24" t="str">
        <x:f>IF(U312="未入选","否","是")</x:f>
        <x:v>否</x:v>
      </x:c>
    </x:row>
    <x:row r="313">
      <x:c r="A313" t="n">
        <x:v>202629</x:v>
      </x:c>
      <x:c r="B313" t="str">
        <x:v>第29期（07.20-07.26）</x:v>
      </x:c>
      <x:c r="C313" t="str">
        <x:v>2026-07-20</x:v>
      </x:c>
      <x:c r="D313" t="str">
        <x:v>2026-07-26</x:v>
      </x:c>
      <x:c r="E313" t="n">
        <x:v>109</x:v>
      </x:c>
      <x:c r="F313" t="n">
        <x:v>515779634</x:v>
      </x:c>
      <x:c r="G313" t="str">
        <x:v>I Love This Life</x:v>
      </x:c>
      <x:c r="H313" t="str">
        <x:v>王俊凯</x:v>
      </x:c>
      <x:c r="I313" t="str">
        <x:v>002snOiL3DNzr2</x:v>
      </x:c>
      <x:c r="J313" t="str">
        <x:v>False</x:v>
      </x:c>
      <x:c r="K313" t="n">
        <x:v>90</x:v>
      </x:c>
      <x:c r="L313" t="n">
        <x:v>0</x:v>
      </x:c>
      <x:c r="M313" t="n">
        <x:v>0</x:v>
      </x:c>
      <x:c r="N313" t="n">
        <x:v>85.00993</x:v>
      </x:c>
      <x:c r="O313" t="n">
        <x:v>70.27</x:v>
      </x:c>
      <x:c r="P313" t="n">
        <x:v>0</x:v>
      </x:c>
      <x:c r="Q313" t="n">
        <x:v>0</x:v>
      </x:c>
      <x:c r="R313" t="n">
        <x:v>32.51</x:v>
      </x:c>
      <x:c r="S313" t="n">
        <x:v>48.78</x:v>
      </x:c>
      <x:c r="T313" t="str">
        <x:v>https://y.qq.com/music/photo_new/T062R500x500M0000033JXxr402Nw0.jpg</x:v>
      </x:c>
      <x:c r="U313" s="24" t="str">
        <x:f>IFERROR(VLOOKUP(I313,'07_字典与参数'!$G$5:$J$9,2,FALSE),"未入选")</x:f>
        <x:v>未入选</x:v>
      </x:c>
      <x:c r="V313" s="24" t="str">
        <x:f>IFERROR(VLOOKUP(I313,'07_字典与参数'!$G$5:$J$9,3,FALSE),"—")</x:f>
        <x:v>—</x:v>
      </x:c>
      <x:c r="W313" s="24" t="str">
        <x:f>IF(U313="未入选","否","是")</x:f>
        <x:v>否</x:v>
      </x:c>
    </x:row>
    <x:row r="314">
      <x:c r="A314" t="n">
        <x:v>202629</x:v>
      </x:c>
      <x:c r="B314" t="str">
        <x:v>第29期（07.20-07.26）</x:v>
      </x:c>
      <x:c r="C314" t="str">
        <x:v>2026-07-20</x:v>
      </x:c>
      <x:c r="D314" t="str">
        <x:v>2026-07-26</x:v>
      </x:c>
      <x:c r="E314" t="n">
        <x:v>110</x:v>
      </x:c>
      <x:c r="F314" t="n">
        <x:v>516975210</x:v>
      </x:c>
      <x:c r="G314" t="str">
        <x:v>千香</x:v>
      </x:c>
      <x:c r="H314" t="str">
        <x:v>周深</x:v>
      </x:c>
      <x:c r="I314" t="str">
        <x:v>004Uik3G0sMdUW</x:v>
      </x:c>
      <x:c r="J314" t="str">
        <x:v>False</x:v>
      </x:c>
      <x:c r="K314" t="n">
        <x:v>100</x:v>
      </x:c>
      <x:c r="L314" t="n">
        <x:v>0</x:v>
      </x:c>
      <x:c r="M314" t="n">
        <x:v>0</x:v>
      </x:c>
      <x:c r="N314" t="n">
        <x:v>85.00429</x:v>
      </x:c>
      <x:c r="O314" t="n">
        <x:v>70.9</x:v>
      </x:c>
      <x:c r="P314" t="n">
        <x:v>0</x:v>
      </x:c>
      <x:c r="Q314" t="n">
        <x:v>0</x:v>
      </x:c>
      <x:c r="R314" t="n">
        <x:v>15.43</x:v>
      </x:c>
      <x:c r="S314" t="n">
        <x:v>49.93</x:v>
      </x:c>
      <x:c r="T314" t="str">
        <x:v>https://y.qq.com/music/photo_new/T062R500x500M000001xCpOz3ARHzs.jpg</x:v>
      </x:c>
      <x:c r="U314" s="24" t="str">
        <x:f>IFERROR(VLOOKUP(I314,'07_字典与参数'!$G$5:$J$9,2,FALSE),"未入选")</x:f>
        <x:v>未入选</x:v>
      </x:c>
      <x:c r="V314" s="24" t="str">
        <x:f>IFERROR(VLOOKUP(I314,'07_字典与参数'!$G$5:$J$9,3,FALSE),"—")</x:f>
        <x:v>—</x:v>
      </x:c>
      <x:c r="W314" s="24" t="str">
        <x:f>IF(U314="未入选","否","是")</x:f>
        <x:v>否</x:v>
      </x:c>
    </x:row>
    <x:row r="315">
      <x:c r="A315" t="n">
        <x:v>202629</x:v>
      </x:c>
      <x:c r="B315" t="str">
        <x:v>第29期（07.20-07.26）</x:v>
      </x:c>
      <x:c r="C315" t="str">
        <x:v>2026-07-20</x:v>
      </x:c>
      <x:c r="D315" t="str">
        <x:v>2026-07-26</x:v>
      </x:c>
      <x:c r="E315" t="n">
        <x:v>111</x:v>
      </x:c>
      <x:c r="F315" t="n">
        <x:v>515780030</x:v>
      </x:c>
      <x:c r="G315" t="str">
        <x:v>真相</x:v>
      </x:c>
      <x:c r="H315" t="str">
        <x:v>王俊凯</x:v>
      </x:c>
      <x:c r="I315" t="str">
        <x:v>004WWjMC2Dt1ip</x:v>
      </x:c>
      <x:c r="J315" t="str">
        <x:v>False</x:v>
      </x:c>
      <x:c r="K315" t="n">
        <x:v>89</x:v>
      </x:c>
      <x:c r="L315" t="n">
        <x:v>0</x:v>
      </x:c>
      <x:c r="M315" t="n">
        <x:v>0</x:v>
      </x:c>
      <x:c r="N315" t="n">
        <x:v>84.93543</x:v>
      </x:c>
      <x:c r="O315" t="n">
        <x:v>70.16</x:v>
      </x:c>
      <x:c r="P315" t="n">
        <x:v>0</x:v>
      </x:c>
      <x:c r="Q315" t="n">
        <x:v>0</x:v>
      </x:c>
      <x:c r="R315" t="n">
        <x:v>31.65</x:v>
      </x:c>
      <x:c r="S315" t="n">
        <x:v>49.24</x:v>
      </x:c>
      <x:c r="T315" t="str">
        <x:v>https://y.qq.com/music/photo_new/T062R500x500M000004YwMvf2ekLnQ.jpg</x:v>
      </x:c>
      <x:c r="U315" s="24" t="str">
        <x:f>IFERROR(VLOOKUP(I315,'07_字典与参数'!$G$5:$J$9,2,FALSE),"未入选")</x:f>
        <x:v>未入选</x:v>
      </x:c>
      <x:c r="V315" s="24" t="str">
        <x:f>IFERROR(VLOOKUP(I315,'07_字典与参数'!$G$5:$J$9,3,FALSE),"—")</x:f>
        <x:v>—</x:v>
      </x:c>
      <x:c r="W315" s="24" t="str">
        <x:f>IF(U315="未入选","否","是")</x:f>
        <x:v>否</x:v>
      </x:c>
    </x:row>
    <x:row r="316">
      <x:c r="A316" t="n">
        <x:v>202629</x:v>
      </x:c>
      <x:c r="B316" t="str">
        <x:v>第29期（07.20-07.26）</x:v>
      </x:c>
      <x:c r="C316" t="str">
        <x:v>2026-07-20</x:v>
      </x:c>
      <x:c r="D316" t="str">
        <x:v>2026-07-26</x:v>
      </x:c>
      <x:c r="E316" t="n">
        <x:v>112</x:v>
      </x:c>
      <x:c r="F316" t="n">
        <x:v>524048324</x:v>
      </x:c>
      <x:c r="G316" t="str">
        <x:v>香烟与吻痕 (我在月光下许过情真)</x:v>
      </x:c>
      <x:c r="H316" t="str">
        <x:v>黄龄</x:v>
      </x:c>
      <x:c r="I316" t="str">
        <x:v>002L0ilt0Sk1xo</x:v>
      </x:c>
      <x:c r="J316" t="str">
        <x:v>False</x:v>
      </x:c>
      <x:c r="K316" t="n">
        <x:v>70</x:v>
      </x:c>
      <x:c r="L316" t="n">
        <x:v>0</x:v>
      </x:c>
      <x:c r="M316" t="n">
        <x:v>0</x:v>
      </x:c>
      <x:c r="N316" t="n">
        <x:v>84.61642</x:v>
      </x:c>
      <x:c r="O316" t="n">
        <x:v>74.02</x:v>
      </x:c>
      <x:c r="P316" t="n">
        <x:v>0</x:v>
      </x:c>
      <x:c r="Q316" t="n">
        <x:v>0</x:v>
      </x:c>
      <x:c r="R316" t="n">
        <x:v>4.64</x:v>
      </x:c>
      <x:c r="S316" t="n">
        <x:v>20.41</x:v>
      </x:c>
      <x:c r="T316" t="str">
        <x:v>https://y.gtimg.cn/music/photo_new/T002R500x500M000001k5VY01qCYXb_1.jpg</x:v>
      </x:c>
      <x:c r="U316" s="24" t="str">
        <x:f>IFERROR(VLOOKUP(I316,'07_字典与参数'!$G$5:$J$9,2,FALSE),"未入选")</x:f>
        <x:v>未入选</x:v>
      </x:c>
      <x:c r="V316" s="24" t="str">
        <x:f>IFERROR(VLOOKUP(I316,'07_字典与参数'!$G$5:$J$9,3,FALSE),"—")</x:f>
        <x:v>—</x:v>
      </x:c>
      <x:c r="W316" s="24" t="str">
        <x:f>IF(U316="未入选","否","是")</x:f>
        <x:v>否</x:v>
      </x:c>
    </x:row>
    <x:row r="317">
      <x:c r="A317" t="n">
        <x:v>202629</x:v>
      </x:c>
      <x:c r="B317" t="str">
        <x:v>第29期（07.20-07.26）</x:v>
      </x:c>
      <x:c r="C317" t="str">
        <x:v>2026-07-20</x:v>
      </x:c>
      <x:c r="D317" t="str">
        <x:v>2026-07-26</x:v>
      </x:c>
      <x:c r="E317" t="n">
        <x:v>113</x:v>
      </x:c>
      <x:c r="F317" t="n">
        <x:v>532410194</x:v>
      </x:c>
      <x:c r="G317" t="str">
        <x:v>新一天</x:v>
      </x:c>
      <x:c r="H317" t="str">
        <x:v>罗云熙</x:v>
      </x:c>
      <x:c r="I317" t="str">
        <x:v>0019tLwx49ugnd</x:v>
      </x:c>
      <x:c r="J317" t="str">
        <x:v>False</x:v>
      </x:c>
      <x:c r="K317" t="n">
        <x:v>0</x:v>
      </x:c>
      <x:c r="L317" t="n">
        <x:v>0</x:v>
      </x:c>
      <x:c r="M317" t="n">
        <x:v>0</x:v>
      </x:c>
      <x:c r="N317" t="n">
        <x:v>84.5366</x:v>
      </x:c>
      <x:c r="O317" t="n">
        <x:v>46.3</x:v>
      </x:c>
      <x:c r="P317" t="n">
        <x:v>0</x:v>
      </x:c>
      <x:c r="Q317" t="n">
        <x:v>0</x:v>
      </x:c>
      <x:c r="R317" t="n">
        <x:v>60.16</x:v>
      </x:c>
      <x:c r="S317" t="n">
        <x:v>11.08</x:v>
      </x:c>
      <x:c r="T317" t="str">
        <x:v>https://y.gtimg.cn/music/photo_new/T002R500x500M000002D9AST0qddiF_1.jpg</x:v>
      </x:c>
      <x:c r="U317" s="24" t="str">
        <x:f>IFERROR(VLOOKUP(I317,'07_字典与参数'!$G$5:$J$9,2,FALSE),"未入选")</x:f>
        <x:v>未入选</x:v>
      </x:c>
      <x:c r="V317" s="24" t="str">
        <x:f>IFERROR(VLOOKUP(I317,'07_字典与参数'!$G$5:$J$9,3,FALSE),"—")</x:f>
        <x:v>—</x:v>
      </x:c>
      <x:c r="W317" s="24" t="str">
        <x:f>IF(U317="未入选","否","是")</x:f>
        <x:v>否</x:v>
      </x:c>
    </x:row>
    <x:row r="318">
      <x:c r="A318" t="n">
        <x:v>202629</x:v>
      </x:c>
      <x:c r="B318" t="str">
        <x:v>第29期（07.20-07.26）</x:v>
      </x:c>
      <x:c r="C318" t="str">
        <x:v>2026-07-20</x:v>
      </x:c>
      <x:c r="D318" t="str">
        <x:v>2026-07-26</x:v>
      </x:c>
      <x:c r="E318" t="n">
        <x:v>114</x:v>
      </x:c>
      <x:c r="F318" t="n">
        <x:v>532410187</x:v>
      </x:c>
      <x:c r="G318" t="str">
        <x:v>在蓉城</x:v>
      </x:c>
      <x:c r="H318" t="str">
        <x:v>罗云熙</x:v>
      </x:c>
      <x:c r="I318" t="str">
        <x:v>002AJLAm46YuAb</x:v>
      </x:c>
      <x:c r="J318" t="str">
        <x:v>False</x:v>
      </x:c>
      <x:c r="K318" t="n">
        <x:v>0</x:v>
      </x:c>
      <x:c r="L318" t="n">
        <x:v>0</x:v>
      </x:c>
      <x:c r="M318" t="n">
        <x:v>0</x:v>
      </x:c>
      <x:c r="N318" t="n">
        <x:v>84.44459</x:v>
      </x:c>
      <x:c r="O318" t="n">
        <x:v>46.4</x:v>
      </x:c>
      <x:c r="P318" t="n">
        <x:v>0</x:v>
      </x:c>
      <x:c r="Q318" t="n">
        <x:v>0</x:v>
      </x:c>
      <x:c r="R318" t="n">
        <x:v>60.09</x:v>
      </x:c>
      <x:c r="S318" t="n">
        <x:v>9.64</x:v>
      </x:c>
      <x:c r="T318" t="str">
        <x:v>https://y.gtimg.cn/music/photo_new/T002R500x500M000002D9AST0qddiF_1.jpg</x:v>
      </x:c>
      <x:c r="U318" s="24" t="str">
        <x:f>IFERROR(VLOOKUP(I318,'07_字典与参数'!$G$5:$J$9,2,FALSE),"未入选")</x:f>
        <x:v>未入选</x:v>
      </x:c>
      <x:c r="V318" s="24" t="str">
        <x:f>IFERROR(VLOOKUP(I318,'07_字典与参数'!$G$5:$J$9,3,FALSE),"—")</x:f>
        <x:v>—</x:v>
      </x:c>
      <x:c r="W318" s="24" t="str">
        <x:f>IF(U318="未入选","否","是")</x:f>
        <x:v>否</x:v>
      </x:c>
    </x:row>
    <x:row r="319">
      <x:c r="A319" t="n">
        <x:v>202629</x:v>
      </x:c>
      <x:c r="B319" t="str">
        <x:v>第29期（07.20-07.26）</x:v>
      </x:c>
      <x:c r="C319" t="str">
        <x:v>2026-07-20</x:v>
      </x:c>
      <x:c r="D319" t="str">
        <x:v>2026-07-26</x:v>
      </x:c>
      <x:c r="E319" t="n">
        <x:v>115</x:v>
      </x:c>
      <x:c r="F319" t="n">
        <x:v>493990931</x:v>
      </x:c>
      <x:c r="G319" t="str">
        <x:v>Alive</x:v>
      </x:c>
      <x:c r="H319" t="str">
        <x:v>王嘉尔,五月天 阿信</x:v>
      </x:c>
      <x:c r="I319" t="str">
        <x:v>0013X2Uy17E28w</x:v>
      </x:c>
      <x:c r="J319" t="str">
        <x:v>False</x:v>
      </x:c>
      <x:c r="K319" t="n">
        <x:v>157</x:v>
      </x:c>
      <x:c r="L319" t="n">
        <x:v>0</x:v>
      </x:c>
      <x:c r="M319" t="n">
        <x:v>0</x:v>
      </x:c>
      <x:c r="N319" t="n">
        <x:v>84.39493</x:v>
      </x:c>
      <x:c r="O319" t="n">
        <x:v>73.87</x:v>
      </x:c>
      <x:c r="P319" t="n">
        <x:v>0</x:v>
      </x:c>
      <x:c r="Q319" t="n">
        <x:v>0</x:v>
      </x:c>
      <x:c r="R319" t="n">
        <x:v>3.24</x:v>
      </x:c>
      <x:c r="S319" t="n">
        <x:v>17.24</x:v>
      </x:c>
      <x:c r="T319" t="str">
        <x:v>https://y.gtimg.cn/music/photo_new/T002R500x500M000001PC3JU3e688L_2.jpg</x:v>
      </x:c>
      <x:c r="U319" s="24" t="str">
        <x:f>IFERROR(VLOOKUP(I319,'07_字典与参数'!$G$5:$J$9,2,FALSE),"未入选")</x:f>
        <x:v>未入选</x:v>
      </x:c>
      <x:c r="V319" s="24" t="str">
        <x:f>IFERROR(VLOOKUP(I319,'07_字典与参数'!$G$5:$J$9,3,FALSE),"—")</x:f>
        <x:v>—</x:v>
      </x:c>
      <x:c r="W319" s="24" t="str">
        <x:f>IF(U319="未入选","否","是")</x:f>
        <x:v>否</x:v>
      </x:c>
    </x:row>
    <x:row r="320">
      <x:c r="A320" t="n">
        <x:v>202629</x:v>
      </x:c>
      <x:c r="B320" t="str">
        <x:v>第29期（07.20-07.26）</x:v>
      </x:c>
      <x:c r="C320" t="str">
        <x:v>2026-07-20</x:v>
      </x:c>
      <x:c r="D320" t="str">
        <x:v>2026-07-26</x:v>
      </x:c>
      <x:c r="E320" t="n">
        <x:v>116</x:v>
      </x:c>
      <x:c r="F320" t="n">
        <x:v>524521641</x:v>
      </x:c>
      <x:c r="G320" t="str">
        <x:v>漫游</x:v>
      </x:c>
      <x:c r="H320" t="str">
        <x:v>黄子弘凡</x:v>
      </x:c>
      <x:c r="I320" t="str">
        <x:v>0009xPxG0R6G9c</x:v>
      </x:c>
      <x:c r="J320" t="str">
        <x:v>False</x:v>
      </x:c>
      <x:c r="K320" t="n">
        <x:v>104</x:v>
      </x:c>
      <x:c r="L320" t="n">
        <x:v>0</x:v>
      </x:c>
      <x:c r="M320" t="n">
        <x:v>0</x:v>
      </x:c>
      <x:c r="N320" t="n">
        <x:v>83.86388</x:v>
      </x:c>
      <x:c r="O320" t="n">
        <x:v>66.62</x:v>
      </x:c>
      <x:c r="P320" t="n">
        <x:v>0</x:v>
      </x:c>
      <x:c r="Q320" t="n">
        <x:v>0</x:v>
      </x:c>
      <x:c r="R320" t="n">
        <x:v>9.18</x:v>
      </x:c>
      <x:c r="S320" t="n">
        <x:v>51.94</x:v>
      </x:c>
      <x:c r="T320" t="str">
        <x:v>https://y.qq.com/music/photo_new/T062R500x500M0000011NdbQ2F154j.jpg</x:v>
      </x:c>
      <x:c r="U320" s="24" t="str">
        <x:f>IFERROR(VLOOKUP(I320,'07_字典与参数'!$G$5:$J$9,2,FALSE),"未入选")</x:f>
        <x:v>未入选</x:v>
      </x:c>
      <x:c r="V320" s="24" t="str">
        <x:f>IFERROR(VLOOKUP(I320,'07_字典与参数'!$G$5:$J$9,3,FALSE),"—")</x:f>
        <x:v>—</x:v>
      </x:c>
      <x:c r="W320" s="24" t="str">
        <x:f>IF(U320="未入选","否","是")</x:f>
        <x:v>否</x:v>
      </x:c>
    </x:row>
    <x:row r="321">
      <x:c r="A321" t="n">
        <x:v>202629</x:v>
      </x:c>
      <x:c r="B321" t="str">
        <x:v>第29期（07.20-07.26）</x:v>
      </x:c>
      <x:c r="C321" t="str">
        <x:v>2026-07-20</x:v>
      </x:c>
      <x:c r="D321" t="str">
        <x:v>2026-07-26</x:v>
      </x:c>
      <x:c r="E321" t="n">
        <x:v>117</x:v>
      </x:c>
      <x:c r="F321" t="n">
        <x:v>530342519</x:v>
      </x:c>
      <x:c r="G321" t="str">
        <x:v>归途恰恰</x:v>
      </x:c>
      <x:c r="H321" t="str">
        <x:v>黄泥</x:v>
      </x:c>
      <x:c r="I321" t="str">
        <x:v>0007hEyW2MvXPs</x:v>
      </x:c>
      <x:c r="J321" t="str">
        <x:v>False</x:v>
      </x:c>
      <x:c r="K321" t="n">
        <x:v>0</x:v>
      </x:c>
      <x:c r="L321" t="n">
        <x:v>0</x:v>
      </x:c>
      <x:c r="M321" t="n">
        <x:v>0</x:v>
      </x:c>
      <x:c r="N321" t="n">
        <x:v>83.80609</x:v>
      </x:c>
      <x:c r="O321" t="n">
        <x:v>73.42</x:v>
      </x:c>
      <x:c r="P321" t="n">
        <x:v>0</x:v>
      </x:c>
      <x:c r="Q321" t="n">
        <x:v>0</x:v>
      </x:c>
      <x:c r="R321" t="n">
        <x:v>1.27</x:v>
      </x:c>
      <x:c r="S321" t="n">
        <x:v>8.44</x:v>
      </x:c>
      <x:c r="T321" t="str">
        <x:v>https://y.gtimg.cn/music/photo_new/T002R500x500M000003B32uN4Glf7f_1.jpg</x:v>
      </x:c>
      <x:c r="U321" s="24" t="str">
        <x:f>IFERROR(VLOOKUP(I321,'07_字典与参数'!$G$5:$J$9,2,FALSE),"未入选")</x:f>
        <x:v>未入选</x:v>
      </x:c>
      <x:c r="V321" s="24" t="str">
        <x:f>IFERROR(VLOOKUP(I321,'07_字典与参数'!$G$5:$J$9,3,FALSE),"—")</x:f>
        <x:v>—</x:v>
      </x:c>
      <x:c r="W321" s="24" t="str">
        <x:f>IF(U321="未入选","否","是")</x:f>
        <x:v>否</x:v>
      </x:c>
    </x:row>
    <x:row r="322">
      <x:c r="A322" t="n">
        <x:v>202629</x:v>
      </x:c>
      <x:c r="B322" t="str">
        <x:v>第29期（07.20-07.26）</x:v>
      </x:c>
      <x:c r="C322" t="str">
        <x:v>2026-07-20</x:v>
      </x:c>
      <x:c r="D322" t="str">
        <x:v>2026-07-26</x:v>
      </x:c>
      <x:c r="E322" t="n">
        <x:v>118</x:v>
      </x:c>
      <x:c r="F322" t="n">
        <x:v>517484236</x:v>
      </x:c>
      <x:c r="G322" t="str">
        <x:v>光</x:v>
      </x:c>
      <x:c r="H322" t="str">
        <x:v>陈楚生</x:v>
      </x:c>
      <x:c r="I322" t="str">
        <x:v>004JAWWq0NadAX</x:v>
      </x:c>
      <x:c r="J322" t="str">
        <x:v>False</x:v>
      </x:c>
      <x:c r="K322" t="n">
        <x:v>108</x:v>
      </x:c>
      <x:c r="L322" t="n">
        <x:v>0</x:v>
      </x:c>
      <x:c r="M322" t="n">
        <x:v>0</x:v>
      </x:c>
      <x:c r="N322" t="n">
        <x:v>83.69691</x:v>
      </x:c>
      <x:c r="O322" t="n">
        <x:v>53.55</x:v>
      </x:c>
      <x:c r="P322" t="n">
        <x:v>0</x:v>
      </x:c>
      <x:c r="Q322" t="n">
        <x:v>0</x:v>
      </x:c>
      <x:c r="R322" t="n">
        <x:v>7.89</x:v>
      </x:c>
      <x:c r="S322" t="n">
        <x:v>57.46</x:v>
      </x:c>
      <x:c r="T322" t="str">
        <x:v>https://y.gtimg.cn/music/photo_new/T002R500x500M000002ld9Tt17lb4O_1.jpg</x:v>
      </x:c>
      <x:c r="U322" s="24" t="str">
        <x:f>IFERROR(VLOOKUP(I322,'07_字典与参数'!$G$5:$J$9,2,FALSE),"未入选")</x:f>
        <x:v>未入选</x:v>
      </x:c>
      <x:c r="V322" s="24" t="str">
        <x:f>IFERROR(VLOOKUP(I322,'07_字典与参数'!$G$5:$J$9,3,FALSE),"—")</x:f>
        <x:v>—</x:v>
      </x:c>
      <x:c r="W322" s="24" t="str">
        <x:f>IF(U322="未入选","否","是")</x:f>
        <x:v>否</x:v>
      </x:c>
    </x:row>
    <x:row r="323">
      <x:c r="A323" t="n">
        <x:v>202629</x:v>
      </x:c>
      <x:c r="B323" t="str">
        <x:v>第29期（07.20-07.26）</x:v>
      </x:c>
      <x:c r="C323" t="str">
        <x:v>2026-07-20</x:v>
      </x:c>
      <x:c r="D323" t="str">
        <x:v>2026-07-26</x:v>
      </x:c>
      <x:c r="E323" t="n">
        <x:v>119</x:v>
      </x:c>
      <x:c r="F323" t="n">
        <x:v>531999871</x:v>
      </x:c>
      <x:c r="G323" t="str">
        <x:v>心跳赫兹 (Love Got Me Ooh)</x:v>
      </x:c>
      <x:c r="H323" t="str">
        <x:v>A2O MAY</x:v>
      </x:c>
      <x:c r="I323" t="str">
        <x:v>001xOKCT3wNoKB</x:v>
      </x:c>
      <x:c r="J323" t="str">
        <x:v>False</x:v>
      </x:c>
      <x:c r="K323" t="n">
        <x:v>114</x:v>
      </x:c>
      <x:c r="L323" t="n">
        <x:v>0</x:v>
      </x:c>
      <x:c r="M323" t="n">
        <x:v>0</x:v>
      </x:c>
      <x:c r="N323" t="n">
        <x:v>83.63259</x:v>
      </x:c>
      <x:c r="O323" t="n">
        <x:v>71.33</x:v>
      </x:c>
      <x:c r="P323" t="n">
        <x:v>0</x:v>
      </x:c>
      <x:c r="Q323" t="n">
        <x:v>0</x:v>
      </x:c>
      <x:c r="R323" t="n">
        <x:v>15.75</x:v>
      </x:c>
      <x:c r="S323" t="n">
        <x:v>42.86</x:v>
      </x:c>
      <x:c r="T323" t="str">
        <x:v>https://y.gtimg.cn/music/photo_new/T002R500x500M000002qB0Ds2U9Vvy_1.jpg</x:v>
      </x:c>
      <x:c r="U323" s="24" t="str">
        <x:f>IFERROR(VLOOKUP(I323,'07_字典与参数'!$G$5:$J$9,2,FALSE),"未入选")</x:f>
        <x:v>未入选</x:v>
      </x:c>
      <x:c r="V323" s="24" t="str">
        <x:f>IFERROR(VLOOKUP(I323,'07_字典与参数'!$G$5:$J$9,3,FALSE),"—")</x:f>
        <x:v>—</x:v>
      </x:c>
      <x:c r="W323" s="24" t="str">
        <x:f>IF(U323="未入选","否","是")</x:f>
        <x:v>否</x:v>
      </x:c>
    </x:row>
    <x:row r="324">
      <x:c r="A324" t="n">
        <x:v>202629</x:v>
      </x:c>
      <x:c r="B324" t="str">
        <x:v>第29期（07.20-07.26）</x:v>
      </x:c>
      <x:c r="C324" t="str">
        <x:v>2026-07-20</x:v>
      </x:c>
      <x:c r="D324" t="str">
        <x:v>2026-07-26</x:v>
      </x:c>
      <x:c r="E324" t="n">
        <x:v>120</x:v>
      </x:c>
      <x:c r="F324" t="n">
        <x:v>512187104</x:v>
      </x:c>
      <x:c r="G324" t="str">
        <x:v>你本就是光</x:v>
      </x:c>
      <x:c r="H324" t="str">
        <x:v>刘亦辰</x:v>
      </x:c>
      <x:c r="I324" t="str">
        <x:v>000ayLmZ0gCLWV</x:v>
      </x:c>
      <x:c r="J324" t="str">
        <x:v>False</x:v>
      </x:c>
      <x:c r="K324" t="n">
        <x:v>51</x:v>
      </x:c>
      <x:c r="L324" t="n">
        <x:v>0</x:v>
      </x:c>
      <x:c r="M324" t="n">
        <x:v>0</x:v>
      </x:c>
      <x:c r="N324" t="n">
        <x:v>83.34405</x:v>
      </x:c>
      <x:c r="O324" t="n">
        <x:v>72.92</x:v>
      </x:c>
      <x:c r="P324" t="n">
        <x:v>0</x:v>
      </x:c>
      <x:c r="Q324" t="n">
        <x:v>0</x:v>
      </x:c>
      <x:c r="R324" t="n">
        <x:v>3.55</x:v>
      </x:c>
      <x:c r="S324" t="n">
        <x:v>5.44</x:v>
      </x:c>
      <x:c r="T324" t="str">
        <x:v>https://y.gtimg.cn/music/photo_new/T002R500x500M0000002Qetd2gtePo_2.jpg</x:v>
      </x:c>
      <x:c r="U324" s="24" t="str">
        <x:f>IFERROR(VLOOKUP(I324,'07_字典与参数'!$G$5:$J$9,2,FALSE),"未入选")</x:f>
        <x:v>未入选</x:v>
      </x:c>
      <x:c r="V324" s="24" t="str">
        <x:f>IFERROR(VLOOKUP(I324,'07_字典与参数'!$G$5:$J$9,3,FALSE),"—")</x:f>
        <x:v>—</x:v>
      </x:c>
      <x:c r="W324" s="24" t="str">
        <x:f>IF(U324="未入选","否","是")</x:f>
        <x:v>否</x:v>
      </x:c>
    </x:row>
    <x:row r="325">
      <x:c r="A325" t="n">
        <x:v>202629</x:v>
      </x:c>
      <x:c r="B325" t="str">
        <x:v>第29期（07.20-07.26）</x:v>
      </x:c>
      <x:c r="C325" t="str">
        <x:v>2026-07-20</x:v>
      </x:c>
      <x:c r="D325" t="str">
        <x:v>2026-07-26</x:v>
      </x:c>
      <x:c r="E325" t="n">
        <x:v>121</x:v>
      </x:c>
      <x:c r="F325" t="n">
        <x:v>530772974</x:v>
      </x:c>
      <x:c r="G325" t="str">
        <x:v>Metal Flower</x:v>
      </x:c>
      <x:c r="H325" t="str">
        <x:v>R.E.D</x:v>
      </x:c>
      <x:c r="I325" t="str">
        <x:v>0043j4Cx4XEcBt</x:v>
      </x:c>
      <x:c r="J325" t="str">
        <x:v>False</x:v>
      </x:c>
      <x:c r="K325" t="n">
        <x:v>96</x:v>
      </x:c>
      <x:c r="L325" t="n">
        <x:v>0</x:v>
      </x:c>
      <x:c r="M325" t="n">
        <x:v>0</x:v>
      </x:c>
      <x:c r="N325" t="n">
        <x:v>83.33723</x:v>
      </x:c>
      <x:c r="O325" t="n">
        <x:v>66.27</x:v>
      </x:c>
      <x:c r="P325" t="n">
        <x:v>0</x:v>
      </x:c>
      <x:c r="Q325" t="n">
        <x:v>0</x:v>
      </x:c>
      <x:c r="R325" t="n">
        <x:v>6.9</x:v>
      </x:c>
      <x:c r="S325" t="n">
        <x:v>51.25</x:v>
      </x:c>
      <x:c r="T325" t="str">
        <x:v>https://y.gtimg.cn/music/photo_new/T002R500x500M000000u1Owg2RJzL5_1.jpg</x:v>
      </x:c>
      <x:c r="U325" s="24" t="str">
        <x:f>IFERROR(VLOOKUP(I325,'07_字典与参数'!$G$5:$J$9,2,FALSE),"未入选")</x:f>
        <x:v>未入选</x:v>
      </x:c>
      <x:c r="V325" s="24" t="str">
        <x:f>IFERROR(VLOOKUP(I325,'07_字典与参数'!$G$5:$J$9,3,FALSE),"—")</x:f>
        <x:v>—</x:v>
      </x:c>
      <x:c r="W325" s="24" t="str">
        <x:f>IF(U325="未入选","否","是")</x:f>
        <x:v>否</x:v>
      </x:c>
    </x:row>
    <x:row r="326">
      <x:c r="A326" t="n">
        <x:v>202629</x:v>
      </x:c>
      <x:c r="B326" t="str">
        <x:v>第29期（07.20-07.26）</x:v>
      </x:c>
      <x:c r="C326" t="str">
        <x:v>2026-07-20</x:v>
      </x:c>
      <x:c r="D326" t="str">
        <x:v>2026-07-26</x:v>
      </x:c>
      <x:c r="E326" t="n">
        <x:v>122</x:v>
      </x:c>
      <x:c r="F326" t="n">
        <x:v>529851668</x:v>
      </x:c>
      <x:c r="G326" t="str">
        <x:v>全世界陪我出发</x:v>
      </x:c>
      <x:c r="H326" t="str">
        <x:v>TF家族,TF家族-官俊臣,TF家族-张桂源,TF家族-张函瑞,TF家族-王橹杰,TF家族-王烁然,TF家族-左奇函,TF家族-陈奕恒,TF家族-杨博文,TF家族-杨涵博,TF家族-张奕然,TF家族-聂玮辰,TF家族-陈思罕,TF家族-魏子宸,TF家族-李煜东,TF家族-陈浚铭</x:v>
      </x:c>
      <x:c r="I326" t="str">
        <x:v>003RIqye0gr9MB</x:v>
      </x:c>
      <x:c r="J326" t="str">
        <x:v>False</x:v>
      </x:c>
      <x:c r="K326" t="n">
        <x:v>111</x:v>
      </x:c>
      <x:c r="L326" t="n">
        <x:v>0</x:v>
      </x:c>
      <x:c r="M326" t="n">
        <x:v>0</x:v>
      </x:c>
      <x:c r="N326" t="n">
        <x:v>83.31933</x:v>
      </x:c>
      <x:c r="O326" t="n">
        <x:v>71.56</x:v>
      </x:c>
      <x:c r="P326" t="n">
        <x:v>0</x:v>
      </x:c>
      <x:c r="Q326" t="n">
        <x:v>0</x:v>
      </x:c>
      <x:c r="R326" t="n">
        <x:v>9.12</x:v>
      </x:c>
      <x:c r="S326" t="n">
        <x:v>41.43</x:v>
      </x:c>
      <x:c r="T326" t="str">
        <x:v>https://y.gtimg.cn/music/photo_new/T002R500x500M000000dn6vm1EN6ax_1.jpg</x:v>
      </x:c>
      <x:c r="U326" s="24" t="str">
        <x:f>IFERROR(VLOOKUP(I326,'07_字典与参数'!$G$5:$J$9,2,FALSE),"未入选")</x:f>
        <x:v>未入选</x:v>
      </x:c>
      <x:c r="V326" s="24" t="str">
        <x:f>IFERROR(VLOOKUP(I326,'07_字典与参数'!$G$5:$J$9,3,FALSE),"—")</x:f>
        <x:v>—</x:v>
      </x:c>
      <x:c r="W326" s="24" t="str">
        <x:f>IF(U326="未入选","否","是")</x:f>
        <x:v>否</x:v>
      </x:c>
    </x:row>
    <x:row r="327">
      <x:c r="A327" t="n">
        <x:v>202629</x:v>
      </x:c>
      <x:c r="B327" t="str">
        <x:v>第29期（07.20-07.26）</x:v>
      </x:c>
      <x:c r="C327" t="str">
        <x:v>2026-07-20</x:v>
      </x:c>
      <x:c r="D327" t="str">
        <x:v>2026-07-26</x:v>
      </x:c>
      <x:c r="E327" t="n">
        <x:v>123</x:v>
      </x:c>
      <x:c r="F327" t="n">
        <x:v>485150107</x:v>
      </x:c>
      <x:c r="G327" t="str">
        <x:v>My Fondest</x:v>
      </x:c>
      <x:c r="H327" t="str">
        <x:v>郝熠然</x:v>
      </x:c>
      <x:c r="I327" t="str">
        <x:v>004Q9M7v4WduyW</x:v>
      </x:c>
      <x:c r="J327" t="str">
        <x:v>False</x:v>
      </x:c>
      <x:c r="K327" t="n">
        <x:v>75</x:v>
      </x:c>
      <x:c r="L327" t="n">
        <x:v>0</x:v>
      </x:c>
      <x:c r="M327" t="n">
        <x:v>0</x:v>
      </x:c>
      <x:c r="N327" t="n">
        <x:v>83.05159</x:v>
      </x:c>
      <x:c r="O327" t="n">
        <x:v>60.9</x:v>
      </x:c>
      <x:c r="P327" t="n">
        <x:v>0</x:v>
      </x:c>
      <x:c r="Q327" t="n">
        <x:v>0</x:v>
      </x:c>
      <x:c r="R327" t="n">
        <x:v>16.88</x:v>
      </x:c>
      <x:c r="S327" t="n">
        <x:v>53.61</x:v>
      </x:c>
      <x:c r="T327" t="str">
        <x:v>https://y.gtimg.cn/music/photo_new/T002R500x500M000002DNaAy3DLTff_1.jpg</x:v>
      </x:c>
      <x:c r="U327" s="24" t="str">
        <x:f>IFERROR(VLOOKUP(I327,'07_字典与参数'!$G$5:$J$9,2,FALSE),"未入选")</x:f>
        <x:v>未入选</x:v>
      </x:c>
      <x:c r="V327" s="24" t="str">
        <x:f>IFERROR(VLOOKUP(I327,'07_字典与参数'!$G$5:$J$9,3,FALSE),"—")</x:f>
        <x:v>—</x:v>
      </x:c>
      <x:c r="W327" s="24" t="str">
        <x:f>IF(U327="未入选","否","是")</x:f>
        <x:v>否</x:v>
      </x:c>
    </x:row>
    <x:row r="328">
      <x:c r="A328" t="n">
        <x:v>202629</x:v>
      </x:c>
      <x:c r="B328" t="str">
        <x:v>第29期（07.20-07.26）</x:v>
      </x:c>
      <x:c r="C328" t="str">
        <x:v>2026-07-20</x:v>
      </x:c>
      <x:c r="D328" t="str">
        <x:v>2026-07-26</x:v>
      </x:c>
      <x:c r="E328" t="n">
        <x:v>124</x:v>
      </x:c>
      <x:c r="F328" t="n">
        <x:v>531085098</x:v>
      </x:c>
      <x:c r="G328" t="str">
        <x:v>沪上龙王</x:v>
      </x:c>
      <x:c r="H328" t="str">
        <x:v>郭有才</x:v>
      </x:c>
      <x:c r="I328" t="str">
        <x:v>0049xZge3U5SLp</x:v>
      </x:c>
      <x:c r="J328" t="str">
        <x:v>False</x:v>
      </x:c>
      <x:c r="K328" t="n">
        <x:v>0</x:v>
      </x:c>
      <x:c r="L328" t="n">
        <x:v>0</x:v>
      </x:c>
      <x:c r="M328" t="n">
        <x:v>0</x:v>
      </x:c>
      <x:c r="N328" t="n">
        <x:v>83.03077</x:v>
      </x:c>
      <x:c r="O328" t="n">
        <x:v>72.34</x:v>
      </x:c>
      <x:c r="P328" t="n">
        <x:v>0</x:v>
      </x:c>
      <x:c r="Q328" t="n">
        <x:v>0</x:v>
      </x:c>
      <x:c r="R328" t="n">
        <x:v>11.47</x:v>
      </x:c>
      <x:c r="S328" t="n">
        <x:v>9.52</x:v>
      </x:c>
      <x:c r="T328" t="str">
        <x:v>https://y.gtimg.cn/music/photo_new/T002R500x500M000000xjTTE3rd5Df_1.jpg</x:v>
      </x:c>
      <x:c r="U328" s="24" t="str">
        <x:f>IFERROR(VLOOKUP(I328,'07_字典与参数'!$G$5:$J$9,2,FALSE),"未入选")</x:f>
        <x:v>未入选</x:v>
      </x:c>
      <x:c r="V328" s="24" t="str">
        <x:f>IFERROR(VLOOKUP(I328,'07_字典与参数'!$G$5:$J$9,3,FALSE),"—")</x:f>
        <x:v>—</x:v>
      </x:c>
      <x:c r="W328" s="24" t="str">
        <x:f>IF(U328="未入选","否","是")</x:f>
        <x:v>否</x:v>
      </x:c>
    </x:row>
    <x:row r="329">
      <x:c r="A329" t="n">
        <x:v>202629</x:v>
      </x:c>
      <x:c r="B329" t="str">
        <x:v>第29期（07.20-07.26）</x:v>
      </x:c>
      <x:c r="C329" t="str">
        <x:v>2026-07-20</x:v>
      </x:c>
      <x:c r="D329" t="str">
        <x:v>2026-07-26</x:v>
      </x:c>
      <x:c r="E329" t="n">
        <x:v>125</x:v>
      </x:c>
      <x:c r="F329" t="n">
        <x:v>518768695</x:v>
      </x:c>
      <x:c r="G329" t="str">
        <x:v>你从春天走来</x:v>
      </x:c>
      <x:c r="H329" t="str">
        <x:v>刘若英</x:v>
      </x:c>
      <x:c r="I329" t="str">
        <x:v>002QwHdc11MAzQ</x:v>
      </x:c>
      <x:c r="J329" t="str">
        <x:v>False</x:v>
      </x:c>
      <x:c r="K329" t="n">
        <x:v>139</x:v>
      </x:c>
      <x:c r="L329" t="n">
        <x:v>0</x:v>
      </x:c>
      <x:c r="M329" t="n">
        <x:v>0</x:v>
      </x:c>
      <x:c r="N329" t="n">
        <x:v>83.02743</x:v>
      </x:c>
      <x:c r="O329" t="n">
        <x:v>72.6</x:v>
      </x:c>
      <x:c r="P329" t="n">
        <x:v>0</x:v>
      </x:c>
      <x:c r="Q329" t="n">
        <x:v>0</x:v>
      </x:c>
      <x:c r="R329" t="n">
        <x:v>3.12</x:v>
      </x:c>
      <x:c r="S329" t="n">
        <x:v>6.14</x:v>
      </x:c>
      <x:c r="T329" t="str">
        <x:v>https://y.gtimg.cn/music/photo_new/T002R500x500M000003PHxFb4EbMCi_1.jpg</x:v>
      </x:c>
      <x:c r="U329" s="24" t="str">
        <x:f>IFERROR(VLOOKUP(I329,'07_字典与参数'!$G$5:$J$9,2,FALSE),"未入选")</x:f>
        <x:v>未入选</x:v>
      </x:c>
      <x:c r="V329" s="24" t="str">
        <x:f>IFERROR(VLOOKUP(I329,'07_字典与参数'!$G$5:$J$9,3,FALSE),"—")</x:f>
        <x:v>—</x:v>
      </x:c>
      <x:c r="W329" s="24" t="str">
        <x:f>IF(U329="未入选","否","是")</x:f>
        <x:v>否</x:v>
      </x:c>
    </x:row>
    <x:row r="330">
      <x:c r="A330" t="n">
        <x:v>202629</x:v>
      </x:c>
      <x:c r="B330" t="str">
        <x:v>第29期（07.20-07.26）</x:v>
      </x:c>
      <x:c r="C330" t="str">
        <x:v>2026-07-20</x:v>
      </x:c>
      <x:c r="D330" t="str">
        <x:v>2026-07-26</x:v>
      </x:c>
      <x:c r="E330" t="n">
        <x:v>126</x:v>
      </x:c>
      <x:c r="F330" t="n">
        <x:v>533897375</x:v>
      </x:c>
      <x:c r="G330" t="str">
        <x:v>贴心</x:v>
      </x:c>
      <x:c r="H330" t="str">
        <x:v>梁咏琪</x:v>
      </x:c>
      <x:c r="I330" t="str">
        <x:v>0042LLtJ3DmpFZ</x:v>
      </x:c>
      <x:c r="J330" t="str">
        <x:v>False</x:v>
      </x:c>
      <x:c r="K330" t="n">
        <x:v>0</x:v>
      </x:c>
      <x:c r="L330" t="n">
        <x:v>0</x:v>
      </x:c>
      <x:c r="M330" t="n">
        <x:v>0</x:v>
      </x:c>
      <x:c r="N330" t="n">
        <x:v>82.94761</x:v>
      </x:c>
      <x:c r="O330" t="n">
        <x:v>72.37</x:v>
      </x:c>
      <x:c r="P330" t="n">
        <x:v>0</x:v>
      </x:c>
      <x:c r="Q330" t="n">
        <x:v>0</x:v>
      </x:c>
      <x:c r="R330" t="n">
        <x:v>2.92</x:v>
      </x:c>
      <x:c r="S330" t="n">
        <x:v>20.11</x:v>
      </x:c>
      <x:c r="T330" t="str">
        <x:v>https://y.gtimg.cn/music/photo_new/T002R500x500M000003mTx4M2vjsxl_1.jpg</x:v>
      </x:c>
      <x:c r="U330" s="24" t="str">
        <x:f>IFERROR(VLOOKUP(I330,'07_字典与参数'!$G$5:$J$9,2,FALSE),"未入选")</x:f>
        <x:v>未入选</x:v>
      </x:c>
      <x:c r="V330" s="24" t="str">
        <x:f>IFERROR(VLOOKUP(I330,'07_字典与参数'!$G$5:$J$9,3,FALSE),"—")</x:f>
        <x:v>—</x:v>
      </x:c>
      <x:c r="W330" s="24" t="str">
        <x:f>IF(U330="未入选","否","是")</x:f>
        <x:v>否</x:v>
      </x:c>
    </x:row>
    <x:row r="331">
      <x:c r="A331" t="n">
        <x:v>202629</x:v>
      </x:c>
      <x:c r="B331" t="str">
        <x:v>第29期（07.20-07.26）</x:v>
      </x:c>
      <x:c r="C331" t="str">
        <x:v>2026-07-20</x:v>
      </x:c>
      <x:c r="D331" t="str">
        <x:v>2026-07-26</x:v>
      </x:c>
      <x:c r="E331" t="n">
        <x:v>127</x:v>
      </x:c>
      <x:c r="F331" t="n">
        <x:v>513183075</x:v>
      </x:c>
      <x:c r="G331" t="str">
        <x:v>一见如故</x:v>
      </x:c>
      <x:c r="H331" t="str">
        <x:v>许嵩</x:v>
      </x:c>
      <x:c r="I331" t="str">
        <x:v>002ioSAK2ftAqy</x:v>
      </x:c>
      <x:c r="J331" t="str">
        <x:v>False</x:v>
      </x:c>
      <x:c r="K331" t="n">
        <x:v>118</x:v>
      </x:c>
      <x:c r="L331" t="n">
        <x:v>0</x:v>
      </x:c>
      <x:c r="M331" t="n">
        <x:v>0</x:v>
      </x:c>
      <x:c r="N331" t="n">
        <x:v>82.83227</x:v>
      </x:c>
      <x:c r="O331" t="n">
        <x:v>70.82</x:v>
      </x:c>
      <x:c r="P331" t="n">
        <x:v>0</x:v>
      </x:c>
      <x:c r="Q331" t="n">
        <x:v>0</x:v>
      </x:c>
      <x:c r="R331" t="n">
        <x:v>5.59</x:v>
      </x:c>
      <x:c r="S331" t="n">
        <x:v>42.73</x:v>
      </x:c>
      <x:c r="T331" t="str">
        <x:v>https://y.gtimg.cn/music/photo_new/T002R500x500M000001Oqn952HAPRk_1.jpg</x:v>
      </x:c>
      <x:c r="U331" s="24" t="str">
        <x:f>IFERROR(VLOOKUP(I331,'07_字典与参数'!$G$5:$J$9,2,FALSE),"未入选")</x:f>
        <x:v>未入选</x:v>
      </x:c>
      <x:c r="V331" s="24" t="str">
        <x:f>IFERROR(VLOOKUP(I331,'07_字典与参数'!$G$5:$J$9,3,FALSE),"—")</x:f>
        <x:v>—</x:v>
      </x:c>
      <x:c r="W331" s="24" t="str">
        <x:f>IF(U331="未入选","否","是")</x:f>
        <x:v>否</x:v>
      </x:c>
    </x:row>
    <x:row r="332">
      <x:c r="A332" t="n">
        <x:v>202629</x:v>
      </x:c>
      <x:c r="B332" t="str">
        <x:v>第29期（07.20-07.26）</x:v>
      </x:c>
      <x:c r="C332" t="str">
        <x:v>2026-07-20</x:v>
      </x:c>
      <x:c r="D332" t="str">
        <x:v>2026-07-26</x:v>
      </x:c>
      <x:c r="E332" t="n">
        <x:v>128</x:v>
      </x:c>
      <x:c r="F332" t="n">
        <x:v>514417457</x:v>
      </x:c>
      <x:c r="G332" t="str">
        <x:v>略略略略略</x:v>
      </x:c>
      <x:c r="H332" t="str">
        <x:v>TOP登陆少年组合</x:v>
      </x:c>
      <x:c r="I332" t="str">
        <x:v>000QuvKj4aCfBU</x:v>
      </x:c>
      <x:c r="J332" t="str">
        <x:v>False</x:v>
      </x:c>
      <x:c r="K332" t="n">
        <x:v>140</x:v>
      </x:c>
      <x:c r="L332" t="n">
        <x:v>0</x:v>
      </x:c>
      <x:c r="M332" t="n">
        <x:v>0</x:v>
      </x:c>
      <x:c r="N332" t="n">
        <x:v>82.82101</x:v>
      </x:c>
      <x:c r="O332" t="n">
        <x:v>68.19</x:v>
      </x:c>
      <x:c r="P332" t="n">
        <x:v>0</x:v>
      </x:c>
      <x:c r="Q332" t="n">
        <x:v>0</x:v>
      </x:c>
      <x:c r="R332" t="n">
        <x:v>31.2</x:v>
      </x:c>
      <x:c r="S332" t="n">
        <x:v>44.06</x:v>
      </x:c>
      <x:c r="T332" t="str">
        <x:v>https://y.gtimg.cn/music/photo_new/T002R500x500M000002rYBVh2iOMHZ_2.jpg</x:v>
      </x:c>
      <x:c r="U332" s="24" t="str">
        <x:f>IFERROR(VLOOKUP(I332,'07_字典与参数'!$G$5:$J$9,2,FALSE),"未入选")</x:f>
        <x:v>未入选</x:v>
      </x:c>
      <x:c r="V332" s="24" t="str">
        <x:f>IFERROR(VLOOKUP(I332,'07_字典与参数'!$G$5:$J$9,3,FALSE),"—")</x:f>
        <x:v>—</x:v>
      </x:c>
      <x:c r="W332" s="24" t="str">
        <x:f>IF(U332="未入选","否","是")</x:f>
        <x:v>否</x:v>
      </x:c>
    </x:row>
    <x:row r="333">
      <x:c r="A333" t="n">
        <x:v>202629</x:v>
      </x:c>
      <x:c r="B333" t="str">
        <x:v>第29期（07.20-07.26）</x:v>
      </x:c>
      <x:c r="C333" t="str">
        <x:v>2026-07-20</x:v>
      </x:c>
      <x:c r="D333" t="str">
        <x:v>2026-07-26</x:v>
      </x:c>
      <x:c r="E333" t="n">
        <x:v>129</x:v>
      </x:c>
      <x:c r="F333" t="n">
        <x:v>517395426</x:v>
      </x:c>
      <x:c r="G333" t="str">
        <x:v>问爱</x:v>
      </x:c>
      <x:c r="H333" t="str">
        <x:v>Yamy郭颖</x:v>
      </x:c>
      <x:c r="I333" t="str">
        <x:v>002oGI0x1Go47u</x:v>
      </x:c>
      <x:c r="J333" t="str">
        <x:v>False</x:v>
      </x:c>
      <x:c r="K333" t="n">
        <x:v>0</x:v>
      </x:c>
      <x:c r="L333" t="n">
        <x:v>0</x:v>
      </x:c>
      <x:c r="M333" t="n">
        <x:v>0</x:v>
      </x:c>
      <x:c r="N333" t="n">
        <x:v>82.80459</x:v>
      </x:c>
      <x:c r="O333" t="n">
        <x:v>70.51</x:v>
      </x:c>
      <x:c r="P333" t="n">
        <x:v>0</x:v>
      </x:c>
      <x:c r="Q333" t="n">
        <x:v>0</x:v>
      </x:c>
      <x:c r="R333" t="n">
        <x:v>10.82</x:v>
      </x:c>
      <x:c r="S333" t="n">
        <x:v>43.28</x:v>
      </x:c>
      <x:c r="T333" t="str">
        <x:v>https://y.gtimg.cn/music/photo_new/T002R500x500M000000nsQXX2AYOBd_1.jpg</x:v>
      </x:c>
      <x:c r="U333" s="24" t="str">
        <x:f>IFERROR(VLOOKUP(I333,'07_字典与参数'!$G$5:$J$9,2,FALSE),"未入选")</x:f>
        <x:v>未入选</x:v>
      </x:c>
      <x:c r="V333" s="24" t="str">
        <x:f>IFERROR(VLOOKUP(I333,'07_字典与参数'!$G$5:$J$9,3,FALSE),"—")</x:f>
        <x:v>—</x:v>
      </x:c>
      <x:c r="W333" s="24" t="str">
        <x:f>IF(U333="未入选","否","是")</x:f>
        <x:v>否</x:v>
      </x:c>
    </x:row>
    <x:row r="334">
      <x:c r="A334" t="n">
        <x:v>202629</x:v>
      </x:c>
      <x:c r="B334" t="str">
        <x:v>第29期（07.20-07.26）</x:v>
      </x:c>
      <x:c r="C334" t="str">
        <x:v>2026-07-20</x:v>
      </x:c>
      <x:c r="D334" t="str">
        <x:v>2026-07-26</x:v>
      </x:c>
      <x:c r="E334" t="n">
        <x:v>130</x:v>
      </x:c>
      <x:c r="F334" t="n">
        <x:v>513183119</x:v>
      </x:c>
      <x:c r="G334" t="str">
        <x:v>心安之地</x:v>
      </x:c>
      <x:c r="H334" t="str">
        <x:v>许嵩</x:v>
      </x:c>
      <x:c r="I334" t="str">
        <x:v>000h1psW2HN90S</x:v>
      </x:c>
      <x:c r="J334" t="str">
        <x:v>False</x:v>
      </x:c>
      <x:c r="K334" t="n">
        <x:v>134</x:v>
      </x:c>
      <x:c r="L334" t="n">
        <x:v>0</x:v>
      </x:c>
      <x:c r="M334" t="n">
        <x:v>0</x:v>
      </x:c>
      <x:c r="N334" t="n">
        <x:v>82.78411</x:v>
      </x:c>
      <x:c r="O334" t="n">
        <x:v>70.73</x:v>
      </x:c>
      <x:c r="P334" t="n">
        <x:v>0</x:v>
      </x:c>
      <x:c r="Q334" t="n">
        <x:v>0</x:v>
      </x:c>
      <x:c r="R334" t="n">
        <x:v>8.8</x:v>
      </x:c>
      <x:c r="S334" t="n">
        <x:v>42.53</x:v>
      </x:c>
      <x:c r="T334" t="str">
        <x:v>https://y.gtimg.cn/music/photo_new/T002R500x500M000001Oqn952HAPRk_1.jpg</x:v>
      </x:c>
      <x:c r="U334" s="24" t="str">
        <x:f>IFERROR(VLOOKUP(I334,'07_字典与参数'!$G$5:$J$9,2,FALSE),"未入选")</x:f>
        <x:v>未入选</x:v>
      </x:c>
      <x:c r="V334" s="24" t="str">
        <x:f>IFERROR(VLOOKUP(I334,'07_字典与参数'!$G$5:$J$9,3,FALSE),"—")</x:f>
        <x:v>—</x:v>
      </x:c>
      <x:c r="W334" s="24" t="str">
        <x:f>IF(U334="未入选","否","是")</x:f>
        <x:v>否</x:v>
      </x:c>
    </x:row>
    <x:row r="335">
      <x:c r="A335" t="n">
        <x:v>202629</x:v>
      </x:c>
      <x:c r="B335" t="str">
        <x:v>第29期（07.20-07.26）</x:v>
      </x:c>
      <x:c r="C335" t="str">
        <x:v>2026-07-20</x:v>
      </x:c>
      <x:c r="D335" t="str">
        <x:v>2026-07-26</x:v>
      </x:c>
      <x:c r="E335" t="n">
        <x:v>131</x:v>
      </x:c>
      <x:c r="F335" t="n">
        <x:v>507703039</x:v>
      </x:c>
      <x:c r="G335" t="str">
        <x:v>也许在下雨天 (眼泪才不被看见)</x:v>
      </x:c>
      <x:c r="H335" t="str">
        <x:v>何遇Hayu,Crybird</x:v>
      </x:c>
      <x:c r="I335" t="str">
        <x:v>003hjJ9O4AiBl9</x:v>
      </x:c>
      <x:c r="J335" t="str">
        <x:v>False</x:v>
      </x:c>
      <x:c r="K335" t="n">
        <x:v>120</x:v>
      </x:c>
      <x:c r="L335" t="n">
        <x:v>0</x:v>
      </x:c>
      <x:c r="M335" t="n">
        <x:v>0</x:v>
      </x:c>
      <x:c r="N335" t="n">
        <x:v>82.78264</x:v>
      </x:c>
      <x:c r="O335" t="n">
        <x:v>71.39</x:v>
      </x:c>
      <x:c r="P335" t="n">
        <x:v>0</x:v>
      </x:c>
      <x:c r="Q335" t="n">
        <x:v>0</x:v>
      </x:c>
      <x:c r="R335" t="n">
        <x:v>21.66</x:v>
      </x:c>
      <x:c r="S335" t="n">
        <x:v>31.04</x:v>
      </x:c>
      <x:c r="T335" t="str">
        <x:v>https://y.gtimg.cn/music/photo_new/T002R500x500M000001xNQMK1OvExE_2.jpg</x:v>
      </x:c>
      <x:c r="U335" s="24" t="str">
        <x:f>IFERROR(VLOOKUP(I335,'07_字典与参数'!$G$5:$J$9,2,FALSE),"未入选")</x:f>
        <x:v>未入选</x:v>
      </x:c>
      <x:c r="V335" s="24" t="str">
        <x:f>IFERROR(VLOOKUP(I335,'07_字典与参数'!$G$5:$J$9,3,FALSE),"—")</x:f>
        <x:v>—</x:v>
      </x:c>
      <x:c r="W335" s="24" t="str">
        <x:f>IF(U335="未入选","否","是")</x:f>
        <x:v>否</x:v>
      </x:c>
    </x:row>
    <x:row r="336">
      <x:c r="A336" t="n">
        <x:v>202629</x:v>
      </x:c>
      <x:c r="B336" t="str">
        <x:v>第29期（07.20-07.26）</x:v>
      </x:c>
      <x:c r="C336" t="str">
        <x:v>2026-07-20</x:v>
      </x:c>
      <x:c r="D336" t="str">
        <x:v>2026-07-26</x:v>
      </x:c>
      <x:c r="E336" t="n">
        <x:v>132</x:v>
      </x:c>
      <x:c r="F336" t="n">
        <x:v>524671893</x:v>
      </x:c>
      <x:c r="G336" t="str">
        <x:v>依兰爱情故事</x:v>
      </x:c>
      <x:c r="H336" t="str">
        <x:v>金志文</x:v>
      </x:c>
      <x:c r="I336" t="str">
        <x:v>003wJze11ABhHl</x:v>
      </x:c>
      <x:c r="J336" t="str">
        <x:v>False</x:v>
      </x:c>
      <x:c r="K336" t="n">
        <x:v>102</x:v>
      </x:c>
      <x:c r="L336" t="n">
        <x:v>0</x:v>
      </x:c>
      <x:c r="M336" t="n">
        <x:v>0</x:v>
      </x:c>
      <x:c r="N336" t="n">
        <x:v>82.74438</x:v>
      </x:c>
      <x:c r="O336" t="n">
        <x:v>71.7</x:v>
      </x:c>
      <x:c r="P336" t="n">
        <x:v>0</x:v>
      </x:c>
      <x:c r="Q336" t="n">
        <x:v>0</x:v>
      </x:c>
      <x:c r="R336" t="n">
        <x:v>6.93</x:v>
      </x:c>
      <x:c r="S336" t="n">
        <x:v>33.23</x:v>
      </x:c>
      <x:c r="T336" t="str">
        <x:v>https://y.gtimg.cn/music/photo_new/T002R500x500M000003kMWUy2EinCC_2.jpg</x:v>
      </x:c>
      <x:c r="U336" s="24" t="str">
        <x:f>IFERROR(VLOOKUP(I336,'07_字典与参数'!$G$5:$J$9,2,FALSE),"未入选")</x:f>
        <x:v>未入选</x:v>
      </x:c>
      <x:c r="V336" s="24" t="str">
        <x:f>IFERROR(VLOOKUP(I336,'07_字典与参数'!$G$5:$J$9,3,FALSE),"—")</x:f>
        <x:v>—</x:v>
      </x:c>
      <x:c r="W336" s="24" t="str">
        <x:f>IF(U336="未入选","否","是")</x:f>
        <x:v>否</x:v>
      </x:c>
    </x:row>
    <x:row r="337">
      <x:c r="A337" t="n">
        <x:v>202629</x:v>
      </x:c>
      <x:c r="B337" t="str">
        <x:v>第29期（07.20-07.26）</x:v>
      </x:c>
      <x:c r="C337" t="str">
        <x:v>2026-07-20</x:v>
      </x:c>
      <x:c r="D337" t="str">
        <x:v>2026-07-26</x:v>
      </x:c>
      <x:c r="E337" t="n">
        <x:v>133</x:v>
      </x:c>
      <x:c r="F337" t="n">
        <x:v>531082488</x:v>
      </x:c>
      <x:c r="G337" t="str">
        <x:v>Bad Boy</x:v>
      </x:c>
      <x:c r="H337" t="str">
        <x:v>万妮达Vinida Weng</x:v>
      </x:c>
      <x:c r="I337" t="str">
        <x:v>003twp2w4OaRcC</x:v>
      </x:c>
      <x:c r="J337" t="str">
        <x:v>False</x:v>
      </x:c>
      <x:c r="K337" t="n">
        <x:v>53</x:v>
      </x:c>
      <x:c r="L337" t="n">
        <x:v>0</x:v>
      </x:c>
      <x:c r="M337" t="n">
        <x:v>0</x:v>
      </x:c>
      <x:c r="N337" t="n">
        <x:v>82.70884</x:v>
      </x:c>
      <x:c r="O337" t="n">
        <x:v>71.97</x:v>
      </x:c>
      <x:c r="P337" t="n">
        <x:v>0</x:v>
      </x:c>
      <x:c r="Q337" t="n">
        <x:v>0</x:v>
      </x:c>
      <x:c r="R337" t="n">
        <x:v>7.12</x:v>
      </x:c>
      <x:c r="S337" t="n">
        <x:v>22.23</x:v>
      </x:c>
      <x:c r="T337" t="str">
        <x:v>https://y.gtimg.cn/music/photo_new/T002R500x500M0000005bCtH469HXW_1.jpg</x:v>
      </x:c>
      <x:c r="U337" s="24" t="str">
        <x:f>IFERROR(VLOOKUP(I337,'07_字典与参数'!$G$5:$J$9,2,FALSE),"未入选")</x:f>
        <x:v>未入选</x:v>
      </x:c>
      <x:c r="V337" s="24" t="str">
        <x:f>IFERROR(VLOOKUP(I337,'07_字典与参数'!$G$5:$J$9,3,FALSE),"—")</x:f>
        <x:v>—</x:v>
      </x:c>
      <x:c r="W337" s="24" t="str">
        <x:f>IF(U337="未入选","否","是")</x:f>
        <x:v>否</x:v>
      </x:c>
    </x:row>
    <x:row r="338">
      <x:c r="A338" t="n">
        <x:v>202629</x:v>
      </x:c>
      <x:c r="B338" t="str">
        <x:v>第29期（07.20-07.26）</x:v>
      </x:c>
      <x:c r="C338" t="str">
        <x:v>2026-07-20</x:v>
      </x:c>
      <x:c r="D338" t="str">
        <x:v>2026-07-26</x:v>
      </x:c>
      <x:c r="E338" t="n">
        <x:v>134</x:v>
      </x:c>
      <x:c r="F338" t="n">
        <x:v>491996814</x:v>
      </x:c>
      <x:c r="G338" t="str">
        <x:v>本末</x:v>
      </x:c>
      <x:c r="H338" t="str">
        <x:v>任素汐</x:v>
      </x:c>
      <x:c r="I338" t="str">
        <x:v>001sTnpM1Kw5aa</x:v>
      </x:c>
      <x:c r="J338" t="str">
        <x:v>False</x:v>
      </x:c>
      <x:c r="K338" t="n">
        <x:v>117</x:v>
      </x:c>
      <x:c r="L338" t="n">
        <x:v>0</x:v>
      </x:c>
      <x:c r="M338" t="n">
        <x:v>0</x:v>
      </x:c>
      <x:c r="N338" t="n">
        <x:v>82.6812</x:v>
      </x:c>
      <x:c r="O338" t="n">
        <x:v>71.68</x:v>
      </x:c>
      <x:c r="P338" t="n">
        <x:v>0</x:v>
      </x:c>
      <x:c r="Q338" t="n">
        <x:v>0</x:v>
      </x:c>
      <x:c r="R338" t="n">
        <x:v>3.83</x:v>
      </x:c>
      <x:c r="S338" t="n">
        <x:v>34.16</x:v>
      </x:c>
      <x:c r="T338" t="str">
        <x:v>https://y.gtimg.cn/music/photo_new/T002R500x500M0000033vNiW2uLR2S_1.jpg</x:v>
      </x:c>
      <x:c r="U338" s="24" t="str">
        <x:f>IFERROR(VLOOKUP(I338,'07_字典与参数'!$G$5:$J$9,2,FALSE),"未入选")</x:f>
        <x:v>未入选</x:v>
      </x:c>
      <x:c r="V338" s="24" t="str">
        <x:f>IFERROR(VLOOKUP(I338,'07_字典与参数'!$G$5:$J$9,3,FALSE),"—")</x:f>
        <x:v>—</x:v>
      </x:c>
      <x:c r="W338" s="24" t="str">
        <x:f>IF(U338="未入选","否","是")</x:f>
        <x:v>否</x:v>
      </x:c>
    </x:row>
    <x:row r="339">
      <x:c r="A339" t="n">
        <x:v>202629</x:v>
      </x:c>
      <x:c r="B339" t="str">
        <x:v>第29期（07.20-07.26）</x:v>
      </x:c>
      <x:c r="C339" t="str">
        <x:v>2026-07-20</x:v>
      </x:c>
      <x:c r="D339" t="str">
        <x:v>2026-07-26</x:v>
      </x:c>
      <x:c r="E339" t="n">
        <x:v>135</x:v>
      </x:c>
      <x:c r="F339" t="n">
        <x:v>511979926</x:v>
      </x:c>
      <x:c r="G339" t="str">
        <x:v>古风2026</x:v>
      </x:c>
      <x:c r="H339" t="str">
        <x:v>一颗狼星,糯米Nomi,倪浩毅,指尖笑,草帽酱,执素兮,平生不晚,浅影阿</x:v>
      </x:c>
      <x:c r="I339" t="str">
        <x:v>002BNkDq46SfPr</x:v>
      </x:c>
      <x:c r="J339" t="str">
        <x:v>False</x:v>
      </x:c>
      <x:c r="K339" t="n">
        <x:v>122</x:v>
      </x:c>
      <x:c r="L339" t="n">
        <x:v>0</x:v>
      </x:c>
      <x:c r="M339" t="n">
        <x:v>0</x:v>
      </x:c>
      <x:c r="N339" t="n">
        <x:v>82.45015</x:v>
      </x:c>
      <x:c r="O339" t="n">
        <x:v>71.9</x:v>
      </x:c>
      <x:c r="P339" t="n">
        <x:v>0</x:v>
      </x:c>
      <x:c r="Q339" t="n">
        <x:v>0</x:v>
      </x:c>
      <x:c r="R339" t="n">
        <x:v>1.85</x:v>
      </x:c>
      <x:c r="S339" t="n">
        <x:v>19.37</x:v>
      </x:c>
      <x:c r="T339" t="str">
        <x:v>https://y.gtimg.cn/music/photo_new/T002R500x500M000002KRyi405Zmjv_1.jpg</x:v>
      </x:c>
      <x:c r="U339" s="24" t="str">
        <x:f>IFERROR(VLOOKUP(I339,'07_字典与参数'!$G$5:$J$9,2,FALSE),"未入选")</x:f>
        <x:v>未入选</x:v>
      </x:c>
      <x:c r="V339" s="24" t="str">
        <x:f>IFERROR(VLOOKUP(I339,'07_字典与参数'!$G$5:$J$9,3,FALSE),"—")</x:f>
        <x:v>—</x:v>
      </x:c>
      <x:c r="W339" s="24" t="str">
        <x:f>IF(U339="未入选","否","是")</x:f>
        <x:v>否</x:v>
      </x:c>
    </x:row>
    <x:row r="340">
      <x:c r="A340" t="n">
        <x:v>202629</x:v>
      </x:c>
      <x:c r="B340" t="str">
        <x:v>第29期（07.20-07.26）</x:v>
      </x:c>
      <x:c r="C340" t="str">
        <x:v>2026-07-20</x:v>
      </x:c>
      <x:c r="D340" t="str">
        <x:v>2026-07-26</x:v>
      </x:c>
      <x:c r="E340" t="n">
        <x:v>136</x:v>
      </x:c>
      <x:c r="F340" t="n">
        <x:v>522662100</x:v>
      </x:c>
      <x:c r="G340" t="str">
        <x:v>UP IT</x:v>
      </x:c>
      <x:c r="H340" t="str">
        <x:v>刘耀文</x:v>
      </x:c>
      <x:c r="I340" t="str">
        <x:v>003envMt4H3x7x</x:v>
      </x:c>
      <x:c r="J340" t="str">
        <x:v>False</x:v>
      </x:c>
      <x:c r="K340" t="n">
        <x:v>92</x:v>
      </x:c>
      <x:c r="L340" t="n">
        <x:v>0</x:v>
      </x:c>
      <x:c r="M340" t="n">
        <x:v>0</x:v>
      </x:c>
      <x:c r="N340" t="n">
        <x:v>82.28316</x:v>
      </x:c>
      <x:c r="O340" t="n">
        <x:v>61.94</x:v>
      </x:c>
      <x:c r="P340" t="n">
        <x:v>0</x:v>
      </x:c>
      <x:c r="Q340" t="n">
        <x:v>0</x:v>
      </x:c>
      <x:c r="R340" t="n">
        <x:v>24.33</x:v>
      </x:c>
      <x:c r="S340" t="n">
        <x:v>50.82</x:v>
      </x:c>
      <x:c r="T340" t="str">
        <x:v>https://y.gtimg.cn/music/photo_new/T002R500x500M000003Q3flT1zkBX3_1.jpg</x:v>
      </x:c>
      <x:c r="U340" s="24" t="str">
        <x:f>IFERROR(VLOOKUP(I340,'07_字典与参数'!$G$5:$J$9,2,FALSE),"未入选")</x:f>
        <x:v>未入选</x:v>
      </x:c>
      <x:c r="V340" s="24" t="str">
        <x:f>IFERROR(VLOOKUP(I340,'07_字典与参数'!$G$5:$J$9,3,FALSE),"—")</x:f>
        <x:v>—</x:v>
      </x:c>
      <x:c r="W340" s="24" t="str">
        <x:f>IF(U340="未入选","否","是")</x:f>
        <x:v>否</x:v>
      </x:c>
    </x:row>
    <x:row r="341">
      <x:c r="A341" t="n">
        <x:v>202629</x:v>
      </x:c>
      <x:c r="B341" t="str">
        <x:v>第29期（07.20-07.26）</x:v>
      </x:c>
      <x:c r="C341" t="str">
        <x:v>2026-07-20</x:v>
      </x:c>
      <x:c r="D341" t="str">
        <x:v>2026-07-26</x:v>
      </x:c>
      <x:c r="E341" t="n">
        <x:v>137</x:v>
      </x:c>
      <x:c r="F341" t="n">
        <x:v>535357816</x:v>
      </x:c>
      <x:c r="G341" t="str">
        <x:v>Rock All Night</x:v>
      </x:c>
      <x:c r="H341" t="str">
        <x:v>袁一琦</x:v>
      </x:c>
      <x:c r="I341" t="str">
        <x:v>003AjrRg4fPZTt</x:v>
      </x:c>
      <x:c r="J341" t="str">
        <x:v>False</x:v>
      </x:c>
      <x:c r="K341" t="n">
        <x:v>0</x:v>
      </x:c>
      <x:c r="L341" t="n">
        <x:v>0</x:v>
      </x:c>
      <x:c r="M341" t="n">
        <x:v>0</x:v>
      </x:c>
      <x:c r="N341" t="n">
        <x:v>82.19743</x:v>
      </x:c>
      <x:c r="O341" t="n">
        <x:v>50.45</x:v>
      </x:c>
      <x:c r="P341" t="n">
        <x:v>0</x:v>
      </x:c>
      <x:c r="Q341" t="n">
        <x:v>0</x:v>
      </x:c>
      <x:c r="R341" t="n">
        <x:v>31.66</x:v>
      </x:c>
      <x:c r="S341" t="n">
        <x:v>53.25</x:v>
      </x:c>
      <x:c r="T341" t="str">
        <x:v>https://y.gtimg.cn/music/photo_new/T002R500x500M000003qltM2469LMm_2.jpg</x:v>
      </x:c>
      <x:c r="U341" s="24" t="str">
        <x:f>IFERROR(VLOOKUP(I341,'07_字典与参数'!$G$5:$J$9,2,FALSE),"未入选")</x:f>
        <x:v>未入选</x:v>
      </x:c>
      <x:c r="V341" s="24" t="str">
        <x:f>IFERROR(VLOOKUP(I341,'07_字典与参数'!$G$5:$J$9,3,FALSE),"—")</x:f>
        <x:v>—</x:v>
      </x:c>
      <x:c r="W341" s="24" t="str">
        <x:f>IF(U341="未入选","否","是")</x:f>
        <x:v>否</x:v>
      </x:c>
    </x:row>
    <x:row r="342">
      <x:c r="A342" t="n">
        <x:v>202629</x:v>
      </x:c>
      <x:c r="B342" t="str">
        <x:v>第29期（07.20-07.26）</x:v>
      </x:c>
      <x:c r="C342" t="str">
        <x:v>2026-07-20</x:v>
      </x:c>
      <x:c r="D342" t="str">
        <x:v>2026-07-26</x:v>
      </x:c>
      <x:c r="E342" t="n">
        <x:v>138</x:v>
      </x:c>
      <x:c r="F342" t="n">
        <x:v>480650223</x:v>
      </x:c>
      <x:c r="G342" t="str">
        <x:v>昨晚我环游了地球</x:v>
      </x:c>
      <x:c r="H342" t="str">
        <x:v>汪苏泷</x:v>
      </x:c>
      <x:c r="I342" t="str">
        <x:v>003RhiFk16EeF7</x:v>
      </x:c>
      <x:c r="J342" t="str">
        <x:v>False</x:v>
      </x:c>
      <x:c r="K342" t="n">
        <x:v>130</x:v>
      </x:c>
      <x:c r="L342" t="n">
        <x:v>0</x:v>
      </x:c>
      <x:c r="M342" t="n">
        <x:v>0</x:v>
      </x:c>
      <x:c r="N342" t="n">
        <x:v>82.11518</x:v>
      </x:c>
      <x:c r="O342" t="n">
        <x:v>66.29</x:v>
      </x:c>
      <x:c r="P342" t="n">
        <x:v>0</x:v>
      </x:c>
      <x:c r="Q342" t="n">
        <x:v>0</x:v>
      </x:c>
      <x:c r="R342" t="n">
        <x:v>4.8</x:v>
      </x:c>
      <x:c r="S342" t="n">
        <x:v>47.9</x:v>
      </x:c>
      <x:c r="T342" t="str">
        <x:v>https://y.gtimg.cn/music/photo_new/T002R500x500M000000A1M903iHvyT_4.jpg</x:v>
      </x:c>
      <x:c r="U342" s="24" t="str">
        <x:f>IFERROR(VLOOKUP(I342,'07_字典与参数'!$G$5:$J$9,2,FALSE),"未入选")</x:f>
        <x:v>未入选</x:v>
      </x:c>
      <x:c r="V342" s="24" t="str">
        <x:f>IFERROR(VLOOKUP(I342,'07_字典与参数'!$G$5:$J$9,3,FALSE),"—")</x:f>
        <x:v>—</x:v>
      </x:c>
      <x:c r="W342" s="24" t="str">
        <x:f>IF(U342="未入选","否","是")</x:f>
        <x:v>否</x:v>
      </x:c>
    </x:row>
    <x:row r="343">
      <x:c r="A343" t="n">
        <x:v>202629</x:v>
      </x:c>
      <x:c r="B343" t="str">
        <x:v>第29期（07.20-07.26）</x:v>
      </x:c>
      <x:c r="C343" t="str">
        <x:v>2026-07-20</x:v>
      </x:c>
      <x:c r="D343" t="str">
        <x:v>2026-07-26</x:v>
      </x:c>
      <x:c r="E343" t="n">
        <x:v>139</x:v>
      </x:c>
      <x:c r="F343" t="n">
        <x:v>513759558</x:v>
      </x:c>
      <x:c r="G343" t="str">
        <x:v>浮生若梦</x:v>
      </x:c>
      <x:c r="H343" t="str">
        <x:v>周深</x:v>
      </x:c>
      <x:c r="I343" t="str">
        <x:v>002ElBqW0fEWXI</x:v>
      </x:c>
      <x:c r="J343" t="str">
        <x:v>False</x:v>
      </x:c>
      <x:c r="K343" t="n">
        <x:v>129</x:v>
      </x:c>
      <x:c r="L343" t="n">
        <x:v>0</x:v>
      </x:c>
      <x:c r="M343" t="n">
        <x:v>0</x:v>
      </x:c>
      <x:c r="N343" t="n">
        <x:v>82.09688</x:v>
      </x:c>
      <x:c r="O343" t="n">
        <x:v>64.86</x:v>
      </x:c>
      <x:c r="P343" t="n">
        <x:v>0</x:v>
      </x:c>
      <x:c r="Q343" t="n">
        <x:v>0</x:v>
      </x:c>
      <x:c r="R343" t="n">
        <x:v>18.1</x:v>
      </x:c>
      <x:c r="S343" t="n">
        <x:v>48.27</x:v>
      </x:c>
      <x:c r="T343" t="str">
        <x:v>https://y.qq.com/music/photo_new/T062R500x500M000003O2ogG11M5da.jpg</x:v>
      </x:c>
      <x:c r="U343" s="24" t="str">
        <x:f>IFERROR(VLOOKUP(I343,'07_字典与参数'!$G$5:$J$9,2,FALSE),"未入选")</x:f>
        <x:v>未入选</x:v>
      </x:c>
      <x:c r="V343" s="24" t="str">
        <x:f>IFERROR(VLOOKUP(I343,'07_字典与参数'!$G$5:$J$9,3,FALSE),"—")</x:f>
        <x:v>—</x:v>
      </x:c>
      <x:c r="W343" s="24" t="str">
        <x:f>IF(U343="未入选","否","是")</x:f>
        <x:v>否</x:v>
      </x:c>
    </x:row>
    <x:row r="344">
      <x:c r="A344" t="n">
        <x:v>202629</x:v>
      </x:c>
      <x:c r="B344" t="str">
        <x:v>第29期（07.20-07.26）</x:v>
      </x:c>
      <x:c r="C344" t="str">
        <x:v>2026-07-20</x:v>
      </x:c>
      <x:c r="D344" t="str">
        <x:v>2026-07-26</x:v>
      </x:c>
      <x:c r="E344" t="n">
        <x:v>140</x:v>
      </x:c>
      <x:c r="F344" t="n">
        <x:v>512975549</x:v>
      </x:c>
      <x:c r="G344" t="str">
        <x:v>洛阳纸</x:v>
      </x:c>
      <x:c r="H344" t="str">
        <x:v>许嵩</x:v>
      </x:c>
      <x:c r="I344" t="str">
        <x:v>000iOs7F4gQ4VR</x:v>
      </x:c>
      <x:c r="J344" t="str">
        <x:v>False</x:v>
      </x:c>
      <x:c r="K344" t="n">
        <x:v>132</x:v>
      </x:c>
      <x:c r="L344" t="n">
        <x:v>0</x:v>
      </x:c>
      <x:c r="M344" t="n">
        <x:v>0</x:v>
      </x:c>
      <x:c r="N344" t="n">
        <x:v>81.99842</x:v>
      </x:c>
      <x:c r="O344" t="n">
        <x:v>70.6</x:v>
      </x:c>
      <x:c r="P344" t="n">
        <x:v>0</x:v>
      </x:c>
      <x:c r="Q344" t="n">
        <x:v>0</x:v>
      </x:c>
      <x:c r="R344" t="n">
        <x:v>5.23</x:v>
      </x:c>
      <x:c r="S344" t="n">
        <x:v>40.34</x:v>
      </x:c>
      <x:c r="T344" t="str">
        <x:v>https://y.gtimg.cn/music/photo_new/T002R500x500M000001Oqn952HAPRk_1.jpg</x:v>
      </x:c>
      <x:c r="U344" s="24" t="str">
        <x:f>IFERROR(VLOOKUP(I344,'07_字典与参数'!$G$5:$J$9,2,FALSE),"未入选")</x:f>
        <x:v>未入选</x:v>
      </x:c>
      <x:c r="V344" s="24" t="str">
        <x:f>IFERROR(VLOOKUP(I344,'07_字典与参数'!$G$5:$J$9,3,FALSE),"—")</x:f>
        <x:v>—</x:v>
      </x:c>
      <x:c r="W344" s="24" t="str">
        <x:f>IF(U344="未入选","否","是")</x:f>
        <x:v>否</x:v>
      </x:c>
    </x:row>
    <x:row r="345">
      <x:c r="A345" t="n">
        <x:v>202629</x:v>
      </x:c>
      <x:c r="B345" t="str">
        <x:v>第29期（07.20-07.26）</x:v>
      </x:c>
      <x:c r="C345" t="str">
        <x:v>2026-07-20</x:v>
      </x:c>
      <x:c r="D345" t="str">
        <x:v>2026-07-26</x:v>
      </x:c>
      <x:c r="E345" t="n">
        <x:v>141</x:v>
      </x:c>
      <x:c r="F345" t="n">
        <x:v>535078423</x:v>
      </x:c>
      <x:c r="G345" t="str">
        <x:v>kick</x:v>
      </x:c>
      <x:c r="H345" t="str">
        <x:v>何浩楠</x:v>
      </x:c>
      <x:c r="I345" t="str">
        <x:v>003x6WZl0ch3MM</x:v>
      </x:c>
      <x:c r="J345" t="str">
        <x:v>False</x:v>
      </x:c>
      <x:c r="K345" t="n">
        <x:v>0</x:v>
      </x:c>
      <x:c r="L345" t="n">
        <x:v>0</x:v>
      </x:c>
      <x:c r="M345" t="n">
        <x:v>0</x:v>
      </x:c>
      <x:c r="N345" t="n">
        <x:v>81.95054</x:v>
      </x:c>
      <x:c r="O345" t="n">
        <x:v>61.82</x:v>
      </x:c>
      <x:c r="P345" t="n">
        <x:v>0</x:v>
      </x:c>
      <x:c r="Q345" t="n">
        <x:v>0</x:v>
      </x:c>
      <x:c r="R345" t="n">
        <x:v>9.59</x:v>
      </x:c>
      <x:c r="S345" t="n">
        <x:v>51.24</x:v>
      </x:c>
      <x:c r="T345" t="str">
        <x:v>https://y.gtimg.cn/music/photo_new/T002R500x500M000003tARiO3v9OTh_1.jpg</x:v>
      </x:c>
      <x:c r="U345" s="24" t="str">
        <x:f>IFERROR(VLOOKUP(I345,'07_字典与参数'!$G$5:$J$9,2,FALSE),"未入选")</x:f>
        <x:v>未入选</x:v>
      </x:c>
      <x:c r="V345" s="24" t="str">
        <x:f>IFERROR(VLOOKUP(I345,'07_字典与参数'!$G$5:$J$9,3,FALSE),"—")</x:f>
        <x:v>—</x:v>
      </x:c>
      <x:c r="W345" s="24" t="str">
        <x:f>IF(U345="未入选","否","是")</x:f>
        <x:v>否</x:v>
      </x:c>
    </x:row>
    <x:row r="346">
      <x:c r="A346" t="n">
        <x:v>202629</x:v>
      </x:c>
      <x:c r="B346" t="str">
        <x:v>第29期（07.20-07.26）</x:v>
      </x:c>
      <x:c r="C346" t="str">
        <x:v>2026-07-20</x:v>
      </x:c>
      <x:c r="D346" t="str">
        <x:v>2026-07-26</x:v>
      </x:c>
      <x:c r="E346" t="n">
        <x:v>142</x:v>
      </x:c>
      <x:c r="F346" t="n">
        <x:v>531111308</x:v>
      </x:c>
      <x:c r="G346" t="str">
        <x:v>想得美</x:v>
      </x:c>
      <x:c r="H346" t="str">
        <x:v>TOP登陆少年组合</x:v>
      </x:c>
      <x:c r="I346" t="str">
        <x:v>003QLx9h4Y71iu</x:v>
      </x:c>
      <x:c r="J346" t="str">
        <x:v>False</x:v>
      </x:c>
      <x:c r="K346" t="n">
        <x:v>107</x:v>
      </x:c>
      <x:c r="L346" t="n">
        <x:v>0</x:v>
      </x:c>
      <x:c r="M346" t="n">
        <x:v>0</x:v>
      </x:c>
      <x:c r="N346" t="n">
        <x:v>81.88328</x:v>
      </x:c>
      <x:c r="O346" t="n">
        <x:v>68.78</x:v>
      </x:c>
      <x:c r="P346" t="n">
        <x:v>0</x:v>
      </x:c>
      <x:c r="Q346" t="n">
        <x:v>0</x:v>
      </x:c>
      <x:c r="R346" t="n">
        <x:v>14.69</x:v>
      </x:c>
      <x:c r="S346" t="n">
        <x:v>42.76</x:v>
      </x:c>
      <x:c r="T346" t="str">
        <x:v>https://y.gtimg.cn/music/photo_new/T002R500x500M000002YPc1C0WN5qn_1.jpg</x:v>
      </x:c>
      <x:c r="U346" s="24" t="str">
        <x:f>IFERROR(VLOOKUP(I346,'07_字典与参数'!$G$5:$J$9,2,FALSE),"未入选")</x:f>
        <x:v>未入选</x:v>
      </x:c>
      <x:c r="V346" s="24" t="str">
        <x:f>IFERROR(VLOOKUP(I346,'07_字典与参数'!$G$5:$J$9,3,FALSE),"—")</x:f>
        <x:v>—</x:v>
      </x:c>
      <x:c r="W346" s="24" t="str">
        <x:f>IF(U346="未入选","否","是")</x:f>
        <x:v>否</x:v>
      </x:c>
    </x:row>
    <x:row r="347">
      <x:c r="A347" t="n">
        <x:v>202629</x:v>
      </x:c>
      <x:c r="B347" t="str">
        <x:v>第29期（07.20-07.26）</x:v>
      </x:c>
      <x:c r="C347" t="str">
        <x:v>2026-07-20</x:v>
      </x:c>
      <x:c r="D347" t="str">
        <x:v>2026-07-26</x:v>
      </x:c>
      <x:c r="E347" t="n">
        <x:v>143</x:v>
      </x:c>
      <x:c r="F347" t="n">
        <x:v>511809673</x:v>
      </x:c>
      <x:c r="G347" t="str">
        <x:v>人间</x:v>
      </x:c>
      <x:c r="H347" t="str">
        <x:v>刘宇宁</x:v>
      </x:c>
      <x:c r="I347" t="str">
        <x:v>002dyLPw3kRsuA</x:v>
      </x:c>
      <x:c r="J347" t="str">
        <x:v>False</x:v>
      </x:c>
      <x:c r="K347" t="n">
        <x:v>128</x:v>
      </x:c>
      <x:c r="L347" t="n">
        <x:v>0</x:v>
      </x:c>
      <x:c r="M347" t="n">
        <x:v>0</x:v>
      </x:c>
      <x:c r="N347" t="n">
        <x:v>81.71949</x:v>
      </x:c>
      <x:c r="O347" t="n">
        <x:v>66.87</x:v>
      </x:c>
      <x:c r="P347" t="n">
        <x:v>0</x:v>
      </x:c>
      <x:c r="Q347" t="n">
        <x:v>0</x:v>
      </x:c>
      <x:c r="R347" t="n">
        <x:v>11.97</x:v>
      </x:c>
      <x:c r="S347" t="n">
        <x:v>44.85</x:v>
      </x:c>
      <x:c r="T347" t="str">
        <x:v>https://y.qq.com/music/photo_new/T062R500x500M000001Plf3T3zraRt.jpg</x:v>
      </x:c>
      <x:c r="U347" s="24" t="str">
        <x:f>IFERROR(VLOOKUP(I347,'07_字典与参数'!$G$5:$J$9,2,FALSE),"未入选")</x:f>
        <x:v>未入选</x:v>
      </x:c>
      <x:c r="V347" s="24" t="str">
        <x:f>IFERROR(VLOOKUP(I347,'07_字典与参数'!$G$5:$J$9,3,FALSE),"—")</x:f>
        <x:v>—</x:v>
      </x:c>
      <x:c r="W347" s="24" t="str">
        <x:f>IF(U347="未入选","否","是")</x:f>
        <x:v>否</x:v>
      </x:c>
    </x:row>
    <x:row r="348">
      <x:c r="A348" t="n">
        <x:v>202629</x:v>
      </x:c>
      <x:c r="B348" t="str">
        <x:v>第29期（07.20-07.26）</x:v>
      </x:c>
      <x:c r="C348" t="str">
        <x:v>2026-07-20</x:v>
      </x:c>
      <x:c r="D348" t="str">
        <x:v>2026-07-26</x:v>
      </x:c>
      <x:c r="E348" t="n">
        <x:v>144</x:v>
      </x:c>
      <x:c r="F348" t="n">
        <x:v>503612889</x:v>
      </x:c>
      <x:c r="G348" t="str">
        <x:v>渡</x:v>
      </x:c>
      <x:c r="H348" t="str">
        <x:v>周深</x:v>
      </x:c>
      <x:c r="I348" t="str">
        <x:v>004XNL6L36CrFC</x:v>
      </x:c>
      <x:c r="J348" t="str">
        <x:v>False</x:v>
      </x:c>
      <x:c r="K348" t="n">
        <x:v>126</x:v>
      </x:c>
      <x:c r="L348" t="n">
        <x:v>0</x:v>
      </x:c>
      <x:c r="M348" t="n">
        <x:v>0</x:v>
      </x:c>
      <x:c r="N348" t="n">
        <x:v>81.64577</x:v>
      </x:c>
      <x:c r="O348" t="n">
        <x:v>64.19</x:v>
      </x:c>
      <x:c r="P348" t="n">
        <x:v>0</x:v>
      </x:c>
      <x:c r="Q348" t="n">
        <x:v>0</x:v>
      </x:c>
      <x:c r="R348" t="n">
        <x:v>5.75</x:v>
      </x:c>
      <x:c r="S348" t="n">
        <x:v>48.65</x:v>
      </x:c>
      <x:c r="T348" t="str">
        <x:v>https://y.gtimg.cn/music/photo_new/T002R500x500M000000QqmQq1hKTuB_1.jpg</x:v>
      </x:c>
      <x:c r="U348" s="24" t="str">
        <x:f>IFERROR(VLOOKUP(I348,'07_字典与参数'!$G$5:$J$9,2,FALSE),"未入选")</x:f>
        <x:v>未入选</x:v>
      </x:c>
      <x:c r="V348" s="24" t="str">
        <x:f>IFERROR(VLOOKUP(I348,'07_字典与参数'!$G$5:$J$9,3,FALSE),"—")</x:f>
        <x:v>—</x:v>
      </x:c>
      <x:c r="W348" s="24" t="str">
        <x:f>IF(U348="未入选","否","是")</x:f>
        <x:v>否</x:v>
      </x:c>
    </x:row>
    <x:row r="349">
      <x:c r="A349" t="n">
        <x:v>202629</x:v>
      </x:c>
      <x:c r="B349" t="str">
        <x:v>第29期（07.20-07.26）</x:v>
      </x:c>
      <x:c r="C349" t="str">
        <x:v>2026-07-20</x:v>
      </x:c>
      <x:c r="D349" t="str">
        <x:v>2026-07-26</x:v>
      </x:c>
      <x:c r="E349" t="n">
        <x:v>145</x:v>
      </x:c>
      <x:c r="F349" t="n">
        <x:v>486301870</x:v>
      </x:c>
      <x:c r="G349" t="str">
        <x:v>Someone to Love</x:v>
      </x:c>
      <x:c r="H349" t="str">
        <x:v>严浩翔</x:v>
      </x:c>
      <x:c r="I349" t="str">
        <x:v>003h49Zi3ExoLi</x:v>
      </x:c>
      <x:c r="J349" t="str">
        <x:v>False</x:v>
      </x:c>
      <x:c r="K349" t="n">
        <x:v>30</x:v>
      </x:c>
      <x:c r="L349" t="n">
        <x:v>0</x:v>
      </x:c>
      <x:c r="M349" t="n">
        <x:v>0</x:v>
      </x:c>
      <x:c r="N349" t="n">
        <x:v>81.34236</x:v>
      </x:c>
      <x:c r="O349" t="n">
        <x:v>61</x:v>
      </x:c>
      <x:c r="P349" t="n">
        <x:v>0</x:v>
      </x:c>
      <x:c r="Q349" t="n">
        <x:v>0</x:v>
      </x:c>
      <x:c r="R349" t="n">
        <x:v>25.93</x:v>
      </x:c>
      <x:c r="S349" t="n">
        <x:v>48.82</x:v>
      </x:c>
      <x:c r="T349" t="str">
        <x:v>https://y.gtimg.cn/music/photo_new/T002R500x500M000002MLnIj1xJXLf_1.jpg</x:v>
      </x:c>
      <x:c r="U349" s="24" t="str">
        <x:f>IFERROR(VLOOKUP(I349,'07_字典与参数'!$G$5:$J$9,2,FALSE),"未入选")</x:f>
        <x:v>未入选</x:v>
      </x:c>
      <x:c r="V349" s="24" t="str">
        <x:f>IFERROR(VLOOKUP(I349,'07_字典与参数'!$G$5:$J$9,3,FALSE),"—")</x:f>
        <x:v>—</x:v>
      </x:c>
      <x:c r="W349" s="24" t="str">
        <x:f>IF(U349="未入选","否","是")</x:f>
        <x:v>否</x:v>
      </x:c>
    </x:row>
    <x:row r="350">
      <x:c r="A350" t="n">
        <x:v>202629</x:v>
      </x:c>
      <x:c r="B350" t="str">
        <x:v>第29期（07.20-07.26）</x:v>
      </x:c>
      <x:c r="C350" t="str">
        <x:v>2026-07-20</x:v>
      </x:c>
      <x:c r="D350" t="str">
        <x:v>2026-07-26</x:v>
      </x:c>
      <x:c r="E350" t="n">
        <x:v>146</x:v>
      </x:c>
      <x:c r="F350" t="n">
        <x:v>495396282</x:v>
      </x:c>
      <x:c r="G350" t="str">
        <x:v>一曲相思(欲问青天这人生有几何)</x:v>
      </x:c>
      <x:c r="H350" t="str">
        <x:v>海来阿木</x:v>
      </x:c>
      <x:c r="I350" t="str">
        <x:v>0029SPEq1UThNj</x:v>
      </x:c>
      <x:c r="J350" t="str">
        <x:v>False</x:v>
      </x:c>
      <x:c r="K350" t="n">
        <x:v>131</x:v>
      </x:c>
      <x:c r="L350" t="n">
        <x:v>0</x:v>
      </x:c>
      <x:c r="M350" t="n">
        <x:v>0</x:v>
      </x:c>
      <x:c r="N350" t="n">
        <x:v>81.31088</x:v>
      </x:c>
      <x:c r="O350" t="n">
        <x:v>70.48</x:v>
      </x:c>
      <x:c r="P350" t="n">
        <x:v>0</x:v>
      </x:c>
      <x:c r="Q350" t="n">
        <x:v>0</x:v>
      </x:c>
      <x:c r="R350" t="n">
        <x:v>11.35</x:v>
      </x:c>
      <x:c r="S350" t="n">
        <x:v>19.38</x:v>
      </x:c>
      <x:c r="T350" t="str">
        <x:v>https://y.gtimg.cn/music/photo_new/T002R500x500M0000034yzah0TRjti_1.jpg</x:v>
      </x:c>
      <x:c r="U350" s="24" t="str">
        <x:f>IFERROR(VLOOKUP(I350,'07_字典与参数'!$G$5:$J$9,2,FALSE),"未入选")</x:f>
        <x:v>未入选</x:v>
      </x:c>
      <x:c r="V350" s="24" t="str">
        <x:f>IFERROR(VLOOKUP(I350,'07_字典与参数'!$G$5:$J$9,3,FALSE),"—")</x:f>
        <x:v>—</x:v>
      </x:c>
      <x:c r="W350" s="24" t="str">
        <x:f>IF(U350="未入选","否","是")</x:f>
        <x:v>否</x:v>
      </x:c>
    </x:row>
    <x:row r="351">
      <x:c r="A351" t="n">
        <x:v>202629</x:v>
      </x:c>
      <x:c r="B351" t="str">
        <x:v>第29期（07.20-07.26）</x:v>
      </x:c>
      <x:c r="C351" t="str">
        <x:v>2026-07-20</x:v>
      </x:c>
      <x:c r="D351" t="str">
        <x:v>2026-07-26</x:v>
      </x:c>
      <x:c r="E351" t="n">
        <x:v>147</x:v>
      </x:c>
      <x:c r="F351" t="n">
        <x:v>492295463</x:v>
      </x:c>
      <x:c r="G351" t="str">
        <x:v>隐瞒</x:v>
      </x:c>
      <x:c r="H351" t="str">
        <x:v>TF_ING邓佳鑫</x:v>
      </x:c>
      <x:c r="I351" t="str">
        <x:v>002Bw7Br2V7OZF</x:v>
      </x:c>
      <x:c r="J351" t="str">
        <x:v>False</x:v>
      </x:c>
      <x:c r="K351" t="n">
        <x:v>136</x:v>
      </x:c>
      <x:c r="L351" t="n">
        <x:v>0</x:v>
      </x:c>
      <x:c r="M351" t="n">
        <x:v>0</x:v>
      </x:c>
      <x:c r="N351" t="n">
        <x:v>81.19437</x:v>
      </x:c>
      <x:c r="O351" t="n">
        <x:v>50.97</x:v>
      </x:c>
      <x:c r="P351" t="n">
        <x:v>0</x:v>
      </x:c>
      <x:c r="Q351" t="n">
        <x:v>0</x:v>
      </x:c>
      <x:c r="R351" t="n">
        <x:v>12.7</x:v>
      </x:c>
      <x:c r="S351" t="n">
        <x:v>52.92</x:v>
      </x:c>
      <x:c r="T351" t="str">
        <x:v>https://y.gtimg.cn/music/photo_new/T002R500x500M000004A6rAz2YPGz5_1.jpg</x:v>
      </x:c>
      <x:c r="U351" s="24" t="str">
        <x:f>IFERROR(VLOOKUP(I351,'07_字典与参数'!$G$5:$J$9,2,FALSE),"未入选")</x:f>
        <x:v>未入选</x:v>
      </x:c>
      <x:c r="V351" s="24" t="str">
        <x:f>IFERROR(VLOOKUP(I351,'07_字典与参数'!$G$5:$J$9,3,FALSE),"—")</x:f>
        <x:v>—</x:v>
      </x:c>
      <x:c r="W351" s="24" t="str">
        <x:f>IF(U351="未入选","否","是")</x:f>
        <x:v>否</x:v>
      </x:c>
    </x:row>
    <x:row r="352">
      <x:c r="A352" t="n">
        <x:v>202629</x:v>
      </x:c>
      <x:c r="B352" t="str">
        <x:v>第29期（07.20-07.26）</x:v>
      </x:c>
      <x:c r="C352" t="str">
        <x:v>2026-07-20</x:v>
      </x:c>
      <x:c r="D352" t="str">
        <x:v>2026-07-26</x:v>
      </x:c>
      <x:c r="E352" t="n">
        <x:v>148</x:v>
      </x:c>
      <x:c r="F352" t="n">
        <x:v>513183074</x:v>
      </x:c>
      <x:c r="G352" t="str">
        <x:v>老歌</x:v>
      </x:c>
      <x:c r="H352" t="str">
        <x:v>许嵩</x:v>
      </x:c>
      <x:c r="I352" t="str">
        <x:v>001dHWRw44FBP3</x:v>
      </x:c>
      <x:c r="J352" t="str">
        <x:v>False</x:v>
      </x:c>
      <x:c r="K352" t="n">
        <x:v>138</x:v>
      </x:c>
      <x:c r="L352" t="n">
        <x:v>0</x:v>
      </x:c>
      <x:c r="M352" t="n">
        <x:v>0</x:v>
      </x:c>
      <x:c r="N352" t="n">
        <x:v>81.1486</x:v>
      </x:c>
      <x:c r="O352" t="n">
        <x:v>69.43</x:v>
      </x:c>
      <x:c r="P352" t="n">
        <x:v>0</x:v>
      </x:c>
      <x:c r="Q352" t="n">
        <x:v>0</x:v>
      </x:c>
      <x:c r="R352" t="n">
        <x:v>3.05</x:v>
      </x:c>
      <x:c r="S352" t="n">
        <x:v>40.26</x:v>
      </x:c>
      <x:c r="T352" t="str">
        <x:v>https://y.gtimg.cn/music/photo_new/T002R500x500M000001Oqn952HAPRk_1.jpg</x:v>
      </x:c>
      <x:c r="U352" s="24" t="str">
        <x:f>IFERROR(VLOOKUP(I352,'07_字典与参数'!$G$5:$J$9,2,FALSE),"未入选")</x:f>
        <x:v>未入选</x:v>
      </x:c>
      <x:c r="V352" s="24" t="str">
        <x:f>IFERROR(VLOOKUP(I352,'07_字典与参数'!$G$5:$J$9,3,FALSE),"—")</x:f>
        <x:v>—</x:v>
      </x:c>
      <x:c r="W352" s="24" t="str">
        <x:f>IF(U352="未入选","否","是")</x:f>
        <x:v>否</x:v>
      </x:c>
    </x:row>
    <x:row r="353">
      <x:c r="A353" t="n">
        <x:v>202629</x:v>
      </x:c>
      <x:c r="B353" t="str">
        <x:v>第29期（07.20-07.26）</x:v>
      </x:c>
      <x:c r="C353" t="str">
        <x:v>2026-07-20</x:v>
      </x:c>
      <x:c r="D353" t="str">
        <x:v>2026-07-26</x:v>
      </x:c>
      <x:c r="E353" t="n">
        <x:v>149</x:v>
      </x:c>
      <x:c r="F353" t="n">
        <x:v>532082556</x:v>
      </x:c>
      <x:c r="G353" t="str">
        <x:v>Too Many Lies</x:v>
      </x:c>
      <x:c r="H353" t="str">
        <x:v>钱锟 (KUN)</x:v>
      </x:c>
      <x:c r="I353" t="str">
        <x:v>000ZXvVA0u0JGI</x:v>
      </x:c>
      <x:c r="J353" t="str">
        <x:v>False</x:v>
      </x:c>
      <x:c r="K353" t="n">
        <x:v>133</x:v>
      </x:c>
      <x:c r="L353" t="n">
        <x:v>0</x:v>
      </x:c>
      <x:c r="M353" t="n">
        <x:v>0</x:v>
      </x:c>
      <x:c r="N353" t="n">
        <x:v>80.9852</x:v>
      </x:c>
      <x:c r="O353" t="n">
        <x:v>51.28</x:v>
      </x:c>
      <x:c r="P353" t="n">
        <x:v>0</x:v>
      </x:c>
      <x:c r="Q353" t="n">
        <x:v>0</x:v>
      </x:c>
      <x:c r="R353" t="n">
        <x:v>44.1</x:v>
      </x:c>
      <x:c r="S353" t="n">
        <x:v>44.44</x:v>
      </x:c>
      <x:c r="T353" t="str">
        <x:v>https://y.gtimg.cn/music/photo_new/T002R500x500M000004fXplH0mttA1_1.jpg</x:v>
      </x:c>
      <x:c r="U353" s="24" t="str">
        <x:f>IFERROR(VLOOKUP(I353,'07_字典与参数'!$G$5:$J$9,2,FALSE),"未入选")</x:f>
        <x:v>未入选</x:v>
      </x:c>
      <x:c r="V353" s="24" t="str">
        <x:f>IFERROR(VLOOKUP(I353,'07_字典与参数'!$G$5:$J$9,3,FALSE),"—")</x:f>
        <x:v>—</x:v>
      </x:c>
      <x:c r="W353" s="24" t="str">
        <x:f>IF(U353="未入选","否","是")</x:f>
        <x:v>否</x:v>
      </x:c>
    </x:row>
    <x:row r="354">
      <x:c r="A354" t="n">
        <x:v>202629</x:v>
      </x:c>
      <x:c r="B354" t="str">
        <x:v>第29期（07.20-07.26）</x:v>
      </x:c>
      <x:c r="C354" t="str">
        <x:v>2026-07-20</x:v>
      </x:c>
      <x:c r="D354" t="str">
        <x:v>2026-07-26</x:v>
      </x:c>
      <x:c r="E354" t="n">
        <x:v>150</x:v>
      </x:c>
      <x:c r="F354" t="n">
        <x:v>533340250</x:v>
      </x:c>
      <x:c r="G354" t="str">
        <x:v>逞强</x:v>
      </x:c>
      <x:c r="H354" t="str">
        <x:v>丁禹兮</x:v>
      </x:c>
      <x:c r="I354" t="str">
        <x:v>002l3OmG2lEfdB</x:v>
      </x:c>
      <x:c r="J354" t="str">
        <x:v>False</x:v>
      </x:c>
      <x:c r="K354" t="n">
        <x:v>160</x:v>
      </x:c>
      <x:c r="L354" t="n">
        <x:v>0</x:v>
      </x:c>
      <x:c r="M354" t="n">
        <x:v>0</x:v>
      </x:c>
      <x:c r="N354" t="n">
        <x:v>80.97141</x:v>
      </x:c>
      <x:c r="O354" t="n">
        <x:v>65.76</x:v>
      </x:c>
      <x:c r="P354" t="n">
        <x:v>0</x:v>
      </x:c>
      <x:c r="Q354" t="n">
        <x:v>0</x:v>
      </x:c>
      <x:c r="R354" t="n">
        <x:v>25.53</x:v>
      </x:c>
      <x:c r="S354" t="n">
        <x:v>41.35</x:v>
      </x:c>
      <x:c r="T354" t="str">
        <x:v>https://y.gtimg.cn/music/photo_new/T002R500x500M000004HXwrK4YUDaz_1.jpg</x:v>
      </x:c>
      <x:c r="U354" s="24" t="str">
        <x:f>IFERROR(VLOOKUP(I354,'07_字典与参数'!$G$5:$J$9,2,FALSE),"未入选")</x:f>
        <x:v>未入选</x:v>
      </x:c>
      <x:c r="V354" s="24" t="str">
        <x:f>IFERROR(VLOOKUP(I354,'07_字典与参数'!$G$5:$J$9,3,FALSE),"—")</x:f>
        <x:v>—</x:v>
      </x:c>
      <x:c r="W354" s="24" t="str">
        <x:f>IF(U354="未入选","否","是")</x:f>
        <x:v>否</x:v>
      </x:c>
    </x:row>
    <x:row r="355">
      <x:c r="A355" t="n">
        <x:v>202629</x:v>
      </x:c>
      <x:c r="B355" t="str">
        <x:v>第29期（07.20-07.26）</x:v>
      </x:c>
      <x:c r="C355" t="str">
        <x:v>2026-07-20</x:v>
      </x:c>
      <x:c r="D355" t="str">
        <x:v>2026-07-26</x:v>
      </x:c>
      <x:c r="E355" t="n">
        <x:v>151</x:v>
      </x:c>
      <x:c r="F355" t="n">
        <x:v>532366382</x:v>
      </x:c>
      <x:c r="G355" t="str">
        <x:v>天色晚了</x:v>
      </x:c>
      <x:c r="H355" t="str">
        <x:v>张远</x:v>
      </x:c>
      <x:c r="I355" t="str">
        <x:v>0005ggKe3chYYK</x:v>
      </x:c>
      <x:c r="J355" t="str">
        <x:v>False</x:v>
      </x:c>
      <x:c r="K355" t="n">
        <x:v>106</x:v>
      </x:c>
      <x:c r="L355" t="n">
        <x:v>0</x:v>
      </x:c>
      <x:c r="M355" t="n">
        <x:v>0</x:v>
      </x:c>
      <x:c r="N355" t="n">
        <x:v>80.84681</x:v>
      </x:c>
      <x:c r="O355" t="n">
        <x:v>69.12</x:v>
      </x:c>
      <x:c r="P355" t="n">
        <x:v>0</x:v>
      </x:c>
      <x:c r="Q355" t="n">
        <x:v>0</x:v>
      </x:c>
      <x:c r="R355" t="n">
        <x:v>4.07</x:v>
      </x:c>
      <x:c r="S355" t="n">
        <x:v>36.22</x:v>
      </x:c>
      <x:c r="T355" t="str">
        <x:v>https://y.gtimg.cn/music/photo_new/T002R500x500M000004EF9yp3n5tuL_2.jpg</x:v>
      </x:c>
      <x:c r="U355" s="24" t="str">
        <x:f>IFERROR(VLOOKUP(I355,'07_字典与参数'!$G$5:$J$9,2,FALSE),"未入选")</x:f>
        <x:v>未入选</x:v>
      </x:c>
      <x:c r="V355" s="24" t="str">
        <x:f>IFERROR(VLOOKUP(I355,'07_字典与参数'!$G$5:$J$9,3,FALSE),"—")</x:f>
        <x:v>—</x:v>
      </x:c>
      <x:c r="W355" s="24" t="str">
        <x:f>IF(U355="未入选","否","是")</x:f>
        <x:v>否</x:v>
      </x:c>
    </x:row>
    <x:row r="356">
      <x:c r="A356" t="n">
        <x:v>202629</x:v>
      </x:c>
      <x:c r="B356" t="str">
        <x:v>第29期（07.20-07.26）</x:v>
      </x:c>
      <x:c r="C356" t="str">
        <x:v>2026-07-20</x:v>
      </x:c>
      <x:c r="D356" t="str">
        <x:v>2026-07-26</x:v>
      </x:c>
      <x:c r="E356" t="n">
        <x:v>152</x:v>
      </x:c>
      <x:c r="F356" t="n">
        <x:v>485736028</x:v>
      </x:c>
      <x:c r="G356" t="str">
        <x:v>Run Wild（向风而野）</x:v>
      </x:c>
      <x:c r="H356" t="str">
        <x:v>是晚星呀</x:v>
      </x:c>
      <x:c r="I356" t="str">
        <x:v>004dZt8y0kkzGX</x:v>
      </x:c>
      <x:c r="J356" t="str">
        <x:v>False</x:v>
      </x:c>
      <x:c r="K356" t="n">
        <x:v>150</x:v>
      </x:c>
      <x:c r="L356" t="n">
        <x:v>0</x:v>
      </x:c>
      <x:c r="M356" t="n">
        <x:v>0</x:v>
      </x:c>
      <x:c r="N356" t="n">
        <x:v>80.74642</x:v>
      </x:c>
      <x:c r="O356" t="n">
        <x:v>69.33</x:v>
      </x:c>
      <x:c r="P356" t="n">
        <x:v>0</x:v>
      </x:c>
      <x:c r="Q356" t="n">
        <x:v>0</x:v>
      </x:c>
      <x:c r="R356" t="n">
        <x:v>14.88</x:v>
      </x:c>
      <x:c r="S356" t="n">
        <x:v>21.04</x:v>
      </x:c>
      <x:c r="T356" t="str">
        <x:v>https://y.gtimg.cn/music/photo_new/T002R500x500M000002I05GE3f5zSh_3.jpg</x:v>
      </x:c>
      <x:c r="U356" s="24" t="str">
        <x:f>IFERROR(VLOOKUP(I356,'07_字典与参数'!$G$5:$J$9,2,FALSE),"未入选")</x:f>
        <x:v>未入选</x:v>
      </x:c>
      <x:c r="V356" s="24" t="str">
        <x:f>IFERROR(VLOOKUP(I356,'07_字典与参数'!$G$5:$J$9,3,FALSE),"—")</x:f>
        <x:v>—</x:v>
      </x:c>
      <x:c r="W356" s="24" t="str">
        <x:f>IF(U356="未入选","否","是")</x:f>
        <x:v>否</x:v>
      </x:c>
    </x:row>
    <x:row r="357">
      <x:c r="A357" t="n">
        <x:v>202629</x:v>
      </x:c>
      <x:c r="B357" t="str">
        <x:v>第29期（07.20-07.26）</x:v>
      </x:c>
      <x:c r="C357" t="str">
        <x:v>2026-07-20</x:v>
      </x:c>
      <x:c r="D357" t="str">
        <x:v>2026-07-26</x:v>
      </x:c>
      <x:c r="E357" t="n">
        <x:v>153</x:v>
      </x:c>
      <x:c r="F357" t="n">
        <x:v>512967685</x:v>
      </x:c>
      <x:c r="G357" t="str">
        <x:v>赤子</x:v>
      </x:c>
      <x:c r="H357" t="str">
        <x:v>周深</x:v>
      </x:c>
      <x:c r="I357" t="str">
        <x:v>0010pjD24VRte6</x:v>
      </x:c>
      <x:c r="J357" t="str">
        <x:v>False</x:v>
      </x:c>
      <x:c r="K357" t="n">
        <x:v>152</x:v>
      </x:c>
      <x:c r="L357" t="n">
        <x:v>0</x:v>
      </x:c>
      <x:c r="M357" t="n">
        <x:v>0</x:v>
      </x:c>
      <x:c r="N357" t="n">
        <x:v>80.73672</x:v>
      </x:c>
      <x:c r="O357" t="n">
        <x:v>63.79</x:v>
      </x:c>
      <x:c r="P357" t="n">
        <x:v>0</x:v>
      </x:c>
      <x:c r="Q357" t="n">
        <x:v>0</x:v>
      </x:c>
      <x:c r="R357" t="n">
        <x:v>10.27</x:v>
      </x:c>
      <x:c r="S357" t="n">
        <x:v>45.12</x:v>
      </x:c>
      <x:c r="T357" t="str">
        <x:v>https://y.qq.com/music/photo_new/T062R500x500M0000015O72c2P9HAO.jpg</x:v>
      </x:c>
      <x:c r="U357" s="24" t="str">
        <x:f>IFERROR(VLOOKUP(I357,'07_字典与参数'!$G$5:$J$9,2,FALSE),"未入选")</x:f>
        <x:v>未入选</x:v>
      </x:c>
      <x:c r="V357" s="24" t="str">
        <x:f>IFERROR(VLOOKUP(I357,'07_字典与参数'!$G$5:$J$9,3,FALSE),"—")</x:f>
        <x:v>—</x:v>
      </x:c>
      <x:c r="W357" s="24" t="str">
        <x:f>IF(U357="未入选","否","是")</x:f>
        <x:v>否</x:v>
      </x:c>
    </x:row>
    <x:row r="358">
      <x:c r="A358" t="n">
        <x:v>202629</x:v>
      </x:c>
      <x:c r="B358" t="str">
        <x:v>第29期（07.20-07.26）</x:v>
      </x:c>
      <x:c r="C358" t="str">
        <x:v>2026-07-20</x:v>
      </x:c>
      <x:c r="D358" t="str">
        <x:v>2026-07-26</x:v>
      </x:c>
      <x:c r="E358" t="n">
        <x:v>154</x:v>
      </x:c>
      <x:c r="F358" t="n">
        <x:v>513694963</x:v>
      </x:c>
      <x:c r="G358" t="str">
        <x:v>爱你是我的秘密</x:v>
      </x:c>
      <x:c r="H358" t="str">
        <x:v>庄淇玟29</x:v>
      </x:c>
      <x:c r="I358" t="str">
        <x:v>000fQYli0zRiOx</x:v>
      </x:c>
      <x:c r="J358" t="str">
        <x:v>False</x:v>
      </x:c>
      <x:c r="K358" t="n">
        <x:v>0</x:v>
      </x:c>
      <x:c r="L358" t="n">
        <x:v>0</x:v>
      </x:c>
      <x:c r="M358" t="n">
        <x:v>0</x:v>
      </x:c>
      <x:c r="N358" t="n">
        <x:v>80.62003</x:v>
      </x:c>
      <x:c r="O358" t="n">
        <x:v>68.5</x:v>
      </x:c>
      <x:c r="P358" t="n">
        <x:v>0</x:v>
      </x:c>
      <x:c r="Q358" t="n">
        <x:v>0</x:v>
      </x:c>
      <x:c r="R358" t="n">
        <x:v>5.29</x:v>
      </x:c>
      <x:c r="S358" t="n">
        <x:v>34.9</x:v>
      </x:c>
      <x:c r="T358" t="str">
        <x:v>https://y.gtimg.cn/music/photo_new/T002R500x500M000003Wra153uFebP_1.jpg</x:v>
      </x:c>
      <x:c r="U358" s="24" t="str">
        <x:f>IFERROR(VLOOKUP(I358,'07_字典与参数'!$G$5:$J$9,2,FALSE),"未入选")</x:f>
        <x:v>未入选</x:v>
      </x:c>
      <x:c r="V358" s="24" t="str">
        <x:f>IFERROR(VLOOKUP(I358,'07_字典与参数'!$G$5:$J$9,3,FALSE),"—")</x:f>
        <x:v>—</x:v>
      </x:c>
      <x:c r="W358" s="24" t="str">
        <x:f>IF(U358="未入选","否","是")</x:f>
        <x:v>否</x:v>
      </x:c>
    </x:row>
    <x:row r="359">
      <x:c r="A359" t="n">
        <x:v>202629</x:v>
      </x:c>
      <x:c r="B359" t="str">
        <x:v>第29期（07.20-07.26）</x:v>
      </x:c>
      <x:c r="C359" t="str">
        <x:v>2026-07-20</x:v>
      </x:c>
      <x:c r="D359" t="str">
        <x:v>2026-07-26</x:v>
      </x:c>
      <x:c r="E359" t="n">
        <x:v>155</x:v>
      </x:c>
      <x:c r="F359" t="n">
        <x:v>480650224</x:v>
      </x:c>
      <x:c r="G359" t="str">
        <x:v>世界之巅</x:v>
      </x:c>
      <x:c r="H359" t="str">
        <x:v>汪苏泷</x:v>
      </x:c>
      <x:c r="I359" t="str">
        <x:v>002DIIhu0OSRN1</x:v>
      </x:c>
      <x:c r="J359" t="str">
        <x:v>False</x:v>
      </x:c>
      <x:c r="K359" t="n">
        <x:v>167</x:v>
      </x:c>
      <x:c r="L359" t="n">
        <x:v>0</x:v>
      </x:c>
      <x:c r="M359" t="n">
        <x:v>0</x:v>
      </x:c>
      <x:c r="N359" t="n">
        <x:v>80.52485</x:v>
      </x:c>
      <x:c r="O359" t="n">
        <x:v>63.75</x:v>
      </x:c>
      <x:c r="P359" t="n">
        <x:v>0</x:v>
      </x:c>
      <x:c r="Q359" t="n">
        <x:v>0</x:v>
      </x:c>
      <x:c r="R359" t="n">
        <x:v>4.93</x:v>
      </x:c>
      <x:c r="S359" t="n">
        <x:v>44.9</x:v>
      </x:c>
      <x:c r="T359" t="str">
        <x:v>https://y.gtimg.cn/music/photo_new/T002R500x500M000000A1M903iHvyT_4.jpg</x:v>
      </x:c>
      <x:c r="U359" s="24" t="str">
        <x:f>IFERROR(VLOOKUP(I359,'07_字典与参数'!$G$5:$J$9,2,FALSE),"未入选")</x:f>
        <x:v>未入选</x:v>
      </x:c>
      <x:c r="V359" s="24" t="str">
        <x:f>IFERROR(VLOOKUP(I359,'07_字典与参数'!$G$5:$J$9,3,FALSE),"—")</x:f>
        <x:v>—</x:v>
      </x:c>
      <x:c r="W359" s="24" t="str">
        <x:f>IF(U359="未入选","否","是")</x:f>
        <x:v>否</x:v>
      </x:c>
    </x:row>
    <x:row r="360">
      <x:c r="A360" t="n">
        <x:v>202629</x:v>
      </x:c>
      <x:c r="B360" t="str">
        <x:v>第29期（07.20-07.26）</x:v>
      </x:c>
      <x:c r="C360" t="str">
        <x:v>2026-07-20</x:v>
      </x:c>
      <x:c r="D360" t="str">
        <x:v>2026-07-26</x:v>
      </x:c>
      <x:c r="E360" t="n">
        <x:v>156</x:v>
      </x:c>
      <x:c r="F360" t="n">
        <x:v>491996827</x:v>
      </x:c>
      <x:c r="G360" t="str">
        <x:v>别来无恙</x:v>
      </x:c>
      <x:c r="H360" t="str">
        <x:v>任素汐</x:v>
      </x:c>
      <x:c r="I360" t="str">
        <x:v>000bBKeM3mhVCL</x:v>
      </x:c>
      <x:c r="J360" t="str">
        <x:v>False</x:v>
      </x:c>
      <x:c r="K360" t="n">
        <x:v>146</x:v>
      </x:c>
      <x:c r="L360" t="n">
        <x:v>0</x:v>
      </x:c>
      <x:c r="M360" t="n">
        <x:v>0</x:v>
      </x:c>
      <x:c r="N360" t="n">
        <x:v>80.46619</x:v>
      </x:c>
      <x:c r="O360" t="n">
        <x:v>69.1</x:v>
      </x:c>
      <x:c r="P360" t="n">
        <x:v>0</x:v>
      </x:c>
      <x:c r="Q360" t="n">
        <x:v>0</x:v>
      </x:c>
      <x:c r="R360" t="n">
        <x:v>2.07</x:v>
      </x:c>
      <x:c r="S360" t="n">
        <x:v>27.29</x:v>
      </x:c>
      <x:c r="T360" t="str">
        <x:v>https://y.gtimg.cn/music/photo_new/T002R500x500M0000033vNiW2uLR2S_1.jpg</x:v>
      </x:c>
      <x:c r="U360" s="24" t="str">
        <x:f>IFERROR(VLOOKUP(I360,'07_字典与参数'!$G$5:$J$9,2,FALSE),"未入选")</x:f>
        <x:v>未入选</x:v>
      </x:c>
      <x:c r="V360" s="24" t="str">
        <x:f>IFERROR(VLOOKUP(I360,'07_字典与参数'!$G$5:$J$9,3,FALSE),"—")</x:f>
        <x:v>—</x:v>
      </x:c>
      <x:c r="W360" s="24" t="str">
        <x:f>IF(U360="未入选","否","是")</x:f>
        <x:v>否</x:v>
      </x:c>
    </x:row>
    <x:row r="361">
      <x:c r="A361" t="n">
        <x:v>202629</x:v>
      </x:c>
      <x:c r="B361" t="str">
        <x:v>第29期（07.20-07.26）</x:v>
      </x:c>
      <x:c r="C361" t="str">
        <x:v>2026-07-20</x:v>
      </x:c>
      <x:c r="D361" t="str">
        <x:v>2026-07-26</x:v>
      </x:c>
      <x:c r="E361" t="n">
        <x:v>157</x:v>
      </x:c>
      <x:c r="F361" t="n">
        <x:v>485769620</x:v>
      </x:c>
      <x:c r="G361" t="str">
        <x:v>月下煮茶</x:v>
      </x:c>
      <x:c r="H361" t="str">
        <x:v>陈佳</x:v>
      </x:c>
      <x:c r="I361" t="str">
        <x:v>002iOnEw2PFuF6</x:v>
      </x:c>
      <x:c r="J361" t="str">
        <x:v>False</x:v>
      </x:c>
      <x:c r="K361" t="n">
        <x:v>147</x:v>
      </x:c>
      <x:c r="L361" t="n">
        <x:v>0</x:v>
      </x:c>
      <x:c r="M361" t="n">
        <x:v>0</x:v>
      </x:c>
      <x:c r="N361" t="n">
        <x:v>80.42261</x:v>
      </x:c>
      <x:c r="O361" t="n">
        <x:v>68.94</x:v>
      </x:c>
      <x:c r="P361" t="n">
        <x:v>0</x:v>
      </x:c>
      <x:c r="Q361" t="n">
        <x:v>0</x:v>
      </x:c>
      <x:c r="R361" t="n">
        <x:v>3.83</x:v>
      </x:c>
      <x:c r="S361" t="n">
        <x:v>25.6</x:v>
      </x:c>
      <x:c r="T361" t="str">
        <x:v>https://y.gtimg.cn/music/photo_new/T002R500x500M0000001LdBa3HeROT_5.jpg</x:v>
      </x:c>
      <x:c r="U361" s="24" t="str">
        <x:f>IFERROR(VLOOKUP(I361,'07_字典与参数'!$G$5:$J$9,2,FALSE),"未入选")</x:f>
        <x:v>未入选</x:v>
      </x:c>
      <x:c r="V361" s="24" t="str">
        <x:f>IFERROR(VLOOKUP(I361,'07_字典与参数'!$G$5:$J$9,3,FALSE),"—")</x:f>
        <x:v>—</x:v>
      </x:c>
      <x:c r="W361" s="24" t="str">
        <x:f>IF(U361="未入选","否","是")</x:f>
        <x:v>否</x:v>
      </x:c>
    </x:row>
    <x:row r="362">
      <x:c r="A362" t="n">
        <x:v>202629</x:v>
      </x:c>
      <x:c r="B362" t="str">
        <x:v>第29期（07.20-07.26）</x:v>
      </x:c>
      <x:c r="C362" t="str">
        <x:v>2026-07-20</x:v>
      </x:c>
      <x:c r="D362" t="str">
        <x:v>2026-07-26</x:v>
      </x:c>
      <x:c r="E362" t="n">
        <x:v>158</x:v>
      </x:c>
      <x:c r="F362" t="n">
        <x:v>491996849</x:v>
      </x:c>
      <x:c r="G362" t="str">
        <x:v>张仙语三</x:v>
      </x:c>
      <x:c r="H362" t="str">
        <x:v>任素汐</x:v>
      </x:c>
      <x:c r="I362" t="str">
        <x:v>004Jrpe7322cCK</x:v>
      </x:c>
      <x:c r="J362" t="str">
        <x:v>False</x:v>
      </x:c>
      <x:c r="K362" t="n">
        <x:v>142</x:v>
      </x:c>
      <x:c r="L362" t="n">
        <x:v>0</x:v>
      </x:c>
      <x:c r="M362" t="n">
        <x:v>0</x:v>
      </x:c>
      <x:c r="N362" t="n">
        <x:v>80.4064</x:v>
      </x:c>
      <x:c r="O362" t="n">
        <x:v>69.18</x:v>
      </x:c>
      <x:c r="P362" t="n">
        <x:v>0</x:v>
      </x:c>
      <x:c r="Q362" t="n">
        <x:v>0</x:v>
      </x:c>
      <x:c r="R362" t="n">
        <x:v>3.07</x:v>
      </x:c>
      <x:c r="S362" t="n">
        <x:v>22.04</x:v>
      </x:c>
      <x:c r="T362" t="str">
        <x:v>https://y.gtimg.cn/music/photo_new/T002R500x500M0000033vNiW2uLR2S_1.jpg</x:v>
      </x:c>
      <x:c r="U362" s="24" t="str">
        <x:f>IFERROR(VLOOKUP(I362,'07_字典与参数'!$G$5:$J$9,2,FALSE),"未入选")</x:f>
        <x:v>未入选</x:v>
      </x:c>
      <x:c r="V362" s="24" t="str">
        <x:f>IFERROR(VLOOKUP(I362,'07_字典与参数'!$G$5:$J$9,3,FALSE),"—")</x:f>
        <x:v>—</x:v>
      </x:c>
      <x:c r="W362" s="24" t="str">
        <x:f>IF(U362="未入选","否","是")</x:f>
        <x:v>否</x:v>
      </x:c>
    </x:row>
    <x:row r="363">
      <x:c r="A363" t="n">
        <x:v>202629</x:v>
      </x:c>
      <x:c r="B363" t="str">
        <x:v>第29期（07.20-07.26）</x:v>
      </x:c>
      <x:c r="C363" t="str">
        <x:v>2026-07-20</x:v>
      </x:c>
      <x:c r="D363" t="str">
        <x:v>2026-07-26</x:v>
      </x:c>
      <x:c r="E363" t="n">
        <x:v>159</x:v>
      </x:c>
      <x:c r="F363" t="n">
        <x:v>531181249</x:v>
      </x:c>
      <x:c r="G363" t="str">
        <x:v>玄翎谣</x:v>
      </x:c>
      <x:c r="H363" t="str">
        <x:v>鸣潮先约电台,jkinss,薄荷_Miint</x:v>
      </x:c>
      <x:c r="I363" t="str">
        <x:v>000rB2Ck1bZTZW</x:v>
      </x:c>
      <x:c r="J363" t="str">
        <x:v>False</x:v>
      </x:c>
      <x:c r="K363" t="n">
        <x:v>115</x:v>
      </x:c>
      <x:c r="L363" t="n">
        <x:v>0</x:v>
      </x:c>
      <x:c r="M363" t="n">
        <x:v>0</x:v>
      </x:c>
      <x:c r="N363" t="n">
        <x:v>80.36885</x:v>
      </x:c>
      <x:c r="O363" t="n">
        <x:v>67.77</x:v>
      </x:c>
      <x:c r="P363" t="n">
        <x:v>0</x:v>
      </x:c>
      <x:c r="Q363" t="n">
        <x:v>0</x:v>
      </x:c>
      <x:c r="R363" t="n">
        <x:v>1.05</x:v>
      </x:c>
      <x:c r="S363" t="n">
        <x:v>37.25</x:v>
      </x:c>
      <x:c r="T363" t="str">
        <x:v>https://y.gtimg.cn/music/photo_new/T002R500x500M000001rovrt1tUywT_1.jpg</x:v>
      </x:c>
      <x:c r="U363" s="24" t="str">
        <x:f>IFERROR(VLOOKUP(I363,'07_字典与参数'!$G$5:$J$9,2,FALSE),"未入选")</x:f>
        <x:v>未入选</x:v>
      </x:c>
      <x:c r="V363" s="24" t="str">
        <x:f>IFERROR(VLOOKUP(I363,'07_字典与参数'!$G$5:$J$9,3,FALSE),"—")</x:f>
        <x:v>—</x:v>
      </x:c>
      <x:c r="W363" s="24" t="str">
        <x:f>IF(U363="未入选","否","是")</x:f>
        <x:v>否</x:v>
      </x:c>
    </x:row>
    <x:row r="364">
      <x:c r="A364" t="n">
        <x:v>202629</x:v>
      </x:c>
      <x:c r="B364" t="str">
        <x:v>第29期（07.20-07.26）</x:v>
      </x:c>
      <x:c r="C364" t="str">
        <x:v>2026-07-20</x:v>
      </x:c>
      <x:c r="D364" t="str">
        <x:v>2026-07-26</x:v>
      </x:c>
      <x:c r="E364" t="n">
        <x:v>160</x:v>
      </x:c>
      <x:c r="F364" t="n">
        <x:v>520238249</x:v>
      </x:c>
      <x:c r="G364" t="str">
        <x:v>看山</x:v>
      </x:c>
      <x:c r="H364" t="str">
        <x:v>方大树,灯叔</x:v>
      </x:c>
      <x:c r="I364" t="str">
        <x:v>00445tP34GOx8n</x:v>
      </x:c>
      <x:c r="J364" t="str">
        <x:v>False</x:v>
      </x:c>
      <x:c r="K364" t="n">
        <x:v>141</x:v>
      </x:c>
      <x:c r="L364" t="n">
        <x:v>0</x:v>
      </x:c>
      <x:c r="M364" t="n">
        <x:v>0</x:v>
      </x:c>
      <x:c r="N364" t="n">
        <x:v>80.28675</x:v>
      </x:c>
      <x:c r="O364" t="n">
        <x:v>67.76</x:v>
      </x:c>
      <x:c r="P364" t="n">
        <x:v>0</x:v>
      </x:c>
      <x:c r="Q364" t="n">
        <x:v>0</x:v>
      </x:c>
      <x:c r="R364" t="n">
        <x:v>5.27</x:v>
      </x:c>
      <x:c r="S364" t="n">
        <x:v>32.71</x:v>
      </x:c>
      <x:c r="T364" t="str">
        <x:v>https://y.gtimg.cn/music/photo_new/T002R500x500M000003lKa1y3gVIvi_1.jpg</x:v>
      </x:c>
      <x:c r="U364" s="24" t="str">
        <x:f>IFERROR(VLOOKUP(I364,'07_字典与参数'!$G$5:$J$9,2,FALSE),"未入选")</x:f>
        <x:v>未入选</x:v>
      </x:c>
      <x:c r="V364" s="24" t="str">
        <x:f>IFERROR(VLOOKUP(I364,'07_字典与参数'!$G$5:$J$9,3,FALSE),"—")</x:f>
        <x:v>—</x:v>
      </x:c>
      <x:c r="W364" s="24" t="str">
        <x:f>IF(U364="未入选","否","是")</x:f>
        <x:v>否</x:v>
      </x:c>
    </x:row>
    <x:row r="365">
      <x:c r="A365" t="n">
        <x:v>202629</x:v>
      </x:c>
      <x:c r="B365" t="str">
        <x:v>第29期（07.20-07.26）</x:v>
      </x:c>
      <x:c r="C365" t="str">
        <x:v>2026-07-20</x:v>
      </x:c>
      <x:c r="D365" t="str">
        <x:v>2026-07-26</x:v>
      </x:c>
      <x:c r="E365" t="n">
        <x:v>161</x:v>
      </x:c>
      <x:c r="F365" t="n">
        <x:v>480650225</x:v>
      </x:c>
      <x:c r="G365" t="str">
        <x:v>疯狂爱人</x:v>
      </x:c>
      <x:c r="H365" t="str">
        <x:v>汪苏泷</x:v>
      </x:c>
      <x:c r="I365" t="str">
        <x:v>001ObIOx0ODZvP</x:v>
      </x:c>
      <x:c r="J365" t="str">
        <x:v>False</x:v>
      </x:c>
      <x:c r="K365" t="n">
        <x:v>161</x:v>
      </x:c>
      <x:c r="L365" t="n">
        <x:v>0</x:v>
      </x:c>
      <x:c r="M365" t="n">
        <x:v>0</x:v>
      </x:c>
      <x:c r="N365" t="n">
        <x:v>80.28322</x:v>
      </x:c>
      <x:c r="O365" t="n">
        <x:v>63.52</x:v>
      </x:c>
      <x:c r="P365" t="n">
        <x:v>0</x:v>
      </x:c>
      <x:c r="Q365" t="n">
        <x:v>0</x:v>
      </x:c>
      <x:c r="R365" t="n">
        <x:v>4.24</x:v>
      </x:c>
      <x:c r="S365" t="n">
        <x:v>44.32</x:v>
      </x:c>
      <x:c r="T365" t="str">
        <x:v>https://y.gtimg.cn/music/photo_new/T002R500x500M000000A1M903iHvyT_4.jpg</x:v>
      </x:c>
      <x:c r="U365" s="24" t="str">
        <x:f>IFERROR(VLOOKUP(I365,'07_字典与参数'!$G$5:$J$9,2,FALSE),"未入选")</x:f>
        <x:v>未入选</x:v>
      </x:c>
      <x:c r="V365" s="24" t="str">
        <x:f>IFERROR(VLOOKUP(I365,'07_字典与参数'!$G$5:$J$9,3,FALSE),"—")</x:f>
        <x:v>—</x:v>
      </x:c>
      <x:c r="W365" s="24" t="str">
        <x:f>IF(U365="未入选","否","是")</x:f>
        <x:v>否</x:v>
      </x:c>
    </x:row>
    <x:row r="366">
      <x:c r="A366" t="n">
        <x:v>202629</x:v>
      </x:c>
      <x:c r="B366" t="str">
        <x:v>第29期（07.20-07.26）</x:v>
      </x:c>
      <x:c r="C366" t="str">
        <x:v>2026-07-20</x:v>
      </x:c>
      <x:c r="D366" t="str">
        <x:v>2026-07-26</x:v>
      </x:c>
      <x:c r="E366" t="n">
        <x:v>162</x:v>
      </x:c>
      <x:c r="F366" t="n">
        <x:v>533091713</x:v>
      </x:c>
      <x:c r="G366" t="str">
        <x:v>怎么两清（做回甲乙丙丁）</x:v>
      </x:c>
      <x:c r="H366" t="str">
        <x:v>欢子</x:v>
      </x:c>
      <x:c r="I366" t="str">
        <x:v>003vHvQJ4WWyuJ</x:v>
      </x:c>
      <x:c r="J366" t="str">
        <x:v>False</x:v>
      </x:c>
      <x:c r="K366" t="n">
        <x:v>0</x:v>
      </x:c>
      <x:c r="L366" t="n">
        <x:v>0</x:v>
      </x:c>
      <x:c r="M366" t="n">
        <x:v>0</x:v>
      </x:c>
      <x:c r="N366" t="n">
        <x:v>80.28259</x:v>
      </x:c>
      <x:c r="O366" t="n">
        <x:v>68.66</x:v>
      </x:c>
      <x:c r="P366" t="n">
        <x:v>0</x:v>
      </x:c>
      <x:c r="Q366" t="n">
        <x:v>0</x:v>
      </x:c>
      <x:c r="R366" t="n">
        <x:v>5.74</x:v>
      </x:c>
      <x:c r="S366" t="n">
        <x:v>20.87</x:v>
      </x:c>
      <x:c r="T366" t="str">
        <x:v>https://y.gtimg.cn/music/photo_new/T002R500x500M0000014nuEU3rdpSA_1.jpg</x:v>
      </x:c>
      <x:c r="U366" s="24" t="str">
        <x:f>IFERROR(VLOOKUP(I366,'07_字典与参数'!$G$5:$J$9,2,FALSE),"未入选")</x:f>
        <x:v>未入选</x:v>
      </x:c>
      <x:c r="V366" s="24" t="str">
        <x:f>IFERROR(VLOOKUP(I366,'07_字典与参数'!$G$5:$J$9,3,FALSE),"—")</x:f>
        <x:v>—</x:v>
      </x:c>
      <x:c r="W366" s="24" t="str">
        <x:f>IF(U366="未入选","否","是")</x:f>
        <x:v>否</x:v>
      </x:c>
    </x:row>
    <x:row r="367">
      <x:c r="A367" t="n">
        <x:v>202629</x:v>
      </x:c>
      <x:c r="B367" t="str">
        <x:v>第29期（07.20-07.26）</x:v>
      </x:c>
      <x:c r="C367" t="str">
        <x:v>2026-07-20</x:v>
      </x:c>
      <x:c r="D367" t="str">
        <x:v>2026-07-26</x:v>
      </x:c>
      <x:c r="E367" t="n">
        <x:v>163</x:v>
      </x:c>
      <x:c r="F367" t="n">
        <x:v>525085674</x:v>
      </x:c>
      <x:c r="G367" t="str">
        <x:v>In My Head</x:v>
      </x:c>
      <x:c r="H367" t="str">
        <x:v>MIKS</x:v>
      </x:c>
      <x:c r="I367" t="str">
        <x:v>000b8pg62ENzDu</x:v>
      </x:c>
      <x:c r="J367" t="str">
        <x:v>False</x:v>
      </x:c>
      <x:c r="K367" t="n">
        <x:v>105</x:v>
      </x:c>
      <x:c r="L367" t="n">
        <x:v>0</x:v>
      </x:c>
      <x:c r="M367" t="n">
        <x:v>0</x:v>
      </x:c>
      <x:c r="N367" t="n">
        <x:v>80.22642</x:v>
      </x:c>
      <x:c r="O367" t="n">
        <x:v>69.29</x:v>
      </x:c>
      <x:c r="P367" t="n">
        <x:v>0</x:v>
      </x:c>
      <x:c r="Q367" t="n">
        <x:v>0</x:v>
      </x:c>
      <x:c r="R367" t="n">
        <x:v>1.61</x:v>
      </x:c>
      <x:c r="S367" t="n">
        <x:v>7.53</x:v>
      </x:c>
      <x:c r="T367" t="str">
        <x:v>https://y.gtimg.cn/music/photo_new/T002R500x500M000003c6Y8R0h0KJ2_1.jpg</x:v>
      </x:c>
      <x:c r="U367" s="24" t="str">
        <x:f>IFERROR(VLOOKUP(I367,'07_字典与参数'!$G$5:$J$9,2,FALSE),"未入选")</x:f>
        <x:v>未入选</x:v>
      </x:c>
      <x:c r="V367" s="24" t="str">
        <x:f>IFERROR(VLOOKUP(I367,'07_字典与参数'!$G$5:$J$9,3,FALSE),"—")</x:f>
        <x:v>—</x:v>
      </x:c>
      <x:c r="W367" s="24" t="str">
        <x:f>IF(U367="未入选","否","是")</x:f>
        <x:v>否</x:v>
      </x:c>
    </x:row>
    <x:row r="368">
      <x:c r="A368" t="n">
        <x:v>202629</x:v>
      </x:c>
      <x:c r="B368" t="str">
        <x:v>第29期（07.20-07.26）</x:v>
      </x:c>
      <x:c r="C368" t="str">
        <x:v>2026-07-20</x:v>
      </x:c>
      <x:c r="D368" t="str">
        <x:v>2026-07-26</x:v>
      </x:c>
      <x:c r="E368" t="n">
        <x:v>164</x:v>
      </x:c>
      <x:c r="F368" t="n">
        <x:v>517370193</x:v>
      </x:c>
      <x:c r="G368" t="str">
        <x:v>怎么能</x:v>
      </x:c>
      <x:c r="H368" t="str">
        <x:v>侯明昊</x:v>
      </x:c>
      <x:c r="I368" t="str">
        <x:v>003NyZSD2d3zPD</x:v>
      </x:c>
      <x:c r="J368" t="str">
        <x:v>False</x:v>
      </x:c>
      <x:c r="K368" t="n">
        <x:v>154</x:v>
      </x:c>
      <x:c r="L368" t="n">
        <x:v>0</x:v>
      </x:c>
      <x:c r="M368" t="n">
        <x:v>0</x:v>
      </x:c>
      <x:c r="N368" t="n">
        <x:v>80.16562</x:v>
      </x:c>
      <x:c r="O368" t="n">
        <x:v>60.44</x:v>
      </x:c>
      <x:c r="P368" t="n">
        <x:v>0</x:v>
      </x:c>
      <x:c r="Q368" t="n">
        <x:v>0</x:v>
      </x:c>
      <x:c r="R368" t="n">
        <x:v>9.95</x:v>
      </x:c>
      <x:c r="S368" t="n">
        <x:v>47.2</x:v>
      </x:c>
      <x:c r="T368" t="str">
        <x:v>https://y.gtimg.cn/music/photo_new/T002R500x500M000000SnDwr12zILh_2.jpg</x:v>
      </x:c>
      <x:c r="U368" s="24" t="str">
        <x:f>IFERROR(VLOOKUP(I368,'07_字典与参数'!$G$5:$J$9,2,FALSE),"未入选")</x:f>
        <x:v>未入选</x:v>
      </x:c>
      <x:c r="V368" s="24" t="str">
        <x:f>IFERROR(VLOOKUP(I368,'07_字典与参数'!$G$5:$J$9,3,FALSE),"—")</x:f>
        <x:v>—</x:v>
      </x:c>
      <x:c r="W368" s="24" t="str">
        <x:f>IF(U368="未入选","否","是")</x:f>
        <x:v>否</x:v>
      </x:c>
    </x:row>
    <x:row r="369">
      <x:c r="A369" t="n">
        <x:v>202629</x:v>
      </x:c>
      <x:c r="B369" t="str">
        <x:v>第29期（07.20-07.26）</x:v>
      </x:c>
      <x:c r="C369" t="str">
        <x:v>2026-07-20</x:v>
      </x:c>
      <x:c r="D369" t="str">
        <x:v>2026-07-26</x:v>
      </x:c>
      <x:c r="E369" t="n">
        <x:v>165</x:v>
      </x:c>
      <x:c r="F369" t="n">
        <x:v>512483930</x:v>
      </x:c>
      <x:c r="G369" t="str">
        <x:v>满纸</x:v>
      </x:c>
      <x:c r="H369" t="str">
        <x:v>阿鲲</x:v>
      </x:c>
      <x:c r="I369" t="str">
        <x:v>001ifLic2K9S9m</x:v>
      </x:c>
      <x:c r="J369" t="str">
        <x:v>False</x:v>
      </x:c>
      <x:c r="K369" t="n">
        <x:v>170</x:v>
      </x:c>
      <x:c r="L369" t="n">
        <x:v>0</x:v>
      </x:c>
      <x:c r="M369" t="n">
        <x:v>0</x:v>
      </x:c>
      <x:c r="N369" t="n">
        <x:v>80.16551</x:v>
      </x:c>
      <x:c r="O369" t="n">
        <x:v>65.52</x:v>
      </x:c>
      <x:c r="P369" t="n">
        <x:v>0</x:v>
      </x:c>
      <x:c r="Q369" t="n">
        <x:v>0</x:v>
      </x:c>
      <x:c r="R369" t="n">
        <x:v>23.55</x:v>
      </x:c>
      <x:c r="S369" t="n">
        <x:v>33.43</x:v>
      </x:c>
      <x:c r="T369" t="str">
        <x:v>https://y.gtimg.cn/music/photo_new/T002R500x500M000003ZuKKp2FKC3S_1.jpg</x:v>
      </x:c>
      <x:c r="U369" s="24" t="str">
        <x:f>IFERROR(VLOOKUP(I369,'07_字典与参数'!$G$5:$J$9,2,FALSE),"未入选")</x:f>
        <x:v>未入选</x:v>
      </x:c>
      <x:c r="V369" s="24" t="str">
        <x:f>IFERROR(VLOOKUP(I369,'07_字典与参数'!$G$5:$J$9,3,FALSE),"—")</x:f>
        <x:v>—</x:v>
      </x:c>
      <x:c r="W369" s="24" t="str">
        <x:f>IF(U369="未入选","否","是")</x:f>
        <x:v>否</x:v>
      </x:c>
    </x:row>
    <x:row r="370">
      <x:c r="A370" t="n">
        <x:v>202629</x:v>
      </x:c>
      <x:c r="B370" t="str">
        <x:v>第29期（07.20-07.26）</x:v>
      </x:c>
      <x:c r="C370" t="str">
        <x:v>2026-07-20</x:v>
      </x:c>
      <x:c r="D370" t="str">
        <x:v>2026-07-26</x:v>
      </x:c>
      <x:c r="E370" t="n">
        <x:v>166</x:v>
      </x:c>
      <x:c r="F370" t="n">
        <x:v>490409162</x:v>
      </x:c>
      <x:c r="G370" t="str">
        <x:v>满心愧疚 </x:v>
      </x:c>
      <x:c r="H370" t="str">
        <x:v>金润吉</x:v>
      </x:c>
      <x:c r="I370" t="str">
        <x:v>003ht8Pb1OsDla</x:v>
      </x:c>
      <x:c r="J370" t="str">
        <x:v>False</x:v>
      </x:c>
      <x:c r="K370" t="n">
        <x:v>151</x:v>
      </x:c>
      <x:c r="L370" t="n">
        <x:v>0</x:v>
      </x:c>
      <x:c r="M370" t="n">
        <x:v>0</x:v>
      </x:c>
      <x:c r="N370" t="n">
        <x:v>80.1372</x:v>
      </x:c>
      <x:c r="O370" t="n">
        <x:v>67.94</x:v>
      </x:c>
      <x:c r="P370" t="n">
        <x:v>0</x:v>
      </x:c>
      <x:c r="Q370" t="n">
        <x:v>0</x:v>
      </x:c>
      <x:c r="R370" t="n">
        <x:v>11.14</x:v>
      </x:c>
      <x:c r="S370" t="n">
        <x:v>16.6</x:v>
      </x:c>
      <x:c r="T370" t="str">
        <x:v>https://y.gtimg.cn/music/photo_new/T002R500x500M000000cpsDu4LdGQl_1.jpg</x:v>
      </x:c>
      <x:c r="U370" s="24" t="str">
        <x:f>IFERROR(VLOOKUP(I370,'07_字典与参数'!$G$5:$J$9,2,FALSE),"未入选")</x:f>
        <x:v>未入选</x:v>
      </x:c>
      <x:c r="V370" s="24" t="str">
        <x:f>IFERROR(VLOOKUP(I370,'07_字典与参数'!$G$5:$J$9,3,FALSE),"—")</x:f>
        <x:v>—</x:v>
      </x:c>
      <x:c r="W370" s="24" t="str">
        <x:f>IF(U370="未入选","否","是")</x:f>
        <x:v>否</x:v>
      </x:c>
    </x:row>
    <x:row r="371">
      <x:c r="A371" t="n">
        <x:v>202629</x:v>
      </x:c>
      <x:c r="B371" t="str">
        <x:v>第29期（07.20-07.26）</x:v>
      </x:c>
      <x:c r="C371" t="str">
        <x:v>2026-07-20</x:v>
      </x:c>
      <x:c r="D371" t="str">
        <x:v>2026-07-26</x:v>
      </x:c>
      <x:c r="E371" t="n">
        <x:v>167</x:v>
      </x:c>
      <x:c r="F371" t="n">
        <x:v>513759604</x:v>
      </x:c>
      <x:c r="G371" t="str">
        <x:v>何故</x:v>
      </x:c>
      <x:c r="H371" t="str">
        <x:v>刘宇宁</x:v>
      </x:c>
      <x:c r="I371" t="str">
        <x:v>004SKGhv0yCThR</x:v>
      </x:c>
      <x:c r="J371" t="str">
        <x:v>False</x:v>
      </x:c>
      <x:c r="K371" t="n">
        <x:v>165</x:v>
      </x:c>
      <x:c r="L371" t="n">
        <x:v>0</x:v>
      </x:c>
      <x:c r="M371" t="n">
        <x:v>0</x:v>
      </x:c>
      <x:c r="N371" t="n">
        <x:v>80.05915</x:v>
      </x:c>
      <x:c r="O371" t="n">
        <x:v>62.55</x:v>
      </x:c>
      <x:c r="P371" t="n">
        <x:v>0</x:v>
      </x:c>
      <x:c r="Q371" t="n">
        <x:v>0</x:v>
      </x:c>
      <x:c r="R371" t="n">
        <x:v>11.1</x:v>
      </x:c>
      <x:c r="S371" t="n">
        <x:v>43.96</x:v>
      </x:c>
      <x:c r="T371" t="str">
        <x:v>https://y.qq.com/music/photo_new/T062R500x500M0000039N97f1Tefsr.jpg</x:v>
      </x:c>
      <x:c r="U371" s="24" t="str">
        <x:f>IFERROR(VLOOKUP(I371,'07_字典与参数'!$G$5:$J$9,2,FALSE),"未入选")</x:f>
        <x:v>未入选</x:v>
      </x:c>
      <x:c r="V371" s="24" t="str">
        <x:f>IFERROR(VLOOKUP(I371,'07_字典与参数'!$G$5:$J$9,3,FALSE),"—")</x:f>
        <x:v>—</x:v>
      </x:c>
      <x:c r="W371" s="24" t="str">
        <x:f>IF(U371="未入选","否","是")</x:f>
        <x:v>否</x:v>
      </x:c>
    </x:row>
    <x:row r="372">
      <x:c r="A372" t="n">
        <x:v>202629</x:v>
      </x:c>
      <x:c r="B372" t="str">
        <x:v>第29期（07.20-07.26）</x:v>
      </x:c>
      <x:c r="C372" t="str">
        <x:v>2026-07-20</x:v>
      </x:c>
      <x:c r="D372" t="str">
        <x:v>2026-07-26</x:v>
      </x:c>
      <x:c r="E372" t="n">
        <x:v>168</x:v>
      </x:c>
      <x:c r="F372" t="n">
        <x:v>493167498</x:v>
      </x:c>
      <x:c r="G372" t="str">
        <x:v>着火的沉默世界</x:v>
      </x:c>
      <x:c r="H372" t="str">
        <x:v>鞠婧祎</x:v>
      </x:c>
      <x:c r="I372" t="str">
        <x:v>001hEuIs1wa2cl</x:v>
      </x:c>
      <x:c r="J372" t="str">
        <x:v>False</x:v>
      </x:c>
      <x:c r="K372" t="n">
        <x:v>185</x:v>
      </x:c>
      <x:c r="L372" t="n">
        <x:v>0</x:v>
      </x:c>
      <x:c r="M372" t="n">
        <x:v>0</x:v>
      </x:c>
      <x:c r="N372" t="n">
        <x:v>80.03086</x:v>
      </x:c>
      <x:c r="O372" t="n">
        <x:v>57.7</x:v>
      </x:c>
      <x:c r="P372" t="n">
        <x:v>0</x:v>
      </x:c>
      <x:c r="Q372" t="n">
        <x:v>0</x:v>
      </x:c>
      <x:c r="R372" t="n">
        <x:v>2.79</x:v>
      </x:c>
      <x:c r="S372" t="n">
        <x:v>49.08</x:v>
      </x:c>
      <x:c r="T372" t="str">
        <x:v>https://y.gtimg.cn/music/photo_new/T002R500x500M000004KDXGi1hJ81f_1.jpg</x:v>
      </x:c>
      <x:c r="U372" s="24" t="str">
        <x:f>IFERROR(VLOOKUP(I372,'07_字典与参数'!$G$5:$J$9,2,FALSE),"未入选")</x:f>
        <x:v>未入选</x:v>
      </x:c>
      <x:c r="V372" s="24" t="str">
        <x:f>IFERROR(VLOOKUP(I372,'07_字典与参数'!$G$5:$J$9,3,FALSE),"—")</x:f>
        <x:v>—</x:v>
      </x:c>
      <x:c r="W372" s="24" t="str">
        <x:f>IF(U372="未入选","否","是")</x:f>
        <x:v>否</x:v>
      </x:c>
    </x:row>
    <x:row r="373">
      <x:c r="A373" t="n">
        <x:v>202629</x:v>
      </x:c>
      <x:c r="B373" t="str">
        <x:v>第29期（07.20-07.26）</x:v>
      </x:c>
      <x:c r="C373" t="str">
        <x:v>2026-07-20</x:v>
      </x:c>
      <x:c r="D373" t="str">
        <x:v>2026-07-26</x:v>
      </x:c>
      <x:c r="E373" t="n">
        <x:v>169</x:v>
      </x:c>
      <x:c r="F373" t="n">
        <x:v>531353214</x:v>
      </x:c>
      <x:c r="G373" t="str">
        <x:v>乐此不疲</x:v>
      </x:c>
      <x:c r="H373" t="str">
        <x:v>陈伟霆</x:v>
      </x:c>
      <x:c r="I373" t="str">
        <x:v>002X5EiS0uAdZb</x:v>
      </x:c>
      <x:c r="J373" t="str">
        <x:v>False</x:v>
      </x:c>
      <x:c r="K373" t="n">
        <x:v>77</x:v>
      </x:c>
      <x:c r="L373" t="n">
        <x:v>0</x:v>
      </x:c>
      <x:c r="M373" t="n">
        <x:v>0</x:v>
      </x:c>
      <x:c r="N373" t="n">
        <x:v>80.00515</x:v>
      </x:c>
      <x:c r="O373" t="n">
        <x:v>61.99</x:v>
      </x:c>
      <x:c r="P373" t="n">
        <x:v>0</x:v>
      </x:c>
      <x:c r="Q373" t="n">
        <x:v>0</x:v>
      </x:c>
      <x:c r="R373" t="n">
        <x:v>3.01</x:v>
      </x:c>
      <x:c r="S373" t="n">
        <x:v>45.31</x:v>
      </x:c>
      <x:c r="T373" t="str">
        <x:v>https://y.gtimg.cn/music/photo_new/T002R500x500M000002MRWBb0HhAAO_1.jpg</x:v>
      </x:c>
      <x:c r="U373" s="24" t="str">
        <x:f>IFERROR(VLOOKUP(I373,'07_字典与参数'!$G$5:$J$9,2,FALSE),"未入选")</x:f>
        <x:v>未入选</x:v>
      </x:c>
      <x:c r="V373" s="24" t="str">
        <x:f>IFERROR(VLOOKUP(I373,'07_字典与参数'!$G$5:$J$9,3,FALSE),"—")</x:f>
        <x:v>—</x:v>
      </x:c>
      <x:c r="W373" s="24" t="str">
        <x:f>IF(U373="未入选","否","是")</x:f>
        <x:v>否</x:v>
      </x:c>
    </x:row>
    <x:row r="374">
      <x:c r="A374" t="n">
        <x:v>202629</x:v>
      </x:c>
      <x:c r="B374" t="str">
        <x:v>第29期（07.20-07.26）</x:v>
      </x:c>
      <x:c r="C374" t="str">
        <x:v>2026-07-20</x:v>
      </x:c>
      <x:c r="D374" t="str">
        <x:v>2026-07-26</x:v>
      </x:c>
      <x:c r="E374" t="n">
        <x:v>170</x:v>
      </x:c>
      <x:c r="F374" t="n">
        <x:v>491667172</x:v>
      </x:c>
      <x:c r="G374" t="str">
        <x:v>我把心事说给风</x:v>
      </x:c>
      <x:c r="H374" t="str">
        <x:v>卡带森林</x:v>
      </x:c>
      <x:c r="I374" t="str">
        <x:v>000OQmxP3RSXvi</x:v>
      </x:c>
      <x:c r="J374" t="str">
        <x:v>False</x:v>
      </x:c>
      <x:c r="K374" t="n">
        <x:v>156</x:v>
      </x:c>
      <x:c r="L374" t="n">
        <x:v>0</x:v>
      </x:c>
      <x:c r="M374" t="n">
        <x:v>0</x:v>
      </x:c>
      <x:c r="N374" t="n">
        <x:v>79.4943</x:v>
      </x:c>
      <x:c r="O374" t="n">
        <x:v>64.24</x:v>
      </x:c>
      <x:c r="P374" t="n">
        <x:v>0</x:v>
      </x:c>
      <x:c r="Q374" t="n">
        <x:v>0</x:v>
      </x:c>
      <x:c r="R374" t="n">
        <x:v>25.51</x:v>
      </x:c>
      <x:c r="S374" t="n">
        <x:v>31.48</x:v>
      </x:c>
      <x:c r="T374" t="str">
        <x:v>https://y.gtimg.cn/music/photo_new/T002R500x500M000000IRsNV4XLaqL_1.jpg</x:v>
      </x:c>
      <x:c r="U374" s="24" t="str">
        <x:f>IFERROR(VLOOKUP(I374,'07_字典与参数'!$G$5:$J$9,2,FALSE),"未入选")</x:f>
        <x:v>未入选</x:v>
      </x:c>
      <x:c r="V374" s="24" t="str">
        <x:f>IFERROR(VLOOKUP(I374,'07_字典与参数'!$G$5:$J$9,3,FALSE),"—")</x:f>
        <x:v>—</x:v>
      </x:c>
      <x:c r="W374" s="24" t="str">
        <x:f>IF(U374="未入选","否","是")</x:f>
        <x:v>否</x:v>
      </x:c>
    </x:row>
    <x:row r="375">
      <x:c r="A375" t="n">
        <x:v>202629</x:v>
      </x:c>
      <x:c r="B375" t="str">
        <x:v>第29期（07.20-07.26）</x:v>
      </x:c>
      <x:c r="C375" t="str">
        <x:v>2026-07-20</x:v>
      </x:c>
      <x:c r="D375" t="str">
        <x:v>2026-07-26</x:v>
      </x:c>
      <x:c r="E375" t="n">
        <x:v>171</x:v>
      </x:c>
      <x:c r="F375" t="n">
        <x:v>532132066</x:v>
      </x:c>
      <x:c r="G375" t="str">
        <x:v>爱上你不是我决定</x:v>
      </x:c>
      <x:c r="H375" t="str">
        <x:v>萧敬腾,A-Lin</x:v>
      </x:c>
      <x:c r="I375" t="str">
        <x:v>003OqX3q1zfyWc</x:v>
      </x:c>
      <x:c r="J375" t="str">
        <x:v>False</x:v>
      </x:c>
      <x:c r="K375" t="n">
        <x:v>0</x:v>
      </x:c>
      <x:c r="L375" t="n">
        <x:v>0</x:v>
      </x:c>
      <x:c r="M375" t="n">
        <x:v>0</x:v>
      </x:c>
      <x:c r="N375" t="n">
        <x:v>79.48916</x:v>
      </x:c>
      <x:c r="O375" t="n">
        <x:v>66.86</x:v>
      </x:c>
      <x:c r="P375" t="n">
        <x:v>0</x:v>
      </x:c>
      <x:c r="Q375" t="n">
        <x:v>0</x:v>
      </x:c>
      <x:c r="R375" t="n">
        <x:v>1.79</x:v>
      </x:c>
      <x:c r="S375" t="n">
        <x:v>29.21</x:v>
      </x:c>
      <x:c r="T375" t="str">
        <x:v>https://y.gtimg.cn/music/photo_new/T002R500x500M000002SmGro3c7ENS_1.jpg</x:v>
      </x:c>
      <x:c r="U375" s="24" t="str">
        <x:f>IFERROR(VLOOKUP(I375,'07_字典与参数'!$G$5:$J$9,2,FALSE),"未入选")</x:f>
        <x:v>未入选</x:v>
      </x:c>
      <x:c r="V375" s="24" t="str">
        <x:f>IFERROR(VLOOKUP(I375,'07_字典与参数'!$G$5:$J$9,3,FALSE),"—")</x:f>
        <x:v>—</x:v>
      </x:c>
      <x:c r="W375" s="24" t="str">
        <x:f>IF(U375="未入选","否","是")</x:f>
        <x:v>否</x:v>
      </x:c>
    </x:row>
    <x:row r="376">
      <x:c r="A376" t="n">
        <x:v>202629</x:v>
      </x:c>
      <x:c r="B376" t="str">
        <x:v>第29期（07.20-07.26）</x:v>
      </x:c>
      <x:c r="C376" t="str">
        <x:v>2026-07-20</x:v>
      </x:c>
      <x:c r="D376" t="str">
        <x:v>2026-07-26</x:v>
      </x:c>
      <x:c r="E376" t="n">
        <x:v>172</x:v>
      </x:c>
      <x:c r="F376" t="n">
        <x:v>513260499</x:v>
      </x:c>
      <x:c r="G376" t="str">
        <x:v>FIND THE WAY</x:v>
      </x:c>
      <x:c r="H376" t="str">
        <x:v>鞠婧祎</x:v>
      </x:c>
      <x:c r="I376" t="str">
        <x:v>00437uBu1XnGlr</x:v>
      </x:c>
      <x:c r="J376" t="str">
        <x:v>False</x:v>
      </x:c>
      <x:c r="K376" t="n">
        <x:v>166</x:v>
      </x:c>
      <x:c r="L376" t="n">
        <x:v>0</x:v>
      </x:c>
      <x:c r="M376" t="n">
        <x:v>0</x:v>
      </x:c>
      <x:c r="N376" t="n">
        <x:v>79.40211</x:v>
      </x:c>
      <x:c r="O376" t="n">
        <x:v>62.14</x:v>
      </x:c>
      <x:c r="P376" t="n">
        <x:v>0</x:v>
      </x:c>
      <x:c r="Q376" t="n">
        <x:v>0</x:v>
      </x:c>
      <x:c r="R376" t="n">
        <x:v>9.28</x:v>
      </x:c>
      <x:c r="S376" t="n">
        <x:v>43.37</x:v>
      </x:c>
      <x:c r="T376" t="str">
        <x:v>https://y.gtimg.cn/music/photo_new/T002R500x500M000003Dwzfn4263MZ_1.jpg</x:v>
      </x:c>
      <x:c r="U376" s="24" t="str">
        <x:f>IFERROR(VLOOKUP(I376,'07_字典与参数'!$G$5:$J$9,2,FALSE),"未入选")</x:f>
        <x:v>未入选</x:v>
      </x:c>
      <x:c r="V376" s="24" t="str">
        <x:f>IFERROR(VLOOKUP(I376,'07_字典与参数'!$G$5:$J$9,3,FALSE),"—")</x:f>
        <x:v>—</x:v>
      </x:c>
      <x:c r="W376" s="24" t="str">
        <x:f>IF(U376="未入选","否","是")</x:f>
        <x:v>否</x:v>
      </x:c>
    </x:row>
    <x:row r="377">
      <x:c r="A377" t="n">
        <x:v>202629</x:v>
      </x:c>
      <x:c r="B377" t="str">
        <x:v>第29期（07.20-07.26）</x:v>
      </x:c>
      <x:c r="C377" t="str">
        <x:v>2026-07-20</x:v>
      </x:c>
      <x:c r="D377" t="str">
        <x:v>2026-07-26</x:v>
      </x:c>
      <x:c r="E377" t="n">
        <x:v>173</x:v>
      </x:c>
      <x:c r="F377" t="n">
        <x:v>531107833</x:v>
      </x:c>
      <x:c r="G377" t="str">
        <x:v>多年不见你过的好吗</x:v>
      </x:c>
      <x:c r="H377" t="str">
        <x:v>洛琦</x:v>
      </x:c>
      <x:c r="I377" t="str">
        <x:v>0048j6ba4I223C</x:v>
      </x:c>
      <x:c r="J377" t="str">
        <x:v>False</x:v>
      </x:c>
      <x:c r="K377" t="n">
        <x:v>0</x:v>
      </x:c>
      <x:c r="L377" t="n">
        <x:v>0</x:v>
      </x:c>
      <x:c r="M377" t="n">
        <x:v>0</x:v>
      </x:c>
      <x:c r="N377" t="n">
        <x:v>79.14581</x:v>
      </x:c>
      <x:c r="O377" t="n">
        <x:v>67.6</x:v>
      </x:c>
      <x:c r="P377" t="n">
        <x:v>0</x:v>
      </x:c>
      <x:c r="Q377" t="n">
        <x:v>0</x:v>
      </x:c>
      <x:c r="R377" t="n">
        <x:v>0.85</x:v>
      </x:c>
      <x:c r="S377" t="n">
        <x:v>3.24</x:v>
      </x:c>
      <x:c r="T377" t="str">
        <x:v>https://y.gtimg.cn/music/photo_new/T002R500x500M000003KpQnE4I6voF_1.jpg</x:v>
      </x:c>
      <x:c r="U377" s="24" t="str">
        <x:f>IFERROR(VLOOKUP(I377,'07_字典与参数'!$G$5:$J$9,2,FALSE),"未入选")</x:f>
        <x:v>未入选</x:v>
      </x:c>
      <x:c r="V377" s="24" t="str">
        <x:f>IFERROR(VLOOKUP(I377,'07_字典与参数'!$G$5:$J$9,3,FALSE),"—")</x:f>
        <x:v>—</x:v>
      </x:c>
      <x:c r="W377" s="24" t="str">
        <x:f>IF(U377="未入选","否","是")</x:f>
        <x:v>否</x:v>
      </x:c>
    </x:row>
    <x:row r="378">
      <x:c r="A378" t="n">
        <x:v>202629</x:v>
      </x:c>
      <x:c r="B378" t="str">
        <x:v>第29期（07.20-07.26）</x:v>
      </x:c>
      <x:c r="C378" t="str">
        <x:v>2026-07-20</x:v>
      </x:c>
      <x:c r="D378" t="str">
        <x:v>2026-07-26</x:v>
      </x:c>
      <x:c r="E378" t="n">
        <x:v>174</x:v>
      </x:c>
      <x:c r="F378" t="n">
        <x:v>531874518</x:v>
      </x:c>
      <x:c r="G378" t="str">
        <x:v>选择题</x:v>
      </x:c>
      <x:c r="H378" t="str">
        <x:v>鹭卓</x:v>
      </x:c>
      <x:c r="I378" t="str">
        <x:v>002ywSq61rnSBt</x:v>
      </x:c>
      <x:c r="J378" t="str">
        <x:v>False</x:v>
      </x:c>
      <x:c r="K378" t="n">
        <x:v>52</x:v>
      </x:c>
      <x:c r="L378" t="n">
        <x:v>0</x:v>
      </x:c>
      <x:c r="M378" t="n">
        <x:v>0</x:v>
      </x:c>
      <x:c r="N378" t="n">
        <x:v>79.1446</x:v>
      </x:c>
      <x:c r="O378" t="n">
        <x:v>60.09</x:v>
      </x:c>
      <x:c r="P378" t="n">
        <x:v>0</x:v>
      </x:c>
      <x:c r="Q378" t="n">
        <x:v>0</x:v>
      </x:c>
      <x:c r="R378" t="n">
        <x:v>2.28</x:v>
      </x:c>
      <x:c r="S378" t="n">
        <x:v>46.27</x:v>
      </x:c>
      <x:c r="T378" t="str">
        <x:v>https://y.gtimg.cn/music/photo_new/T002R500x500M000002c83pC3o9r3T_1.jpg</x:v>
      </x:c>
      <x:c r="U378" s="24" t="str">
        <x:f>IFERROR(VLOOKUP(I378,'07_字典与参数'!$G$5:$J$9,2,FALSE),"未入选")</x:f>
        <x:v>未入选</x:v>
      </x:c>
      <x:c r="V378" s="24" t="str">
        <x:f>IFERROR(VLOOKUP(I378,'07_字典与参数'!$G$5:$J$9,3,FALSE),"—")</x:f>
        <x:v>—</x:v>
      </x:c>
      <x:c r="W378" s="24" t="str">
        <x:f>IF(U378="未入选","否","是")</x:f>
        <x:v>否</x:v>
      </x:c>
    </x:row>
    <x:row r="379">
      <x:c r="A379" t="n">
        <x:v>202629</x:v>
      </x:c>
      <x:c r="B379" t="str">
        <x:v>第29期（07.20-07.26）</x:v>
      </x:c>
      <x:c r="C379" t="str">
        <x:v>2026-07-20</x:v>
      </x:c>
      <x:c r="D379" t="str">
        <x:v>2026-07-26</x:v>
      </x:c>
      <x:c r="E379" t="n">
        <x:v>175</x:v>
      </x:c>
      <x:c r="F379" t="n">
        <x:v>513183077</x:v>
      </x:c>
      <x:c r="G379" t="str">
        <x:v>忽略不计</x:v>
      </x:c>
      <x:c r="H379" t="str">
        <x:v>许嵩</x:v>
      </x:c>
      <x:c r="I379" t="str">
        <x:v>002ALgtr2b2Rdm</x:v>
      </x:c>
      <x:c r="J379" t="str">
        <x:v>False</x:v>
      </x:c>
      <x:c r="K379" t="n">
        <x:v>174</x:v>
      </x:c>
      <x:c r="L379" t="n">
        <x:v>0</x:v>
      </x:c>
      <x:c r="M379" t="n">
        <x:v>0</x:v>
      </x:c>
      <x:c r="N379" t="n">
        <x:v>79.10139</x:v>
      </x:c>
      <x:c r="O379" t="n">
        <x:v>65.34</x:v>
      </x:c>
      <x:c r="P379" t="n">
        <x:v>0</x:v>
      </x:c>
      <x:c r="Q379" t="n">
        <x:v>0</x:v>
      </x:c>
      <x:c r="R379" t="n">
        <x:v>4.35</x:v>
      </x:c>
      <x:c r="S379" t="n">
        <x:v>35.49</x:v>
      </x:c>
      <x:c r="T379" t="str">
        <x:v>https://y.gtimg.cn/music/photo_new/T002R500x500M000001Oqn952HAPRk_1.jpg</x:v>
      </x:c>
      <x:c r="U379" s="24" t="str">
        <x:f>IFERROR(VLOOKUP(I379,'07_字典与参数'!$G$5:$J$9,2,FALSE),"未入选")</x:f>
        <x:v>未入选</x:v>
      </x:c>
      <x:c r="V379" s="24" t="str">
        <x:f>IFERROR(VLOOKUP(I379,'07_字典与参数'!$G$5:$J$9,3,FALSE),"—")</x:f>
        <x:v>—</x:v>
      </x:c>
      <x:c r="W379" s="24" t="str">
        <x:f>IF(U379="未入选","否","是")</x:f>
        <x:v>否</x:v>
      </x:c>
    </x:row>
    <x:row r="380">
      <x:c r="A380" t="n">
        <x:v>202629</x:v>
      </x:c>
      <x:c r="B380" t="str">
        <x:v>第29期（07.20-07.26）</x:v>
      </x:c>
      <x:c r="C380" t="str">
        <x:v>2026-07-20</x:v>
      </x:c>
      <x:c r="D380" t="str">
        <x:v>2026-07-26</x:v>
      </x:c>
      <x:c r="E380" t="n">
        <x:v>176</x:v>
      </x:c>
      <x:c r="F380" t="n">
        <x:v>534736199</x:v>
      </x:c>
      <x:c r="G380" t="str">
        <x:v>Go 4 It! 就在此刻</x:v>
      </x:c>
      <x:c r="H380" t="str">
        <x:v>希林娜依高,LABUBU</x:v>
      </x:c>
      <x:c r="I380" t="str">
        <x:v>003lRSLZ0ujhzI</x:v>
      </x:c>
      <x:c r="J380" t="str">
        <x:v>False</x:v>
      </x:c>
      <x:c r="K380" t="n">
        <x:v>0</x:v>
      </x:c>
      <x:c r="L380" t="n">
        <x:v>0</x:v>
      </x:c>
      <x:c r="M380" t="n">
        <x:v>0</x:v>
      </x:c>
      <x:c r="N380" t="n">
        <x:v>78.68549</x:v>
      </x:c>
      <x:c r="O380" t="n">
        <x:v>62.7</x:v>
      </x:c>
      <x:c r="P380" t="n">
        <x:v>0</x:v>
      </x:c>
      <x:c r="Q380" t="n">
        <x:v>0</x:v>
      </x:c>
      <x:c r="R380" t="n">
        <x:v>2.64</x:v>
      </x:c>
      <x:c r="S380" t="n">
        <x:v>42.07</x:v>
      </x:c>
      <x:c r="T380" t="str">
        <x:v>https://y.gtimg.cn/music/photo_new/T002R500x500M000002SXsW130LJED_1.jpg</x:v>
      </x:c>
      <x:c r="U380" s="24" t="str">
        <x:f>IFERROR(VLOOKUP(I380,'07_字典与参数'!$G$5:$J$9,2,FALSE),"未入选")</x:f>
        <x:v>未入选</x:v>
      </x:c>
      <x:c r="V380" s="24" t="str">
        <x:f>IFERROR(VLOOKUP(I380,'07_字典与参数'!$G$5:$J$9,3,FALSE),"—")</x:f>
        <x:v>—</x:v>
      </x:c>
      <x:c r="W380" s="24" t="str">
        <x:f>IF(U380="未入选","否","是")</x:f>
        <x:v>否</x:v>
      </x:c>
    </x:row>
    <x:row r="381">
      <x:c r="A381" t="n">
        <x:v>202629</x:v>
      </x:c>
      <x:c r="B381" t="str">
        <x:v>第29期（07.20-07.26）</x:v>
      </x:c>
      <x:c r="C381" t="str">
        <x:v>2026-07-20</x:v>
      </x:c>
      <x:c r="D381" t="str">
        <x:v>2026-07-26</x:v>
      </x:c>
      <x:c r="E381" t="n">
        <x:v>177</x:v>
      </x:c>
      <x:c r="F381" t="n">
        <x:v>511768934</x:v>
      </x:c>
      <x:c r="G381" t="str">
        <x:v>我在意的</x:v>
      </x:c>
      <x:c r="H381" t="str">
        <x:v>单依纯</x:v>
      </x:c>
      <x:c r="I381" t="str">
        <x:v>003H0CGe1vL66I</x:v>
      </x:c>
      <x:c r="J381" t="str">
        <x:v>False</x:v>
      </x:c>
      <x:c r="K381" t="n">
        <x:v>169</x:v>
      </x:c>
      <x:c r="L381" t="n">
        <x:v>0</x:v>
      </x:c>
      <x:c r="M381" t="n">
        <x:v>0</x:v>
      </x:c>
      <x:c r="N381" t="n">
        <x:v>78.68536</x:v>
      </x:c>
      <x:c r="O381" t="n">
        <x:v>62.57</x:v>
      </x:c>
      <x:c r="P381" t="n">
        <x:v>0</x:v>
      </x:c>
      <x:c r="Q381" t="n">
        <x:v>0</x:v>
      </x:c>
      <x:c r="R381" t="n">
        <x:v>2.64</x:v>
      </x:c>
      <x:c r="S381" t="n">
        <x:v>42.23</x:v>
      </x:c>
      <x:c r="T381" t="str">
        <x:v>https://y.gtimg.cn/music/photo_new/T002R500x500M000000IAfgq0N42nF_1.jpg</x:v>
      </x:c>
      <x:c r="U381" s="24" t="str">
        <x:f>IFERROR(VLOOKUP(I381,'07_字典与参数'!$G$5:$J$9,2,FALSE),"未入选")</x:f>
        <x:v>未入选</x:v>
      </x:c>
      <x:c r="V381" s="24" t="str">
        <x:f>IFERROR(VLOOKUP(I381,'07_字典与参数'!$G$5:$J$9,3,FALSE),"—")</x:f>
        <x:v>—</x:v>
      </x:c>
      <x:c r="W381" s="24" t="str">
        <x:f>IF(U381="未入选","否","是")</x:f>
        <x:v>否</x:v>
      </x:c>
    </x:row>
    <x:row r="382">
      <x:c r="A382" t="n">
        <x:v>202629</x:v>
      </x:c>
      <x:c r="B382" t="str">
        <x:v>第29期（07.20-07.26）</x:v>
      </x:c>
      <x:c r="C382" t="str">
        <x:v>2026-07-20</x:v>
      </x:c>
      <x:c r="D382" t="str">
        <x:v>2026-07-26</x:v>
      </x:c>
      <x:c r="E382" t="n">
        <x:v>178</x:v>
      </x:c>
      <x:c r="F382" t="n">
        <x:v>491206570</x:v>
      </x:c>
      <x:c r="G382" t="str">
        <x:v>不再回头</x:v>
      </x:c>
      <x:c r="H382" t="str">
        <x:v>付豪</x:v>
      </x:c>
      <x:c r="I382" t="str">
        <x:v>003N7hJM4TsWfw</x:v>
      </x:c>
      <x:c r="J382" t="str">
        <x:v>False</x:v>
      </x:c>
      <x:c r="K382" t="n">
        <x:v>192</x:v>
      </x:c>
      <x:c r="L382" t="n">
        <x:v>0</x:v>
      </x:c>
      <x:c r="M382" t="n">
        <x:v>0</x:v>
      </x:c>
      <x:c r="N382" t="n">
        <x:v>78.3764</x:v>
      </x:c>
      <x:c r="O382" t="n">
        <x:v>65.53</x:v>
      </x:c>
      <x:c r="P382" t="n">
        <x:v>0</x:v>
      </x:c>
      <x:c r="Q382" t="n">
        <x:v>0</x:v>
      </x:c>
      <x:c r="R382" t="n">
        <x:v>8.09</x:v>
      </x:c>
      <x:c r="S382" t="n">
        <x:v>15.84</x:v>
      </x:c>
      <x:c r="T382" t="str">
        <x:v>https://y.gtimg.cn/music/photo_new/T002R500x500M00000255on64euYQH_2.jpg</x:v>
      </x:c>
      <x:c r="U382" s="24" t="str">
        <x:f>IFERROR(VLOOKUP(I382,'07_字典与参数'!$G$5:$J$9,2,FALSE),"未入选")</x:f>
        <x:v>未入选</x:v>
      </x:c>
      <x:c r="V382" s="24" t="str">
        <x:f>IFERROR(VLOOKUP(I382,'07_字典与参数'!$G$5:$J$9,3,FALSE),"—")</x:f>
        <x:v>—</x:v>
      </x:c>
      <x:c r="W382" s="24" t="str">
        <x:f>IF(U382="未入选","否","是")</x:f>
        <x:v>否</x:v>
      </x:c>
    </x:row>
    <x:row r="383">
      <x:c r="A383" t="n">
        <x:v>202629</x:v>
      </x:c>
      <x:c r="B383" t="str">
        <x:v>第29期（07.20-07.26）</x:v>
      </x:c>
      <x:c r="C383" t="str">
        <x:v>2026-07-20</x:v>
      </x:c>
      <x:c r="D383" t="str">
        <x:v>2026-07-26</x:v>
      </x:c>
      <x:c r="E383" t="n">
        <x:v>179</x:v>
      </x:c>
      <x:c r="F383" t="n">
        <x:v>532404571</x:v>
      </x:c>
      <x:c r="G383" t="str">
        <x:v>可以不难过</x:v>
      </x:c>
      <x:c r="H383" t="str">
        <x:v>海来阿木</x:v>
      </x:c>
      <x:c r="I383" t="str">
        <x:v>003GvjEH1LmVDt</x:v>
      </x:c>
      <x:c r="J383" t="str">
        <x:v>False</x:v>
      </x:c>
      <x:c r="K383" t="n">
        <x:v>190</x:v>
      </x:c>
      <x:c r="L383" t="n">
        <x:v>0</x:v>
      </x:c>
      <x:c r="M383" t="n">
        <x:v>0</x:v>
      </x:c>
      <x:c r="N383" t="n">
        <x:v>78.32057</x:v>
      </x:c>
      <x:c r="O383" t="n">
        <x:v>62.26</x:v>
      </x:c>
      <x:c r="P383" t="n">
        <x:v>0</x:v>
      </x:c>
      <x:c r="Q383" t="n">
        <x:v>0</x:v>
      </x:c>
      <x:c r="R383" t="n">
        <x:v>7.31</x:v>
      </x:c>
      <x:c r="S383" t="n">
        <x:v>41.49</x:v>
      </x:c>
      <x:c r="T383" t="str">
        <x:v>https://y.gtimg.cn/music/photo_new/T002R500x500M0000040CKrS34xIYd_3.jpg</x:v>
      </x:c>
      <x:c r="U383" s="24" t="str">
        <x:f>IFERROR(VLOOKUP(I383,'07_字典与参数'!$G$5:$J$9,2,FALSE),"未入选")</x:f>
        <x:v>未入选</x:v>
      </x:c>
      <x:c r="V383" s="24" t="str">
        <x:f>IFERROR(VLOOKUP(I383,'07_字典与参数'!$G$5:$J$9,3,FALSE),"—")</x:f>
        <x:v>—</x:v>
      </x:c>
      <x:c r="W383" s="24" t="str">
        <x:f>IF(U383="未入选","否","是")</x:f>
        <x:v>否</x:v>
      </x:c>
    </x:row>
    <x:row r="384">
      <x:c r="A384" t="n">
        <x:v>202629</x:v>
      </x:c>
      <x:c r="B384" t="str">
        <x:v>第29期（07.20-07.26）</x:v>
      </x:c>
      <x:c r="C384" t="str">
        <x:v>2026-07-20</x:v>
      </x:c>
      <x:c r="D384" t="str">
        <x:v>2026-07-26</x:v>
      </x:c>
      <x:c r="E384" t="n">
        <x:v>180</x:v>
      </x:c>
      <x:c r="F384" t="n">
        <x:v>491362536</x:v>
      </x:c>
      <x:c r="G384" t="str">
        <x:v>撞地球</x:v>
      </x:c>
      <x:c r="H384" t="str">
        <x:v>刘宇宁</x:v>
      </x:c>
      <x:c r="I384" t="str">
        <x:v>002dbfiy0u7BgF</x:v>
      </x:c>
      <x:c r="J384" t="str">
        <x:v>False</x:v>
      </x:c>
      <x:c r="K384" t="n">
        <x:v>181</x:v>
      </x:c>
      <x:c r="L384" t="n">
        <x:v>0</x:v>
      </x:c>
      <x:c r="M384" t="n">
        <x:v>0</x:v>
      </x:c>
      <x:c r="N384" t="n">
        <x:v>78.25476</x:v>
      </x:c>
      <x:c r="O384" t="n">
        <x:v>60.35</x:v>
      </x:c>
      <x:c r="P384" t="n">
        <x:v>0</x:v>
      </x:c>
      <x:c r="Q384" t="n">
        <x:v>0</x:v>
      </x:c>
      <x:c r="R384" t="n">
        <x:v>5.09</x:v>
      </x:c>
      <x:c r="S384" t="n">
        <x:v>44.06</x:v>
      </x:c>
      <x:c r="T384" t="str">
        <x:v>https://y.gtimg.cn/music/photo_new/T002R500x500M000000pBsrn0IgUVR_1.jpg</x:v>
      </x:c>
      <x:c r="U384" s="24" t="str">
        <x:f>IFERROR(VLOOKUP(I384,'07_字典与参数'!$G$5:$J$9,2,FALSE),"未入选")</x:f>
        <x:v>未入选</x:v>
      </x:c>
      <x:c r="V384" s="24" t="str">
        <x:f>IFERROR(VLOOKUP(I384,'07_字典与参数'!$G$5:$J$9,3,FALSE),"—")</x:f>
        <x:v>—</x:v>
      </x:c>
      <x:c r="W384" s="24" t="str">
        <x:f>IF(U384="未入选","否","是")</x:f>
        <x:v>否</x:v>
      </x:c>
    </x:row>
    <x:row r="385">
      <x:c r="A385" t="n">
        <x:v>202629</x:v>
      </x:c>
      <x:c r="B385" t="str">
        <x:v>第29期（07.20-07.26）</x:v>
      </x:c>
      <x:c r="C385" t="str">
        <x:v>2026-07-20</x:v>
      </x:c>
      <x:c r="D385" t="str">
        <x:v>2026-07-26</x:v>
      </x:c>
      <x:c r="E385" t="n">
        <x:v>181</x:v>
      </x:c>
      <x:c r="F385" t="n">
        <x:v>511757784</x:v>
      </x:c>
      <x:c r="G385" t="str">
        <x:v>亲爱的你，好久不见</x:v>
      </x:c>
      <x:c r="H385" t="str">
        <x:v>黄子弘凡,黄霄雲,孙楠,谭松韵,王铮亮,杨丞琳,姚晓棠,曾舜晞</x:v>
      </x:c>
      <x:c r="I385" t="str">
        <x:v>00357t7Q2cECO8</x:v>
      </x:c>
      <x:c r="J385" t="str">
        <x:v>False</x:v>
      </x:c>
      <x:c r="K385" t="n">
        <x:v>195</x:v>
      </x:c>
      <x:c r="L385" t="n">
        <x:v>0</x:v>
      </x:c>
      <x:c r="M385" t="n">
        <x:v>0</x:v>
      </x:c>
      <x:c r="N385" t="n">
        <x:v>78.22025</x:v>
      </x:c>
      <x:c r="O385" t="n">
        <x:v>61.24</x:v>
      </x:c>
      <x:c r="P385" t="n">
        <x:v>0</x:v>
      </x:c>
      <x:c r="Q385" t="n">
        <x:v>0</x:v>
      </x:c>
      <x:c r="R385" t="n">
        <x:v>3.23</x:v>
      </x:c>
      <x:c r="S385" t="n">
        <x:v>43.04</x:v>
      </x:c>
      <x:c r="T385" t="str">
        <x:v>https://y.gtimg.cn/music/photo_new/T002R500x500M000000aAeO742o2xC_1.jpg</x:v>
      </x:c>
      <x:c r="U385" s="24" t="str">
        <x:f>IFERROR(VLOOKUP(I385,'07_字典与参数'!$G$5:$J$9,2,FALSE),"未入选")</x:f>
        <x:v>未入选</x:v>
      </x:c>
      <x:c r="V385" s="24" t="str">
        <x:f>IFERROR(VLOOKUP(I385,'07_字典与参数'!$G$5:$J$9,3,FALSE),"—")</x:f>
        <x:v>—</x:v>
      </x:c>
      <x:c r="W385" s="24" t="str">
        <x:f>IF(U385="未入选","否","是")</x:f>
        <x:v>否</x:v>
      </x:c>
    </x:row>
    <x:row r="386">
      <x:c r="A386" t="n">
        <x:v>202629</x:v>
      </x:c>
      <x:c r="B386" t="str">
        <x:v>第29期（07.20-07.26）</x:v>
      </x:c>
      <x:c r="C386" t="str">
        <x:v>2026-07-20</x:v>
      </x:c>
      <x:c r="D386" t="str">
        <x:v>2026-07-26</x:v>
      </x:c>
      <x:c r="E386" t="n">
        <x:v>182</x:v>
      </x:c>
      <x:c r="F386" t="n">
        <x:v>533106155</x:v>
      </x:c>
      <x:c r="G386" t="str">
        <x:v>行舟</x:v>
      </x:c>
      <x:c r="H386" t="str">
        <x:v>王青</x:v>
      </x:c>
      <x:c r="I386" t="str">
        <x:v>004E2cw11gD3rO</x:v>
      </x:c>
      <x:c r="J386" t="str">
        <x:v>False</x:v>
      </x:c>
      <x:c r="K386" t="n">
        <x:v>0</x:v>
      </x:c>
      <x:c r="L386" t="n">
        <x:v>0</x:v>
      </x:c>
      <x:c r="M386" t="n">
        <x:v>0</x:v>
      </x:c>
      <x:c r="N386" t="n">
        <x:v>78.09852</x:v>
      </x:c>
      <x:c r="O386" t="n">
        <x:v>61.86</x:v>
      </x:c>
      <x:c r="P386" t="n">
        <x:v>0</x:v>
      </x:c>
      <x:c r="Q386" t="n">
        <x:v>0</x:v>
      </x:c>
      <x:c r="R386" t="n">
        <x:v>18.53</x:v>
      </x:c>
      <x:c r="S386" t="n">
        <x:v>40.44</x:v>
      </x:c>
      <x:c r="T386" t="str">
        <x:v>https://y.gtimg.cn/music/photo_new/T002R500x500M000001LdjQV1lJiRr_1.jpg</x:v>
      </x:c>
      <x:c r="U386" s="24" t="str">
        <x:f>IFERROR(VLOOKUP(I386,'07_字典与参数'!$G$5:$J$9,2,FALSE),"未入选")</x:f>
        <x:v>未入选</x:v>
      </x:c>
      <x:c r="V386" s="24" t="str">
        <x:f>IFERROR(VLOOKUP(I386,'07_字典与参数'!$G$5:$J$9,3,FALSE),"—")</x:f>
        <x:v>—</x:v>
      </x:c>
      <x:c r="W386" s="24" t="str">
        <x:f>IF(U386="未入选","否","是")</x:f>
        <x:v>否</x:v>
      </x:c>
    </x:row>
    <x:row r="387">
      <x:c r="A387" t="n">
        <x:v>202629</x:v>
      </x:c>
      <x:c r="B387" t="str">
        <x:v>第29期（07.20-07.26）</x:v>
      </x:c>
      <x:c r="C387" t="str">
        <x:v>2026-07-20</x:v>
      </x:c>
      <x:c r="D387" t="str">
        <x:v>2026-07-26</x:v>
      </x:c>
      <x:c r="E387" t="n">
        <x:v>183</x:v>
      </x:c>
      <x:c r="F387" t="n">
        <x:v>532518888</x:v>
      </x:c>
      <x:c r="G387" t="str">
        <x:v>都有这一天</x:v>
      </x:c>
      <x:c r="H387" t="str">
        <x:v>老中青民谣,小巷先生</x:v>
      </x:c>
      <x:c r="I387" t="str">
        <x:v>000hceWt1DIler</x:v>
      </x:c>
      <x:c r="J387" t="str">
        <x:v>False</x:v>
      </x:c>
      <x:c r="K387" t="n">
        <x:v>0</x:v>
      </x:c>
      <x:c r="L387" t="n">
        <x:v>0</x:v>
      </x:c>
      <x:c r="M387" t="n">
        <x:v>0</x:v>
      </x:c>
      <x:c r="N387" t="n">
        <x:v>78.04291</x:v>
      </x:c>
      <x:c r="O387" t="n">
        <x:v>63.63</x:v>
      </x:c>
      <x:c r="P387" t="n">
        <x:v>0</x:v>
      </x:c>
      <x:c r="Q387" t="n">
        <x:v>0</x:v>
      </x:c>
      <x:c r="R387" t="n">
        <x:v>1.94</x:v>
      </x:c>
      <x:c r="S387" t="n">
        <x:v>38.8</x:v>
      </x:c>
      <x:c r="T387" t="str">
        <x:v>https://y.gtimg.cn/music/photo_new/T002R500x500M000002CgPwJ1Sz9aU_1.jpg</x:v>
      </x:c>
      <x:c r="U387" s="24" t="str">
        <x:f>IFERROR(VLOOKUP(I387,'07_字典与参数'!$G$5:$J$9,2,FALSE),"未入选")</x:f>
        <x:v>未入选</x:v>
      </x:c>
      <x:c r="V387" s="24" t="str">
        <x:f>IFERROR(VLOOKUP(I387,'07_字典与参数'!$G$5:$J$9,3,FALSE),"—")</x:f>
        <x:v>—</x:v>
      </x:c>
      <x:c r="W387" s="24" t="str">
        <x:f>IF(U387="未入选","否","是")</x:f>
        <x:v>否</x:v>
      </x:c>
    </x:row>
    <x:row r="388">
      <x:c r="A388" t="n">
        <x:v>202629</x:v>
      </x:c>
      <x:c r="B388" t="str">
        <x:v>第29期（07.20-07.26）</x:v>
      </x:c>
      <x:c r="C388" t="str">
        <x:v>2026-07-20</x:v>
      </x:c>
      <x:c r="D388" t="str">
        <x:v>2026-07-26</x:v>
      </x:c>
      <x:c r="E388" t="n">
        <x:v>184</x:v>
      </x:c>
      <x:c r="F388" t="n">
        <x:v>534969021</x:v>
      </x:c>
      <x:c r="G388" t="str">
        <x:v>如果宇宙有答案</x:v>
      </x:c>
      <x:c r="H388" t="str">
        <x:v>黄子弘凡</x:v>
      </x:c>
      <x:c r="I388" t="str">
        <x:v>002qTvDL3ztpXl</x:v>
      </x:c>
      <x:c r="J388" t="str">
        <x:v>False</x:v>
      </x:c>
      <x:c r="K388" t="n">
        <x:v>0</x:v>
      </x:c>
      <x:c r="L388" t="n">
        <x:v>0</x:v>
      </x:c>
      <x:c r="M388" t="n">
        <x:v>0</x:v>
      </x:c>
      <x:c r="N388" t="n">
        <x:v>77.88731</x:v>
      </x:c>
      <x:c r="O388" t="n">
        <x:v>50.38</x:v>
      </x:c>
      <x:c r="P388" t="n">
        <x:v>0</x:v>
      </x:c>
      <x:c r="Q388" t="n">
        <x:v>0</x:v>
      </x:c>
      <x:c r="R388" t="n">
        <x:v>22.5</x:v>
      </x:c>
      <x:c r="S388" t="n">
        <x:v>46.39</x:v>
      </x:c>
      <x:c r="T388" t="str">
        <x:v>https://y.gtimg.cn/music/photo_new/T002R500x500M000002MComh0oKPHg_1.jpg</x:v>
      </x:c>
      <x:c r="U388" s="24" t="str">
        <x:f>IFERROR(VLOOKUP(I388,'07_字典与参数'!$G$5:$J$9,2,FALSE),"未入选")</x:f>
        <x:v>未入选</x:v>
      </x:c>
      <x:c r="V388" s="24" t="str">
        <x:f>IFERROR(VLOOKUP(I388,'07_字典与参数'!$G$5:$J$9,3,FALSE),"—")</x:f>
        <x:v>—</x:v>
      </x:c>
      <x:c r="W388" s="24" t="str">
        <x:f>IF(U388="未入选","否","是")</x:f>
        <x:v>否</x:v>
      </x:c>
    </x:row>
    <x:row r="389">
      <x:c r="A389" t="n">
        <x:v>202629</x:v>
      </x:c>
      <x:c r="B389" t="str">
        <x:v>第29期（07.20-07.26）</x:v>
      </x:c>
      <x:c r="C389" t="str">
        <x:v>2026-07-20</x:v>
      </x:c>
      <x:c r="D389" t="str">
        <x:v>2026-07-26</x:v>
      </x:c>
      <x:c r="E389" t="n">
        <x:v>185</x:v>
      </x:c>
      <x:c r="F389" t="n">
        <x:v>531377175</x:v>
      </x:c>
      <x:c r="G389" t="str">
        <x:v>破晓</x:v>
      </x:c>
      <x:c r="H389" t="str">
        <x:v>十个勤天</x:v>
      </x:c>
      <x:c r="I389" t="str">
        <x:v>0040bFEa46eiwG</x:v>
      </x:c>
      <x:c r="J389" t="str">
        <x:v>False</x:v>
      </x:c>
      <x:c r="K389" t="n">
        <x:v>127</x:v>
      </x:c>
      <x:c r="L389" t="n">
        <x:v>0</x:v>
      </x:c>
      <x:c r="M389" t="n">
        <x:v>0</x:v>
      </x:c>
      <x:c r="N389" t="n">
        <x:v>77.88566</x:v>
      </x:c>
      <x:c r="O389" t="n">
        <x:v>56.69</x:v>
      </x:c>
      <x:c r="P389" t="n">
        <x:v>0</x:v>
      </x:c>
      <x:c r="Q389" t="n">
        <x:v>0</x:v>
      </x:c>
      <x:c r="R389" t="n">
        <x:v>2.11</x:v>
      </x:c>
      <x:c r="S389" t="n">
        <x:v>45.74</x:v>
      </x:c>
      <x:c r="T389" t="str">
        <x:v>https://y.gtimg.cn/music/photo_new/T002R500x500M000003jlUc82XQcof_1.jpg</x:v>
      </x:c>
      <x:c r="U389" s="24" t="str">
        <x:f>IFERROR(VLOOKUP(I389,'07_字典与参数'!$G$5:$J$9,2,FALSE),"未入选")</x:f>
        <x:v>未入选</x:v>
      </x:c>
      <x:c r="V389" s="24" t="str">
        <x:f>IFERROR(VLOOKUP(I389,'07_字典与参数'!$G$5:$J$9,3,FALSE),"—")</x:f>
        <x:v>—</x:v>
      </x:c>
      <x:c r="W389" s="24" t="str">
        <x:f>IF(U389="未入选","否","是")</x:f>
        <x:v>否</x:v>
      </x:c>
    </x:row>
    <x:row r="390">
      <x:c r="A390" t="n">
        <x:v>202629</x:v>
      </x:c>
      <x:c r="B390" t="str">
        <x:v>第29期（07.20-07.26）</x:v>
      </x:c>
      <x:c r="C390" t="str">
        <x:v>2026-07-20</x:v>
      </x:c>
      <x:c r="D390" t="str">
        <x:v>2026-07-26</x:v>
      </x:c>
      <x:c r="E390" t="n">
        <x:v>186</x:v>
      </x:c>
      <x:c r="F390" t="n">
        <x:v>489778705</x:v>
      </x:c>
      <x:c r="G390" t="str">
        <x:v>Come What May</x:v>
      </x:c>
      <x:c r="H390" t="str">
        <x:v>王力宏</x:v>
      </x:c>
      <x:c r="I390" t="str">
        <x:v>00228bN72yDnTM</x:v>
      </x:c>
      <x:c r="J390" t="str">
        <x:v>False</x:v>
      </x:c>
      <x:c r="K390" t="n">
        <x:v>186</x:v>
      </x:c>
      <x:c r="L390" t="n">
        <x:v>0</x:v>
      </x:c>
      <x:c r="M390" t="n">
        <x:v>0</x:v>
      </x:c>
      <x:c r="N390" t="n">
        <x:v>77.78734</x:v>
      </x:c>
      <x:c r="O390" t="n">
        <x:v>62.12</x:v>
      </x:c>
      <x:c r="P390" t="n">
        <x:v>0</x:v>
      </x:c>
      <x:c r="Q390" t="n">
        <x:v>0</x:v>
      </x:c>
      <x:c r="R390" t="n">
        <x:v>11.25</x:v>
      </x:c>
      <x:c r="S390" t="n">
        <x:v>40.3</x:v>
      </x:c>
      <x:c r="T390" t="str">
        <x:v>https://y.gtimg.cn/music/photo_new/T002R500x500M000000S79v91L2U6W_1.jpg</x:v>
      </x:c>
      <x:c r="U390" s="24" t="str">
        <x:f>IFERROR(VLOOKUP(I390,'07_字典与参数'!$G$5:$J$9,2,FALSE),"未入选")</x:f>
        <x:v>未入选</x:v>
      </x:c>
      <x:c r="V390" s="24" t="str">
        <x:f>IFERROR(VLOOKUP(I390,'07_字典与参数'!$G$5:$J$9,3,FALSE),"—")</x:f>
        <x:v>—</x:v>
      </x:c>
      <x:c r="W390" s="24" t="str">
        <x:f>IF(U390="未入选","否","是")</x:f>
        <x:v>否</x:v>
      </x:c>
    </x:row>
    <x:row r="391">
      <x:c r="A391" t="n">
        <x:v>202629</x:v>
      </x:c>
      <x:c r="B391" t="str">
        <x:v>第29期（07.20-07.26）</x:v>
      </x:c>
      <x:c r="C391" t="str">
        <x:v>2026-07-20</x:v>
      </x:c>
      <x:c r="D391" t="str">
        <x:v>2026-07-26</x:v>
      </x:c>
      <x:c r="E391" t="n">
        <x:v>187</x:v>
      </x:c>
      <x:c r="F391" t="n">
        <x:v>531452780</x:v>
      </x:c>
      <x:c r="G391" t="str">
        <x:v>我那么爱你怎么说忘就能忘</x:v>
      </x:c>
      <x:c r="H391" t="str">
        <x:v>洋澜一</x:v>
      </x:c>
      <x:c r="I391" t="str">
        <x:v>000dGaDs1MuYfd</x:v>
      </x:c>
      <x:c r="J391" t="str">
        <x:v>False</x:v>
      </x:c>
      <x:c r="K391" t="n">
        <x:v>178</x:v>
      </x:c>
      <x:c r="L391" t="n">
        <x:v>0</x:v>
      </x:c>
      <x:c r="M391" t="n">
        <x:v>0</x:v>
      </x:c>
      <x:c r="N391" t="n">
        <x:v>77.66039</x:v>
      </x:c>
      <x:c r="O391" t="n">
        <x:v>64.22</x:v>
      </x:c>
      <x:c r="P391" t="n">
        <x:v>0</x:v>
      </x:c>
      <x:c r="Q391" t="n">
        <x:v>0</x:v>
      </x:c>
      <x:c r="R391" t="n">
        <x:v>7.17</x:v>
      </x:c>
      <x:c r="S391" t="n">
        <x:v>23.76</x:v>
      </x:c>
      <x:c r="T391" t="str">
        <x:v>https://y.gtimg.cn/music/photo_new/T002R500x500M000000OGtfB3RtxiT_1.jpg</x:v>
      </x:c>
      <x:c r="U391" s="24" t="str">
        <x:f>IFERROR(VLOOKUP(I391,'07_字典与参数'!$G$5:$J$9,2,FALSE),"未入选")</x:f>
        <x:v>未入选</x:v>
      </x:c>
      <x:c r="V391" s="24" t="str">
        <x:f>IFERROR(VLOOKUP(I391,'07_字典与参数'!$G$5:$J$9,3,FALSE),"—")</x:f>
        <x:v>—</x:v>
      </x:c>
      <x:c r="W391" s="24" t="str">
        <x:f>IF(U391="未入选","否","是")</x:f>
        <x:v>否</x:v>
      </x:c>
    </x:row>
    <x:row r="392">
      <x:c r="A392" t="n">
        <x:v>202629</x:v>
      </x:c>
      <x:c r="B392" t="str">
        <x:v>第29期（07.20-07.26）</x:v>
      </x:c>
      <x:c r="C392" t="str">
        <x:v>2026-07-20</x:v>
      </x:c>
      <x:c r="D392" t="str">
        <x:v>2026-07-26</x:v>
      </x:c>
      <x:c r="E392" t="n">
        <x:v>188</x:v>
      </x:c>
      <x:c r="F392" t="n">
        <x:v>530827080</x:v>
      </x:c>
      <x:c r="G392" t="str">
        <x:v>止不住想念（长夜漫漫孤单）</x:v>
      </x:c>
      <x:c r="H392" t="str">
        <x:v>素音,痴情小杰</x:v>
      </x:c>
      <x:c r="I392" t="str">
        <x:v>002jcYaS3KDd1a</x:v>
      </x:c>
      <x:c r="J392" t="str">
        <x:v>False</x:v>
      </x:c>
      <x:c r="K392" t="n">
        <x:v>0</x:v>
      </x:c>
      <x:c r="L392" t="n">
        <x:v>0</x:v>
      </x:c>
      <x:c r="M392" t="n">
        <x:v>0</x:v>
      </x:c>
      <x:c r="N392" t="n">
        <x:v>77.53964</x:v>
      </x:c>
      <x:c r="O392" t="n">
        <x:v>64.8</x:v>
      </x:c>
      <x:c r="P392" t="n">
        <x:v>0</x:v>
      </x:c>
      <x:c r="Q392" t="n">
        <x:v>0</x:v>
      </x:c>
      <x:c r="R392" t="n">
        <x:v>1.9</x:v>
      </x:c>
      <x:c r="S392" t="n">
        <x:v>17.78</x:v>
      </x:c>
      <x:c r="T392" t="str">
        <x:v>https://y.gtimg.cn/music/photo_new/T002R500x500M000004GUEKI0DLc48_1.jpg</x:v>
      </x:c>
      <x:c r="U392" s="24" t="str">
        <x:f>IFERROR(VLOOKUP(I392,'07_字典与参数'!$G$5:$J$9,2,FALSE),"未入选")</x:f>
        <x:v>未入选</x:v>
      </x:c>
      <x:c r="V392" s="24" t="str">
        <x:f>IFERROR(VLOOKUP(I392,'07_字典与参数'!$G$5:$J$9,3,FALSE),"—")</x:f>
        <x:v>—</x:v>
      </x:c>
      <x:c r="W392" s="24" t="str">
        <x:f>IF(U392="未入选","否","是")</x:f>
        <x:v>否</x:v>
      </x:c>
    </x:row>
    <x:row r="393">
      <x:c r="A393" t="n">
        <x:v>202629</x:v>
      </x:c>
      <x:c r="B393" t="str">
        <x:v>第29期（07.20-07.26）</x:v>
      </x:c>
      <x:c r="C393" t="str">
        <x:v>2026-07-20</x:v>
      </x:c>
      <x:c r="D393" t="str">
        <x:v>2026-07-26</x:v>
      </x:c>
      <x:c r="E393" t="n">
        <x:v>189</x:v>
      </x:c>
      <x:c r="F393" t="n">
        <x:v>531088711</x:v>
      </x:c>
      <x:c r="G393" t="str">
        <x:v>炙光</x:v>
      </x:c>
      <x:c r="H393" t="str">
        <x:v>张碧晨,侯明昊</x:v>
      </x:c>
      <x:c r="I393" t="str">
        <x:v>000cuQPZ0n0D1B</x:v>
      </x:c>
      <x:c r="J393" t="str">
        <x:v>False</x:v>
      </x:c>
      <x:c r="K393" t="n">
        <x:v>172</x:v>
      </x:c>
      <x:c r="L393" t="n">
        <x:v>0</x:v>
      </x:c>
      <x:c r="M393" t="n">
        <x:v>0</x:v>
      </x:c>
      <x:c r="N393" t="n">
        <x:v>77.51117</x:v>
      </x:c>
      <x:c r="O393" t="n">
        <x:v>62.5</x:v>
      </x:c>
      <x:c r="P393" t="n">
        <x:v>0</x:v>
      </x:c>
      <x:c r="Q393" t="n">
        <x:v>0</x:v>
      </x:c>
      <x:c r="R393" t="n">
        <x:v>4.9</x:v>
      </x:c>
      <x:c r="S393" t="n">
        <x:v>39.94</x:v>
      </x:c>
      <x:c r="T393" t="str">
        <x:v>https://y.qq.com/music/photo_new/T062R500x500M000004GHilm2q2DjB.jpg</x:v>
      </x:c>
      <x:c r="U393" s="24" t="str">
        <x:f>IFERROR(VLOOKUP(I393,'07_字典与参数'!$G$5:$J$9,2,FALSE),"未入选")</x:f>
        <x:v>未入选</x:v>
      </x:c>
      <x:c r="V393" s="24" t="str">
        <x:f>IFERROR(VLOOKUP(I393,'07_字典与参数'!$G$5:$J$9,3,FALSE),"—")</x:f>
        <x:v>—</x:v>
      </x:c>
      <x:c r="W393" s="24" t="str">
        <x:f>IF(U393="未入选","否","是")</x:f>
        <x:v>否</x:v>
      </x:c>
    </x:row>
    <x:row r="394">
      <x:c r="A394" t="n">
        <x:v>202629</x:v>
      </x:c>
      <x:c r="B394" t="str">
        <x:v>第29期（07.20-07.26）</x:v>
      </x:c>
      <x:c r="C394" t="str">
        <x:v>2026-07-20</x:v>
      </x:c>
      <x:c r="D394" t="str">
        <x:v>2026-07-26</x:v>
      </x:c>
      <x:c r="E394" t="n">
        <x:v>190</x:v>
      </x:c>
      <x:c r="F394" t="n">
        <x:v>534194774</x:v>
      </x:c>
      <x:c r="G394" t="str">
        <x:v>剧本之外</x:v>
      </x:c>
      <x:c r="H394" t="str">
        <x:v>张彬彬</x:v>
      </x:c>
      <x:c r="I394" t="str">
        <x:v>0018DxS14JLLMs</x:v>
      </x:c>
      <x:c r="J394" t="str">
        <x:v>False</x:v>
      </x:c>
      <x:c r="K394" t="n">
        <x:v>0</x:v>
      </x:c>
      <x:c r="L394" t="n">
        <x:v>0</x:v>
      </x:c>
      <x:c r="M394" t="n">
        <x:v>0</x:v>
      </x:c>
      <x:c r="N394" t="n">
        <x:v>77.36655</x:v>
      </x:c>
      <x:c r="O394" t="n">
        <x:v>52.19</x:v>
      </x:c>
      <x:c r="P394" t="n">
        <x:v>0</x:v>
      </x:c>
      <x:c r="Q394" t="n">
        <x:v>0</x:v>
      </x:c>
      <x:c r="R394" t="n">
        <x:v>37.29</x:v>
      </x:c>
      <x:c r="S394" t="n">
        <x:v>39.9</x:v>
      </x:c>
      <x:c r="T394" t="str">
        <x:v>https://y.gtimg.cn/music/photo_new/T002R500x500M000002YdNeZ0ENytt_1.jpg</x:v>
      </x:c>
      <x:c r="U394" s="24" t="str">
        <x:f>IFERROR(VLOOKUP(I394,'07_字典与参数'!$G$5:$J$9,2,FALSE),"未入选")</x:f>
        <x:v>未入选</x:v>
      </x:c>
      <x:c r="V394" s="24" t="str">
        <x:f>IFERROR(VLOOKUP(I394,'07_字典与参数'!$G$5:$J$9,3,FALSE),"—")</x:f>
        <x:v>—</x:v>
      </x:c>
      <x:c r="W394" s="24" t="str">
        <x:f>IF(U394="未入选","否","是")</x:f>
        <x:v>否</x:v>
      </x:c>
    </x:row>
    <x:row r="395">
      <x:c r="A395" t="n">
        <x:v>202629</x:v>
      </x:c>
      <x:c r="B395" t="str">
        <x:v>第29期（07.20-07.26）</x:v>
      </x:c>
      <x:c r="C395" t="str">
        <x:v>2026-07-20</x:v>
      </x:c>
      <x:c r="D395" t="str">
        <x:v>2026-07-26</x:v>
      </x:c>
      <x:c r="E395" t="n">
        <x:v>191</x:v>
      </x:c>
      <x:c r="F395" t="n">
        <x:v>516829621</x:v>
      </x:c>
      <x:c r="G395" t="str">
        <x:v>定玄</x:v>
      </x:c>
      <x:c r="H395" t="str">
        <x:v>鸣潮先约电台,黄霄雲,杨秉音</x:v>
      </x:c>
      <x:c r="I395" t="str">
        <x:v>001XB38U0c31Hk</x:v>
      </x:c>
      <x:c r="J395" t="str">
        <x:v>False</x:v>
      </x:c>
      <x:c r="K395" t="n">
        <x:v>184</x:v>
      </x:c>
      <x:c r="L395" t="n">
        <x:v>0</x:v>
      </x:c>
      <x:c r="M395" t="n">
        <x:v>0</x:v>
      </x:c>
      <x:c r="N395" t="n">
        <x:v>77.36577</x:v>
      </x:c>
      <x:c r="O395" t="n">
        <x:v>62.56</x:v>
      </x:c>
      <x:c r="P395" t="n">
        <x:v>0</x:v>
      </x:c>
      <x:c r="Q395" t="n">
        <x:v>0</x:v>
      </x:c>
      <x:c r="R395" t="n">
        <x:v>0.58</x:v>
      </x:c>
      <x:c r="S395" t="n">
        <x:v>40.1</x:v>
      </x:c>
      <x:c r="T395" t="str">
        <x:v>https://y.gtimg.cn/music/photo_new/T002R500x500M00000087mKB1xbyP2_1.jpg</x:v>
      </x:c>
      <x:c r="U395" s="24" t="str">
        <x:f>IFERROR(VLOOKUP(I395,'07_字典与参数'!$G$5:$J$9,2,FALSE),"未入选")</x:f>
        <x:v>未入选</x:v>
      </x:c>
      <x:c r="V395" s="24" t="str">
        <x:f>IFERROR(VLOOKUP(I395,'07_字典与参数'!$G$5:$J$9,3,FALSE),"—")</x:f>
        <x:v>—</x:v>
      </x:c>
      <x:c r="W395" s="24" t="str">
        <x:f>IF(U395="未入选","否","是")</x:f>
        <x:v>否</x:v>
      </x:c>
    </x:row>
    <x:row r="396">
      <x:c r="A396" t="n">
        <x:v>202629</x:v>
      </x:c>
      <x:c r="B396" t="str">
        <x:v>第29期（07.20-07.26）</x:v>
      </x:c>
      <x:c r="C396" t="str">
        <x:v>2026-07-20</x:v>
      </x:c>
      <x:c r="D396" t="str">
        <x:v>2026-07-26</x:v>
      </x:c>
      <x:c r="E396" t="n">
        <x:v>192</x:v>
      </x:c>
      <x:c r="F396" t="n">
        <x:v>530732609</x:v>
      </x:c>
      <x:c r="G396" t="str">
        <x:v>梦中的阿哥</x:v>
      </x:c>
      <x:c r="H396" t="str">
        <x:v>梅度</x:v>
      </x:c>
      <x:c r="I396" t="str">
        <x:v>003e2ZAa32mybA</x:v>
      </x:c>
      <x:c r="J396" t="str">
        <x:v>False</x:v>
      </x:c>
      <x:c r="K396" t="n">
        <x:v>158</x:v>
      </x:c>
      <x:c r="L396" t="n">
        <x:v>0</x:v>
      </x:c>
      <x:c r="M396" t="n">
        <x:v>0</x:v>
      </x:c>
      <x:c r="N396" t="n">
        <x:v>77.30888</x:v>
      </x:c>
      <x:c r="O396" t="n">
        <x:v>62.37</x:v>
      </x:c>
      <x:c r="P396" t="n">
        <x:v>0</x:v>
      </x:c>
      <x:c r="Q396" t="n">
        <x:v>0</x:v>
      </x:c>
      <x:c r="R396" t="n">
        <x:v>11.07</x:v>
      </x:c>
      <x:c r="S396" t="n">
        <x:v>34.87</x:v>
      </x:c>
      <x:c r="T396" t="str">
        <x:v>https://y.gtimg.cn/music/photo_new/T002R500x500M000000bmqZw0jSGvI_2.jpg</x:v>
      </x:c>
      <x:c r="U396" s="24" t="str">
        <x:f>IFERROR(VLOOKUP(I396,'07_字典与参数'!$G$5:$J$9,2,FALSE),"未入选")</x:f>
        <x:v>未入选</x:v>
      </x:c>
      <x:c r="V396" s="24" t="str">
        <x:f>IFERROR(VLOOKUP(I396,'07_字典与参数'!$G$5:$J$9,3,FALSE),"—")</x:f>
        <x:v>—</x:v>
      </x:c>
      <x:c r="W396" s="24" t="str">
        <x:f>IF(U396="未入选","否","是")</x:f>
        <x:v>否</x:v>
      </x:c>
    </x:row>
    <x:row r="397">
      <x:c r="A397" t="n">
        <x:v>202629</x:v>
      </x:c>
      <x:c r="B397" t="str">
        <x:v>第29期（07.20-07.26）</x:v>
      </x:c>
      <x:c r="C397" t="str">
        <x:v>2026-07-20</x:v>
      </x:c>
      <x:c r="D397" t="str">
        <x:v>2026-07-26</x:v>
      </x:c>
      <x:c r="E397" t="n">
        <x:v>193</x:v>
      </x:c>
      <x:c r="F397" t="n">
        <x:v>507698529</x:v>
      </x:c>
      <x:c r="G397" t="str">
        <x:v>我不哭</x:v>
      </x:c>
      <x:c r="H397" t="str">
        <x:v>王栎鑫</x:v>
      </x:c>
      <x:c r="I397" t="str">
        <x:v>001aOKKO2hKwPS</x:v>
      </x:c>
      <x:c r="J397" t="str">
        <x:v>False</x:v>
      </x:c>
      <x:c r="K397" t="n">
        <x:v>0</x:v>
      </x:c>
      <x:c r="L397" t="n">
        <x:v>0</x:v>
      </x:c>
      <x:c r="M397" t="n">
        <x:v>0</x:v>
      </x:c>
      <x:c r="N397" t="n">
        <x:v>77.21976</x:v>
      </x:c>
      <x:c r="O397" t="n">
        <x:v>63.36</x:v>
      </x:c>
      <x:c r="P397" t="n">
        <x:v>0</x:v>
      </x:c>
      <x:c r="Q397" t="n">
        <x:v>0</x:v>
      </x:c>
      <x:c r="R397" t="n">
        <x:v>7.39</x:v>
      </x:c>
      <x:c r="S397" t="n">
        <x:v>27.22</x:v>
      </x:c>
      <x:c r="T397" t="str">
        <x:v>https://y.gtimg.cn/music/photo_new/T002R500x500M000004NsgMq3MP454_2.jpg</x:v>
      </x:c>
      <x:c r="U397" s="24" t="str">
        <x:f>IFERROR(VLOOKUP(I397,'07_字典与参数'!$G$5:$J$9,2,FALSE),"未入选")</x:f>
        <x:v>未入选</x:v>
      </x:c>
      <x:c r="V397" s="24" t="str">
        <x:f>IFERROR(VLOOKUP(I397,'07_字典与参数'!$G$5:$J$9,3,FALSE),"—")</x:f>
        <x:v>—</x:v>
      </x:c>
      <x:c r="W397" s="24" t="str">
        <x:f>IF(U397="未入选","否","是")</x:f>
        <x:v>否</x:v>
      </x:c>
    </x:row>
    <x:row r="398">
      <x:c r="A398" t="n">
        <x:v>202629</x:v>
      </x:c>
      <x:c r="B398" t="str">
        <x:v>第29期（07.20-07.26）</x:v>
      </x:c>
      <x:c r="C398" t="str">
        <x:v>2026-07-20</x:v>
      </x:c>
      <x:c r="D398" t="str">
        <x:v>2026-07-26</x:v>
      </x:c>
      <x:c r="E398" t="n">
        <x:v>194</x:v>
      </x:c>
      <x:c r="F398" t="n">
        <x:v>512029569</x:v>
      </x:c>
      <x:c r="G398" t="str">
        <x:v>曾经</x:v>
      </x:c>
      <x:c r="H398" t="str">
        <x:v>丁禹兮</x:v>
      </x:c>
      <x:c r="I398" t="str">
        <x:v>000oZ1Wv2I3ZIG</x:v>
      </x:c>
      <x:c r="J398" t="str">
        <x:v>False</x:v>
      </x:c>
      <x:c r="K398" t="n">
        <x:v>198</x:v>
      </x:c>
      <x:c r="L398" t="n">
        <x:v>0</x:v>
      </x:c>
      <x:c r="M398" t="n">
        <x:v>0</x:v>
      </x:c>
      <x:c r="N398" t="n">
        <x:v>77.21506</x:v>
      </x:c>
      <x:c r="O398" t="n">
        <x:v>62.71</x:v>
      </x:c>
      <x:c r="P398" t="n">
        <x:v>0</x:v>
      </x:c>
      <x:c r="Q398" t="n">
        <x:v>0</x:v>
      </x:c>
      <x:c r="R398" t="n">
        <x:v>6.71</x:v>
      </x:c>
      <x:c r="S398" t="n">
        <x:v>34.02</x:v>
      </x:c>
      <x:c r="T398" t="str">
        <x:v>https://y.gtimg.cn/music/photo_new/T002R500x500M0000035gLmv3onPz1_2.jpg</x:v>
      </x:c>
      <x:c r="U398" s="24" t="str">
        <x:f>IFERROR(VLOOKUP(I398,'07_字典与参数'!$G$5:$J$9,2,FALSE),"未入选")</x:f>
        <x:v>未入选</x:v>
      </x:c>
      <x:c r="V398" s="24" t="str">
        <x:f>IFERROR(VLOOKUP(I398,'07_字典与参数'!$G$5:$J$9,3,FALSE),"—")</x:f>
        <x:v>—</x:v>
      </x:c>
      <x:c r="W398" s="24" t="str">
        <x:f>IF(U398="未入选","否","是")</x:f>
        <x:v>否</x:v>
      </x:c>
    </x:row>
    <x:row r="399">
      <x:c r="A399" t="n">
        <x:v>202629</x:v>
      </x:c>
      <x:c r="B399" t="str">
        <x:v>第29期（07.20-07.26）</x:v>
      </x:c>
      <x:c r="C399" t="str">
        <x:v>2026-07-20</x:v>
      </x:c>
      <x:c r="D399" t="str">
        <x:v>2026-07-26</x:v>
      </x:c>
      <x:c r="E399" t="n">
        <x:v>195</x:v>
      </x:c>
      <x:c r="F399" t="n">
        <x:v>531066631</x:v>
      </x:c>
      <x:c r="G399" t="str">
        <x:v>我爱上一个女孩</x:v>
      </x:c>
      <x:c r="H399" t="str">
        <x:v>李幼白</x:v>
      </x:c>
      <x:c r="I399" t="str">
        <x:v>002ta8Fu2Eabuz</x:v>
      </x:c>
      <x:c r="J399" t="str">
        <x:v>False</x:v>
      </x:c>
      <x:c r="K399" t="n">
        <x:v>0</x:v>
      </x:c>
      <x:c r="L399" t="n">
        <x:v>0</x:v>
      </x:c>
      <x:c r="M399" t="n">
        <x:v>0</x:v>
      </x:c>
      <x:c r="N399" t="n">
        <x:v>77.20453</x:v>
      </x:c>
      <x:c r="O399" t="n">
        <x:v>62.78</x:v>
      </x:c>
      <x:c r="P399" t="n">
        <x:v>0</x:v>
      </x:c>
      <x:c r="Q399" t="n">
        <x:v>0</x:v>
      </x:c>
      <x:c r="R399" t="n">
        <x:v>0.73</x:v>
      </x:c>
      <x:c r="S399" t="n">
        <x:v>37.13</x:v>
      </x:c>
      <x:c r="T399" t="str">
        <x:v>https://y.gtimg.cn/music/photo_new/T002R500x500M000001f1Q7T0ayUTb_1.jpg</x:v>
      </x:c>
      <x:c r="U399" s="24" t="str">
        <x:f>IFERROR(VLOOKUP(I399,'07_字典与参数'!$G$5:$J$9,2,FALSE),"未入选")</x:f>
        <x:v>未入选</x:v>
      </x:c>
      <x:c r="V399" s="24" t="str">
        <x:f>IFERROR(VLOOKUP(I399,'07_字典与参数'!$G$5:$J$9,3,FALSE),"—")</x:f>
        <x:v>—</x:v>
      </x:c>
      <x:c r="W399" s="24" t="str">
        <x:f>IF(U399="未入选","否","是")</x:f>
        <x:v>否</x:v>
      </x:c>
    </x:row>
    <x:row r="400">
      <x:c r="A400" t="n">
        <x:v>202629</x:v>
      </x:c>
      <x:c r="B400" t="str">
        <x:v>第29期（07.20-07.26）</x:v>
      </x:c>
      <x:c r="C400" t="str">
        <x:v>2026-07-20</x:v>
      </x:c>
      <x:c r="D400" t="str">
        <x:v>2026-07-26</x:v>
      </x:c>
      <x:c r="E400" t="n">
        <x:v>196</x:v>
      </x:c>
      <x:c r="F400" t="n">
        <x:v>532417393</x:v>
      </x:c>
      <x:c r="G400" t="str">
        <x:v>长眠</x:v>
      </x:c>
      <x:c r="H400" t="str">
        <x:v>Suki刘舒妤</x:v>
      </x:c>
      <x:c r="I400" t="str">
        <x:v>003dOpTK1UWY19</x:v>
      </x:c>
      <x:c r="J400" t="str">
        <x:v>False</x:v>
      </x:c>
      <x:c r="K400" t="n">
        <x:v>0</x:v>
      </x:c>
      <x:c r="L400" t="n">
        <x:v>0</x:v>
      </x:c>
      <x:c r="M400" t="n">
        <x:v>0</x:v>
      </x:c>
      <x:c r="N400" t="n">
        <x:v>77.11607</x:v>
      </x:c>
      <x:c r="O400" t="n">
        <x:v>62</x:v>
      </x:c>
      <x:c r="P400" t="n">
        <x:v>0</x:v>
      </x:c>
      <x:c r="Q400" t="n">
        <x:v>0</x:v>
      </x:c>
      <x:c r="R400" t="n">
        <x:v>2.96</x:v>
      </x:c>
      <x:c r="S400" t="n">
        <x:v>40.13</x:v>
      </x:c>
      <x:c r="T400" t="str">
        <x:v>https://y.gtimg.cn/music/photo_new/T002R500x500M0000013LkPN1sfF5S_2.jpg</x:v>
      </x:c>
      <x:c r="U400" s="24" t="str">
        <x:f>IFERROR(VLOOKUP(I400,'07_字典与参数'!$G$5:$J$9,2,FALSE),"未入选")</x:f>
        <x:v>未入选</x:v>
      </x:c>
      <x:c r="V400" s="24" t="str">
        <x:f>IFERROR(VLOOKUP(I400,'07_字典与参数'!$G$5:$J$9,3,FALSE),"—")</x:f>
        <x:v>—</x:v>
      </x:c>
      <x:c r="W400" s="24" t="str">
        <x:f>IF(U400="未入选","否","是")</x:f>
        <x:v>否</x:v>
      </x:c>
    </x:row>
    <x:row r="401">
      <x:c r="A401" t="n">
        <x:v>202629</x:v>
      </x:c>
      <x:c r="B401" t="str">
        <x:v>第29期（07.20-07.26）</x:v>
      </x:c>
      <x:c r="C401" t="str">
        <x:v>2026-07-20</x:v>
      </x:c>
      <x:c r="D401" t="str">
        <x:v>2026-07-26</x:v>
      </x:c>
      <x:c r="E401" t="n">
        <x:v>197</x:v>
      </x:c>
      <x:c r="F401" t="n">
        <x:v>515816882</x:v>
      </x:c>
      <x:c r="G401" t="str">
        <x:v>Tiger in my love</x:v>
      </x:c>
      <x:c r="H401" t="str">
        <x:v>奥利</x:v>
      </x:c>
      <x:c r="I401" t="str">
        <x:v>002x1oFS12S5RS</x:v>
      </x:c>
      <x:c r="J401" t="str">
        <x:v>False</x:v>
      </x:c>
      <x:c r="K401" t="n">
        <x:v>0</x:v>
      </x:c>
      <x:c r="L401" t="n">
        <x:v>0</x:v>
      </x:c>
      <x:c r="M401" t="n">
        <x:v>0</x:v>
      </x:c>
      <x:c r="N401" t="n">
        <x:v>77.10735</x:v>
      </x:c>
      <x:c r="O401" t="n">
        <x:v>56.82</x:v>
      </x:c>
      <x:c r="P401" t="n">
        <x:v>0</x:v>
      </x:c>
      <x:c r="Q401" t="n">
        <x:v>0</x:v>
      </x:c>
      <x:c r="R401" t="n">
        <x:v>30.1</x:v>
      </x:c>
      <x:c r="S401" t="n">
        <x:v>40.3</x:v>
      </x:c>
      <x:c r="T401" t="str">
        <x:v>https://y.gtimg.cn/music/photo_new/T002R500x500M000003cHkcp2kzOpo_1.jpg</x:v>
      </x:c>
      <x:c r="U401" s="24" t="str">
        <x:f>IFERROR(VLOOKUP(I401,'07_字典与参数'!$G$5:$J$9,2,FALSE),"未入选")</x:f>
        <x:v>未入选</x:v>
      </x:c>
      <x:c r="V401" s="24" t="str">
        <x:f>IFERROR(VLOOKUP(I401,'07_字典与参数'!$G$5:$J$9,3,FALSE),"—")</x:f>
        <x:v>—</x:v>
      </x:c>
      <x:c r="W401" s="24" t="str">
        <x:f>IF(U401="未入选","否","是")</x:f>
        <x:v>否</x:v>
      </x:c>
    </x:row>
    <x:row r="402">
      <x:c r="A402" t="n">
        <x:v>202629</x:v>
      </x:c>
      <x:c r="B402" t="str">
        <x:v>第29期（07.20-07.26）</x:v>
      </x:c>
      <x:c r="C402" t="str">
        <x:v>2026-07-20</x:v>
      </x:c>
      <x:c r="D402" t="str">
        <x:v>2026-07-26</x:v>
      </x:c>
      <x:c r="E402" t="n">
        <x:v>198</x:v>
      </x:c>
      <x:c r="F402" t="n">
        <x:v>530877887</x:v>
      </x:c>
      <x:c r="G402" t="str">
        <x:v>他她</x:v>
      </x:c>
      <x:c r="H402" t="str">
        <x:v>励志豪,神勇尼尼</x:v>
      </x:c>
      <x:c r="I402" t="str">
        <x:v>00480PVf2aXUBg</x:v>
      </x:c>
      <x:c r="J402" t="str">
        <x:v>False</x:v>
      </x:c>
      <x:c r="K402" t="n">
        <x:v>0</x:v>
      </x:c>
      <x:c r="L402" t="n">
        <x:v>0</x:v>
      </x:c>
      <x:c r="M402" t="n">
        <x:v>0</x:v>
      </x:c>
      <x:c r="N402" t="n">
        <x:v>76.98295</x:v>
      </x:c>
      <x:c r="O402" t="n">
        <x:v>63.09</x:v>
      </x:c>
      <x:c r="P402" t="n">
        <x:v>0</x:v>
      </x:c>
      <x:c r="Q402" t="n">
        <x:v>0</x:v>
      </x:c>
      <x:c r="R402" t="n">
        <x:v>6.08</x:v>
      </x:c>
      <x:c r="S402" t="n">
        <x:v>28.04</x:v>
      </x:c>
      <x:c r="T402" t="str">
        <x:v>https://y.gtimg.cn/music/photo_new/T002R500x500M000000RaqfQ29Qxh9_1.jpg</x:v>
      </x:c>
      <x:c r="U402" s="24" t="str">
        <x:f>IFERROR(VLOOKUP(I402,'07_字典与参数'!$G$5:$J$9,2,FALSE),"未入选")</x:f>
        <x:v>未入选</x:v>
      </x:c>
      <x:c r="V402" s="24" t="str">
        <x:f>IFERROR(VLOOKUP(I402,'07_字典与参数'!$G$5:$J$9,3,FALSE),"—")</x:f>
        <x:v>—</x:v>
      </x:c>
      <x:c r="W402" s="24" t="str">
        <x:f>IF(U402="未入选","否","是")</x:f>
        <x:v>否</x:v>
      </x:c>
    </x:row>
    <x:row r="403">
      <x:c r="A403" t="n">
        <x:v>202629</x:v>
      </x:c>
      <x:c r="B403" t="str">
        <x:v>第29期（07.20-07.26）</x:v>
      </x:c>
      <x:c r="C403" t="str">
        <x:v>2026-07-20</x:v>
      </x:c>
      <x:c r="D403" t="str">
        <x:v>2026-07-26</x:v>
      </x:c>
      <x:c r="E403" t="n">
        <x:v>199</x:v>
      </x:c>
      <x:c r="F403" t="n">
        <x:v>532849101</x:v>
      </x:c>
      <x:c r="G403" t="str">
        <x:v>见山</x:v>
      </x:c>
      <x:c r="H403" t="str">
        <x:v>水木年华</x:v>
      </x:c>
      <x:c r="I403" t="str">
        <x:v>0001S9B80rOMyG</x:v>
      </x:c>
      <x:c r="J403" t="str">
        <x:v>False</x:v>
      </x:c>
      <x:c r="K403" t="n">
        <x:v>0</x:v>
      </x:c>
      <x:c r="L403" t="n">
        <x:v>0</x:v>
      </x:c>
      <x:c r="M403" t="n">
        <x:v>0</x:v>
      </x:c>
      <x:c r="N403" t="n">
        <x:v>76.95268</x:v>
      </x:c>
      <x:c r="O403" t="n">
        <x:v>63.41</x:v>
      </x:c>
      <x:c r="P403" t="n">
        <x:v>0</x:v>
      </x:c>
      <x:c r="Q403" t="n">
        <x:v>0</x:v>
      </x:c>
      <x:c r="R403" t="n">
        <x:v>7.86</x:v>
      </x:c>
      <x:c r="S403" t="n">
        <x:v>20.14</x:v>
      </x:c>
      <x:c r="T403" t="str">
        <x:v>https://y.gtimg.cn/music/photo_new/T002R500x500M000003VYV1y03oDlg_1.jpg</x:v>
      </x:c>
      <x:c r="U403" s="24" t="str">
        <x:f>IFERROR(VLOOKUP(I403,'07_字典与参数'!$G$5:$J$9,2,FALSE),"未入选")</x:f>
        <x:v>未入选</x:v>
      </x:c>
      <x:c r="V403" s="24" t="str">
        <x:f>IFERROR(VLOOKUP(I403,'07_字典与参数'!$G$5:$J$9,3,FALSE),"—")</x:f>
        <x:v>—</x:v>
      </x:c>
      <x:c r="W403" s="24" t="str">
        <x:f>IF(U403="未入选","否","是")</x:f>
        <x:v>否</x:v>
      </x:c>
    </x:row>
    <x:row r="404">
      <x:c r="A404" t="n">
        <x:v>202629</x:v>
      </x:c>
      <x:c r="B404" t="str">
        <x:v>第29期（07.20-07.26）</x:v>
      </x:c>
      <x:c r="C404" t="str">
        <x:v>2026-07-20</x:v>
      </x:c>
      <x:c r="D404" t="str">
        <x:v>2026-07-26</x:v>
      </x:c>
      <x:c r="E404" t="n">
        <x:v>200</x:v>
      </x:c>
      <x:c r="F404" t="n">
        <x:v>493212272</x:v>
      </x:c>
      <x:c r="G404" t="str">
        <x:v>潜到海底说爱你</x:v>
      </x:c>
      <x:c r="H404" t="str">
        <x:v>万妮达Vinida Weng</x:v>
      </x:c>
      <x:c r="I404" t="str">
        <x:v>003vLg6w0IMQya</x:v>
      </x:c>
      <x:c r="J404" t="str">
        <x:v>False</x:v>
      </x:c>
      <x:c r="K404" t="n">
        <x:v>0</x:v>
      </x:c>
      <x:c r="L404" t="n">
        <x:v>0</x:v>
      </x:c>
      <x:c r="M404" t="n">
        <x:v>0</x:v>
      </x:c>
      <x:c r="N404" t="n">
        <x:v>76.80848</x:v>
      </x:c>
      <x:c r="O404" t="n">
        <x:v>63.77</x:v>
      </x:c>
      <x:c r="P404" t="n">
        <x:v>0</x:v>
      </x:c>
      <x:c r="Q404" t="n">
        <x:v>0</x:v>
      </x:c>
      <x:c r="R404" t="n">
        <x:v>0.39</x:v>
      </x:c>
      <x:c r="S404" t="n">
        <x:v>20.87</x:v>
      </x:c>
      <x:c r="T404" t="str">
        <x:v>https://y.gtimg.cn/music/photo_new/T002R500x500M000000OVfpX3qfz3Z_3.jpg</x:v>
      </x:c>
      <x:c r="U404" s="24" t="str">
        <x:f>IFERROR(VLOOKUP(I404,'07_字典与参数'!$G$5:$J$9,2,FALSE),"未入选")</x:f>
        <x:v>未入选</x:v>
      </x:c>
      <x:c r="V404" s="24" t="str">
        <x:f>IFERROR(VLOOKUP(I404,'07_字典与参数'!$G$5:$J$9,3,FALSE),"—")</x:f>
        <x:v>—</x:v>
      </x:c>
      <x:c r="W404" s="24" t="str">
        <x:f>IF(U404="未入选","否","是")</x:f>
        <x:v>否</x:v>
      </x:c>
    </x:row>
    <x:row r="405">
      <x:c r="A405" t="n">
        <x:v>202630</x:v>
      </x:c>
      <x:c r="B405" t="str">
        <x:v>第30期（07.27-08.02）</x:v>
      </x:c>
      <x:c r="C405" t="str">
        <x:v>2026-07-27</x:v>
      </x:c>
      <x:c r="D405" t="str">
        <x:v>2026-08-02</x:v>
      </x:c>
      <x:c r="E405" t="n">
        <x:v>1</x:v>
      </x:c>
      <x:c r="F405" t="n">
        <x:v>535040270</x:v>
      </x:c>
      <x:c r="G405" t="str">
        <x:v>唯我论者的独白</x:v>
      </x:c>
      <x:c r="H405" t="str">
        <x:v>马嘉祺</x:v>
      </x:c>
      <x:c r="I405" t="str">
        <x:v>001pfooo4GOPDm</x:v>
      </x:c>
      <x:c r="J405" t="str">
        <x:v>True</x:v>
      </x:c>
      <x:c r="K405" t="n">
        <x:v>0</x:v>
      </x:c>
      <x:c r="L405" t="n">
        <x:v>1</x:v>
      </x:c>
      <x:c r="M405" t="n">
        <x:v>1</x:v>
      </x:c>
      <x:c r="N405" t="n">
        <x:v>99.39273</x:v>
      </x:c>
      <x:c r="O405" t="n">
        <x:v>90.31</x:v>
      </x:c>
      <x:c r="P405" t="n">
        <x:v>0</x:v>
      </x:c>
      <x:c r="Q405" t="n">
        <x:v>0</x:v>
      </x:c>
      <x:c r="R405" t="n">
        <x:v>99.65</x:v>
      </x:c>
      <x:c r="S405" t="n">
        <x:v>95.98</x:v>
      </x:c>
      <x:c r="T405" t="str">
        <x:v>https://y.gtimg.cn/music/photo_new/T002R500x500M000002SyJWd06jbh4_1.jpg</x:v>
      </x:c>
      <x:c r="U405" s="24" t="str">
        <x:f>IFERROR(VLOOKUP(I405,'07_字典与参数'!$G$5:$J$9,2,FALSE),"未入选")</x:f>
        <x:v>未入选</x:v>
      </x:c>
      <x:c r="V405" s="24" t="str">
        <x:f>IFERROR(VLOOKUP(I405,'07_字典与参数'!$G$5:$J$9,3,FALSE),"—")</x:f>
        <x:v>—</x:v>
      </x:c>
      <x:c r="W405" s="24" t="str">
        <x:f>IF(U405="未入选","否","是")</x:f>
        <x:v>否</x:v>
      </x:c>
    </x:row>
    <x:row r="406">
      <x:c r="A406" t="n">
        <x:v>202630</x:v>
      </x:c>
      <x:c r="B406" t="str">
        <x:v>第30期（07.27-08.02）</x:v>
      </x:c>
      <x:c r="C406" t="str">
        <x:v>2026-07-27</x:v>
      </x:c>
      <x:c r="D406" t="str">
        <x:v>2026-08-02</x:v>
      </x:c>
      <x:c r="E406" t="n">
        <x:v>2</x:v>
      </x:c>
      <x:c r="F406" t="n">
        <x:v>535314845</x:v>
      </x:c>
      <x:c r="G406" t="str">
        <x:v>如约</x:v>
      </x:c>
      <x:c r="H406" t="str">
        <x:v>周深</x:v>
      </x:c>
      <x:c r="I406" t="str">
        <x:v>000uTZAI1djRlw</x:v>
      </x:c>
      <x:c r="J406" t="str">
        <x:v>False</x:v>
      </x:c>
      <x:c r="K406" t="n">
        <x:v>4</x:v>
      </x:c>
      <x:c r="L406" t="n">
        <x:v>2</x:v>
      </x:c>
      <x:c r="M406" t="n">
        <x:v>2</x:v>
      </x:c>
      <x:c r="N406" t="n">
        <x:v>97.04272</x:v>
      </x:c>
      <x:c r="O406" t="n">
        <x:v>81.16</x:v>
      </x:c>
      <x:c r="P406" t="n">
        <x:v>0</x:v>
      </x:c>
      <x:c r="Q406" t="n">
        <x:v>0</x:v>
      </x:c>
      <x:c r="R406" t="n">
        <x:v>75.08</x:v>
      </x:c>
      <x:c r="S406" t="n">
        <x:v>90.49</x:v>
      </x:c>
      <x:c r="T406" t="str">
        <x:v>https://y.gtimg.cn/music/photo_new/T002R500x500M0000007zt0H0BXeMQ_1.jpg</x:v>
      </x:c>
      <x:c r="U406" s="24" t="str">
        <x:f>IFERROR(VLOOKUP(I406,'07_字典与参数'!$G$5:$J$9,2,FALSE),"未入选")</x:f>
        <x:v>未入选</x:v>
      </x:c>
      <x:c r="V406" s="24" t="str">
        <x:f>IFERROR(VLOOKUP(I406,'07_字典与参数'!$G$5:$J$9,3,FALSE),"—")</x:f>
        <x:v>—</x:v>
      </x:c>
      <x:c r="W406" s="24" t="str">
        <x:f>IF(U406="未入选","否","是")</x:f>
        <x:v>否</x:v>
      </x:c>
    </x:row>
    <x:row r="407">
      <x:c r="A407" t="n">
        <x:v>202630</x:v>
      </x:c>
      <x:c r="B407" t="str">
        <x:v>第30期（07.27-08.02）</x:v>
      </x:c>
      <x:c r="C407" t="str">
        <x:v>2026-07-27</x:v>
      </x:c>
      <x:c r="D407" t="str">
        <x:v>2026-08-02</x:v>
      </x:c>
      <x:c r="E407" t="n">
        <x:v>3</x:v>
      </x:c>
      <x:c r="F407" t="n">
        <x:v>535881027</x:v>
      </x:c>
      <x:c r="G407" t="str">
        <x:v>失重色</x:v>
      </x:c>
      <x:c r="H407" t="str">
        <x:v>世勋</x:v>
      </x:c>
      <x:c r="I407" t="str">
        <x:v>000lRPjD2F038X</x:v>
      </x:c>
      <x:c r="J407" t="str">
        <x:v>True</x:v>
      </x:c>
      <x:c r="K407" t="n">
        <x:v>0</x:v>
      </x:c>
      <x:c r="L407" t="n">
        <x:v>1</x:v>
      </x:c>
      <x:c r="M407" t="n">
        <x:v>3</x:v>
      </x:c>
      <x:c r="N407" t="n">
        <x:v>96.86356</x:v>
      </x:c>
      <x:c r="O407" t="n">
        <x:v>76.36</x:v>
      </x:c>
      <x:c r="P407" t="n">
        <x:v>0</x:v>
      </x:c>
      <x:c r="Q407" t="n">
        <x:v>0</x:v>
      </x:c>
      <x:c r="R407" t="n">
        <x:v>86.71</x:v>
      </x:c>
      <x:c r="S407" t="n">
        <x:v>84.26</x:v>
      </x:c>
      <x:c r="T407" t="str">
        <x:v>https://y.gtimg.cn/music/photo_new/T002R500x500M0000014Z9nm2HwRfC_1.jpg</x:v>
      </x:c>
      <x:c r="U407" s="24" t="str">
        <x:f>IFERROR(VLOOKUP(I407,'07_字典与参数'!$G$5:$J$9,2,FALSE),"未入选")</x:f>
        <x:v>未入选</x:v>
      </x:c>
      <x:c r="V407" s="24" t="str">
        <x:f>IFERROR(VLOOKUP(I407,'07_字典与参数'!$G$5:$J$9,3,FALSE),"—")</x:f>
        <x:v>—</x:v>
      </x:c>
      <x:c r="W407" s="24" t="str">
        <x:f>IF(U407="未入选","否","是")</x:f>
        <x:v>否</x:v>
      </x:c>
    </x:row>
    <x:row r="408">
      <x:c r="A408" t="n">
        <x:v>202630</x:v>
      </x:c>
      <x:c r="B408" t="str">
        <x:v>第30期（07.27-08.02）</x:v>
      </x:c>
      <x:c r="C408" t="str">
        <x:v>2026-07-27</x:v>
      </x:c>
      <x:c r="D408" t="str">
        <x:v>2026-08-02</x:v>
      </x:c>
      <x:c r="E408" t="n">
        <x:v>4</x:v>
      </x:c>
      <x:c r="F408" t="n">
        <x:v>495731462</x:v>
      </x:c>
      <x:c r="G408" t="str">
        <x:v>宇宙游乐场</x:v>
      </x:c>
      <x:c r="H408" t="str">
        <x:v>梓渝</x:v>
      </x:c>
      <x:c r="I408" t="str">
        <x:v>003xi4dG0HPhN3</x:v>
      </x:c>
      <x:c r="J408" t="str">
        <x:v>False</x:v>
      </x:c>
      <x:c r="K408" t="n">
        <x:v>3</x:v>
      </x:c>
      <x:c r="L408" t="n">
        <x:v>9</x:v>
      </x:c>
      <x:c r="M408" t="n">
        <x:v>1</x:v>
      </x:c>
      <x:c r="N408" t="n">
        <x:v>96.49266</x:v>
      </x:c>
      <x:c r="O408" t="n">
        <x:v>70.46</x:v>
      </x:c>
      <x:c r="P408" t="n">
        <x:v>0</x:v>
      </x:c>
      <x:c r="Q408" t="n">
        <x:v>0</x:v>
      </x:c>
      <x:c r="R408" t="n">
        <x:v>52.39</x:v>
      </x:c>
      <x:c r="S408" t="n">
        <x:v>87.44</x:v>
      </x:c>
      <x:c r="T408" t="str">
        <x:v>https://y.gtimg.cn/music/photo_new/T002R500x500M000001YF9mT23fsBQ_1.jpg</x:v>
      </x:c>
      <x:c r="U408" s="24" t="str">
        <x:f>IFERROR(VLOOKUP(I408,'07_字典与参数'!$G$5:$J$9,2,FALSE),"未入选")</x:f>
        <x:v>未入选</x:v>
      </x:c>
      <x:c r="V408" s="24" t="str">
        <x:f>IFERROR(VLOOKUP(I408,'07_字典与参数'!$G$5:$J$9,3,FALSE),"—")</x:f>
        <x:v>—</x:v>
      </x:c>
      <x:c r="W408" s="24" t="str">
        <x:f>IF(U408="未入选","否","是")</x:f>
        <x:v>否</x:v>
      </x:c>
    </x:row>
    <x:row r="409">
      <x:c r="A409" t="n">
        <x:v>202630</x:v>
      </x:c>
      <x:c r="B409" t="str">
        <x:v>第30期（07.27-08.02）</x:v>
      </x:c>
      <x:c r="C409" t="str">
        <x:v>2026-07-27</x:v>
      </x:c>
      <x:c r="D409" t="str">
        <x:v>2026-08-02</x:v>
      </x:c>
      <x:c r="E409" t="n">
        <x:v>5</x:v>
      </x:c>
      <x:c r="F409" t="n">
        <x:v>509534822</x:v>
      </x:c>
      <x:c r="G409" t="str">
        <x:v>我想</x:v>
      </x:c>
      <x:c r="H409" t="str">
        <x:v>刘宇宁</x:v>
      </x:c>
      <x:c r="I409" t="str">
        <x:v>004BV00w11Ysvm</x:v>
      </x:c>
      <x:c r="J409" t="str">
        <x:v>False</x:v>
      </x:c>
      <x:c r="K409" t="n">
        <x:v>5</x:v>
      </x:c>
      <x:c r="L409" t="n">
        <x:v>8</x:v>
      </x:c>
      <x:c r="M409" t="n">
        <x:v>3</x:v>
      </x:c>
      <x:c r="N409" t="n">
        <x:v>96.0426</x:v>
      </x:c>
      <x:c r="O409" t="n">
        <x:v>70.71</x:v>
      </x:c>
      <x:c r="P409" t="n">
        <x:v>0</x:v>
      </x:c>
      <x:c r="Q409" t="n">
        <x:v>0</x:v>
      </x:c>
      <x:c r="R409" t="n">
        <x:v>26.3</x:v>
      </x:c>
      <x:c r="S409" t="n">
        <x:v>83.88</x:v>
      </x:c>
      <x:c r="T409" t="str">
        <x:v>https://y.gtimg.cn/music/photo_new/T002R500x500M000002lkcEK0ztfwR_1.jpg</x:v>
      </x:c>
      <x:c r="U409" s="24" t="str">
        <x:f>IFERROR(VLOOKUP(I409,'07_字典与参数'!$G$5:$J$9,2,FALSE),"未入选")</x:f>
        <x:v>未入选</x:v>
      </x:c>
      <x:c r="V409" s="24" t="str">
        <x:f>IFERROR(VLOOKUP(I409,'07_字典与参数'!$G$5:$J$9,3,FALSE),"—")</x:f>
        <x:v>—</x:v>
      </x:c>
      <x:c r="W409" s="24" t="str">
        <x:f>IF(U409="未入选","否","是")</x:f>
        <x:v>否</x:v>
      </x:c>
    </x:row>
    <x:row r="410">
      <x:c r="A410" t="n">
        <x:v>202630</x:v>
      </x:c>
      <x:c r="B410" t="str">
        <x:v>第30期（07.27-08.02）</x:v>
      </x:c>
      <x:c r="C410" t="str">
        <x:v>2026-07-27</x:v>
      </x:c>
      <x:c r="D410" t="str">
        <x:v>2026-08-02</x:v>
      </x:c>
      <x:c r="E410" t="n">
        <x:v>6</x:v>
      </x:c>
      <x:c r="F410" t="n">
        <x:v>452195789</x:v>
      </x:c>
      <x:c r="G410" t="str">
        <x:v>不渝</x:v>
      </x:c>
      <x:c r="H410" t="str">
        <x:v>梓渝</x:v>
      </x:c>
      <x:c r="I410" t="str">
        <x:v>000TyQAA0jYDlU</x:v>
      </x:c>
      <x:c r="J410" t="str">
        <x:v>False</x:v>
      </x:c>
      <x:c r="K410" t="n">
        <x:v>8</x:v>
      </x:c>
      <x:c r="L410" t="n">
        <x:v>33</x:v>
      </x:c>
      <x:c r="M410" t="n">
        <x:v>1</x:v>
      </x:c>
      <x:c r="N410" t="n">
        <x:v>95.81951</x:v>
      </x:c>
      <x:c r="O410" t="n">
        <x:v>62.21</x:v>
      </x:c>
      <x:c r="P410" t="n">
        <x:v>0</x:v>
      </x:c>
      <x:c r="Q410" t="n">
        <x:v>0</x:v>
      </x:c>
      <x:c r="R410" t="n">
        <x:v>37.85</x:v>
      </x:c>
      <x:c r="S410" t="n">
        <x:v>82.73</x:v>
      </x:c>
      <x:c r="T410" t="str">
        <x:v>https://y.gtimg.cn/music/photo_new/T002R500x500M000001bXK7t4Q576w_1.jpg</x:v>
      </x:c>
      <x:c r="U410" s="24" t="str">
        <x:f>IFERROR(VLOOKUP(I410,'07_字典与参数'!$G$5:$J$9,2,FALSE),"未入选")</x:f>
        <x:v>未入选</x:v>
      </x:c>
      <x:c r="V410" s="24" t="str">
        <x:f>IFERROR(VLOOKUP(I410,'07_字典与参数'!$G$5:$J$9,3,FALSE),"—")</x:f>
        <x:v>—</x:v>
      </x:c>
      <x:c r="W410" s="24" t="str">
        <x:f>IF(U410="未入选","否","是")</x:f>
        <x:v>否</x:v>
      </x:c>
    </x:row>
    <x:row r="411">
      <x:c r="A411" t="n">
        <x:v>202630</x:v>
      </x:c>
      <x:c r="B411" t="str">
        <x:v>第30期（07.27-08.02）</x:v>
      </x:c>
      <x:c r="C411" t="str">
        <x:v>2026-07-27</x:v>
      </x:c>
      <x:c r="D411" t="str">
        <x:v>2026-08-02</x:v>
      </x:c>
      <x:c r="E411" t="n">
        <x:v>7</x:v>
      </x:c>
      <x:c r="F411" t="n">
        <x:v>521117665</x:v>
      </x:c>
      <x:c r="G411" t="str">
        <x:v>甲乙丙丁 (你我怎么两清)</x:v>
      </x:c>
      <x:c r="H411" t="str">
        <x:v>李佳薇</x:v>
      </x:c>
      <x:c r="I411" t="str">
        <x:v>002AZauQ1UKQxe</x:v>
      </x:c>
      <x:c r="J411" t="str">
        <x:v>False</x:v>
      </x:c>
      <x:c r="K411" t="n">
        <x:v>9</x:v>
      </x:c>
      <x:c r="L411" t="n">
        <x:v>5</x:v>
      </x:c>
      <x:c r="M411" t="n">
        <x:v>7</x:v>
      </x:c>
      <x:c r="N411" t="n">
        <x:v>95.72971</x:v>
      </x:c>
      <x:c r="O411" t="n">
        <x:v>90.96</x:v>
      </x:c>
      <x:c r="P411" t="n">
        <x:v>0</x:v>
      </x:c>
      <x:c r="Q411" t="n">
        <x:v>0</x:v>
      </x:c>
      <x:c r="R411" t="n">
        <x:v>49.54</x:v>
      </x:c>
      <x:c r="S411" t="n">
        <x:v>63.25</x:v>
      </x:c>
      <x:c r="T411" t="str">
        <x:v>https://y.gtimg.cn/music/photo_new/T002R500x500M00000446QRA1fTdqA_2.jpg</x:v>
      </x:c>
      <x:c r="U411" s="24" t="str">
        <x:f>IFERROR(VLOOKUP(I411,'07_字典与参数'!$G$5:$J$9,2,FALSE),"未入选")</x:f>
        <x:v>未入选</x:v>
      </x:c>
      <x:c r="V411" s="24" t="str">
        <x:f>IFERROR(VLOOKUP(I411,'07_字典与参数'!$G$5:$J$9,3,FALSE),"—")</x:f>
        <x:v>—</x:v>
      </x:c>
      <x:c r="W411" s="24" t="str">
        <x:f>IF(U411="未入选","否","是")</x:f>
        <x:v>否</x:v>
      </x:c>
    </x:row>
    <x:row r="412">
      <x:c r="A412" t="n">
        <x:v>202630</x:v>
      </x:c>
      <x:c r="B412" t="str">
        <x:v>第30期（07.27-08.02）</x:v>
      </x:c>
      <x:c r="C412" t="str">
        <x:v>2026-07-27</x:v>
      </x:c>
      <x:c r="D412" t="str">
        <x:v>2026-08-02</x:v>
      </x:c>
      <x:c r="E412" t="n">
        <x:v>8</x:v>
      </x:c>
      <x:c r="F412" t="n">
        <x:v>535328619</x:v>
      </x:c>
      <x:c r="G412" t="str">
        <x:v>见山河</x:v>
      </x:c>
      <x:c r="H412" t="str">
        <x:v>刘宇宁</x:v>
      </x:c>
      <x:c r="I412" t="str">
        <x:v>001jvmwK3BYxpT</x:v>
      </x:c>
      <x:c r="J412" t="str">
        <x:v>True</x:v>
      </x:c>
      <x:c r="K412" t="n">
        <x:v>0</x:v>
      </x:c>
      <x:c r="L412" t="n">
        <x:v>1</x:v>
      </x:c>
      <x:c r="M412" t="n">
        <x:v>8</x:v>
      </x:c>
      <x:c r="N412" t="n">
        <x:v>95.65387</x:v>
      </x:c>
      <x:c r="O412" t="n">
        <x:v>71.53</x:v>
      </x:c>
      <x:c r="P412" t="n">
        <x:v>0</x:v>
      </x:c>
      <x:c r="Q412" t="n">
        <x:v>0</x:v>
      </x:c>
      <x:c r="R412" t="n">
        <x:v>52.09</x:v>
      </x:c>
      <x:c r="S412" t="n">
        <x:v>81.66</x:v>
      </x:c>
      <x:c r="T412" t="str">
        <x:v>https://y.gtimg.cn/music/photo_new/T002R500x500M000002g8Zeb2DyMhE_1.jpg</x:v>
      </x:c>
      <x:c r="U412" s="24" t="str">
        <x:f>IFERROR(VLOOKUP(I412,'07_字典与参数'!$G$5:$J$9,2,FALSE),"未入选")</x:f>
        <x:v>未入选</x:v>
      </x:c>
      <x:c r="V412" s="24" t="str">
        <x:f>IFERROR(VLOOKUP(I412,'07_字典与参数'!$G$5:$J$9,3,FALSE),"—")</x:f>
        <x:v>—</x:v>
      </x:c>
      <x:c r="W412" s="24" t="str">
        <x:f>IF(U412="未入选","否","是")</x:f>
        <x:v>否</x:v>
      </x:c>
    </x:row>
    <x:row r="413">
      <x:c r="A413" t="n">
        <x:v>202630</x:v>
      </x:c>
      <x:c r="B413" t="str">
        <x:v>第30期（07.27-08.02）</x:v>
      </x:c>
      <x:c r="C413" t="str">
        <x:v>2026-07-27</x:v>
      </x:c>
      <x:c r="D413" t="str">
        <x:v>2026-08-02</x:v>
      </x:c>
      <x:c r="E413" t="n">
        <x:v>9</x:v>
      </x:c>
      <x:c r="F413" t="n">
        <x:v>533373322</x:v>
      </x:c>
      <x:c r="G413" t="str">
        <x:v>Cold Blooded</x:v>
      </x:c>
      <x:c r="H413" t="str">
        <x:v>严浩翔</x:v>
      </x:c>
      <x:c r="I413" t="str">
        <x:v>001uODJ03jwbpe</x:v>
      </x:c>
      <x:c r="J413" t="str">
        <x:v>False</x:v>
      </x:c>
      <x:c r="K413" t="n">
        <x:v>1</x:v>
      </x:c>
      <x:c r="L413" t="n">
        <x:v>2</x:v>
      </x:c>
      <x:c r="M413" t="n">
        <x:v>1</x:v>
      </x:c>
      <x:c r="N413" t="n">
        <x:v>95.38953</x:v>
      </x:c>
      <x:c r="O413" t="n">
        <x:v>67.26</x:v>
      </x:c>
      <x:c r="P413" t="n">
        <x:v>0</x:v>
      </x:c>
      <x:c r="Q413" t="n">
        <x:v>0</x:v>
      </x:c>
      <x:c r="R413" t="n">
        <x:v>52.33</x:v>
      </x:c>
      <x:c r="S413" t="n">
        <x:v>80.8</x:v>
      </x:c>
      <x:c r="T413" t="str">
        <x:v>https://y.qq.com/music/photo_new/T062R500x500M0000001dgoc1T2sbP.jpg</x:v>
      </x:c>
      <x:c r="U413" s="24" t="str">
        <x:f>IFERROR(VLOOKUP(I413,'07_字典与参数'!$G$5:$J$9,2,FALSE),"未入选")</x:f>
        <x:v>未入选</x:v>
      </x:c>
      <x:c r="V413" s="24" t="str">
        <x:f>IFERROR(VLOOKUP(I413,'07_字典与参数'!$G$5:$J$9,3,FALSE),"—")</x:f>
        <x:v>—</x:v>
      </x:c>
      <x:c r="W413" s="24" t="str">
        <x:f>IF(U413="未入选","否","是")</x:f>
        <x:v>否</x:v>
      </x:c>
    </x:row>
    <x:row r="414">
      <x:c r="A414" t="n">
        <x:v>202630</x:v>
      </x:c>
      <x:c r="B414" t="str">
        <x:v>第30期（07.27-08.02）</x:v>
      </x:c>
      <x:c r="C414" t="str">
        <x:v>2026-07-27</x:v>
      </x:c>
      <x:c r="D414" t="str">
        <x:v>2026-08-02</x:v>
      </x:c>
      <x:c r="E414" t="n">
        <x:v>10</x:v>
      </x:c>
      <x:c r="F414" t="n">
        <x:v>515779632</x:v>
      </x:c>
      <x:c r="G414" t="str">
        <x:v>Steal The Moon</x:v>
      </x:c>
      <x:c r="H414" t="str">
        <x:v>王俊凯</x:v>
      </x:c>
      <x:c r="I414" t="str">
        <x:v>0041rMW52UcUDL</x:v>
      </x:c>
      <x:c r="J414" t="str">
        <x:v>False</x:v>
      </x:c>
      <x:c r="K414" t="n">
        <x:v>7</x:v>
      </x:c>
      <x:c r="L414" t="n">
        <x:v>6</x:v>
      </x:c>
      <x:c r="M414" t="n">
        <x:v>1</x:v>
      </x:c>
      <x:c r="N414" t="n">
        <x:v>95.14389</x:v>
      </x:c>
      <x:c r="O414" t="n">
        <x:v>71.45</x:v>
      </x:c>
      <x:c r="P414" t="n">
        <x:v>0</x:v>
      </x:c>
      <x:c r="Q414" t="n">
        <x:v>0</x:v>
      </x:c>
      <x:c r="R414" t="n">
        <x:v>42.37</x:v>
      </x:c>
      <x:c r="S414" t="n">
        <x:v>79.76</x:v>
      </x:c>
      <x:c r="T414" t="str">
        <x:v>https://y.qq.com/music/photo_new/T062R500x500M000002Z67Ce1Dtijs.jpg</x:v>
      </x:c>
      <x:c r="U414" s="24" t="str">
        <x:f>IFERROR(VLOOKUP(I414,'07_字典与参数'!$G$5:$J$9,2,FALSE),"未入选")</x:f>
        <x:v>未入选</x:v>
      </x:c>
      <x:c r="V414" s="24" t="str">
        <x:f>IFERROR(VLOOKUP(I414,'07_字典与参数'!$G$5:$J$9,3,FALSE),"—")</x:f>
        <x:v>—</x:v>
      </x:c>
      <x:c r="W414" s="24" t="str">
        <x:f>IF(U414="未入选","否","是")</x:f>
        <x:v>否</x:v>
      </x:c>
    </x:row>
    <x:row r="415">
      <x:c r="A415" t="n">
        <x:v>202630</x:v>
      </x:c>
      <x:c r="B415" t="str">
        <x:v>第30期（07.27-08.02）</x:v>
      </x:c>
      <x:c r="C415" t="str">
        <x:v>2026-07-27</x:v>
      </x:c>
      <x:c r="D415" t="str">
        <x:v>2026-08-02</x:v>
      </x:c>
      <x:c r="E415" t="n">
        <x:v>11</x:v>
      </x:c>
      <x:c r="F415" t="n">
        <x:v>533494826</x:v>
      </x:c>
      <x:c r="G415" t="str">
        <x:v>山风山风等等我</x:v>
      </x:c>
      <x:c r="H415" t="str">
        <x:v>万海东</x:v>
      </x:c>
      <x:c r="I415" t="str">
        <x:v>0012TY2n0qQurs</x:v>
      </x:c>
      <x:c r="J415" t="str">
        <x:v>True</x:v>
      </x:c>
      <x:c r="K415" t="n">
        <x:v>102</x:v>
      </x:c>
      <x:c r="L415" t="n">
        <x:v>1</x:v>
      </x:c>
      <x:c r="M415" t="n">
        <x:v>11</x:v>
      </x:c>
      <x:c r="N415" t="n">
        <x:v>93.47084</x:v>
      </x:c>
      <x:c r="O415" t="n">
        <x:v>86.02</x:v>
      </x:c>
      <x:c r="P415" t="n">
        <x:v>0</x:v>
      </x:c>
      <x:c r="Q415" t="n">
        <x:v>0</x:v>
      </x:c>
      <x:c r="R415" t="n">
        <x:v>55.24</x:v>
      </x:c>
      <x:c r="S415" t="n">
        <x:v>58.18</x:v>
      </x:c>
      <x:c r="T415" t="str">
        <x:v>https://y.gtimg.cn/music/photo_new/T002R500x500M000002O92eu0Jubpi_3.jpg</x:v>
      </x:c>
      <x:c r="U415" s="24" t="str">
        <x:f>IFERROR(VLOOKUP(I415,'07_字典与参数'!$G$5:$J$9,2,FALSE),"未入选")</x:f>
        <x:v>未入选</x:v>
      </x:c>
      <x:c r="V415" s="24" t="str">
        <x:f>IFERROR(VLOOKUP(I415,'07_字典与参数'!$G$5:$J$9,3,FALSE),"—")</x:f>
        <x:v>—</x:v>
      </x:c>
      <x:c r="W415" s="24" t="str">
        <x:f>IF(U415="未入选","否","是")</x:f>
        <x:v>否</x:v>
      </x:c>
    </x:row>
    <x:row r="416">
      <x:c r="A416" t="n">
        <x:v>202630</x:v>
      </x:c>
      <x:c r="B416" t="str">
        <x:v>第30期（07.27-08.02）</x:v>
      </x:c>
      <x:c r="C416" t="str">
        <x:v>2026-07-27</x:v>
      </x:c>
      <x:c r="D416" t="str">
        <x:v>2026-08-02</x:v>
      </x:c>
      <x:c r="E416" t="n">
        <x:v>12</x:v>
      </x:c>
      <x:c r="F416" t="n">
        <x:v>476979934</x:v>
      </x:c>
      <x:c r="G416" t="str">
        <x:v>大江南</x:v>
      </x:c>
      <x:c r="H416" t="str">
        <x:v>刀郎</x:v>
      </x:c>
      <x:c r="I416" t="str">
        <x:v>00353J6U0acVVf</x:v>
      </x:c>
      <x:c r="J416" t="str">
        <x:v>False</x:v>
      </x:c>
      <x:c r="K416" t="n">
        <x:v>13</x:v>
      </x:c>
      <x:c r="L416" t="n">
        <x:v>19</x:v>
      </x:c>
      <x:c r="M416" t="n">
        <x:v>9</x:v>
      </x:c>
      <x:c r="N416" t="n">
        <x:v>93.39188</x:v>
      </x:c>
      <x:c r="O416" t="n">
        <x:v>64.93</x:v>
      </x:c>
      <x:c r="P416" t="n">
        <x:v>0</x:v>
      </x:c>
      <x:c r="Q416" t="n">
        <x:v>0</x:v>
      </x:c>
      <x:c r="R416" t="n">
        <x:v>40.32</x:v>
      </x:c>
      <x:c r="S416" t="n">
        <x:v>76.71</x:v>
      </x:c>
      <x:c r="T416" t="str">
        <x:v>https://y.gtimg.cn/music/photo_new/T002R500x500M0000042UNmv3tjqE2_1.jpg</x:v>
      </x:c>
      <x:c r="U416" s="24" t="str">
        <x:f>IFERROR(VLOOKUP(I416,'07_字典与参数'!$G$5:$J$9,2,FALSE),"未入选")</x:f>
        <x:v>未入选</x:v>
      </x:c>
      <x:c r="V416" s="24" t="str">
        <x:f>IFERROR(VLOOKUP(I416,'07_字典与参数'!$G$5:$J$9,3,FALSE),"—")</x:f>
        <x:v>—</x:v>
      </x:c>
      <x:c r="W416" s="24" t="str">
        <x:f>IF(U416="未入选","否","是")</x:f>
        <x:v>否</x:v>
      </x:c>
    </x:row>
    <x:row r="417">
      <x:c r="A417" t="n">
        <x:v>202630</x:v>
      </x:c>
      <x:c r="B417" t="str">
        <x:v>第30期（07.27-08.02）</x:v>
      </x:c>
      <x:c r="C417" t="str">
        <x:v>2026-07-27</x:v>
      </x:c>
      <x:c r="D417" t="str">
        <x:v>2026-08-02</x:v>
      </x:c>
      <x:c r="E417" t="n">
        <x:v>13</x:v>
      </x:c>
      <x:c r="F417" t="n">
        <x:v>522467109</x:v>
      </x:c>
      <x:c r="G417" t="str">
        <x:v>生日不快乐</x:v>
      </x:c>
      <x:c r="H417" t="str">
        <x:v>张艺兴</x:v>
      </x:c>
      <x:c r="I417" t="str">
        <x:v>001PSlNu3003Td</x:v>
      </x:c>
      <x:c r="J417" t="str">
        <x:v>True</x:v>
      </x:c>
      <x:c r="K417" t="n">
        <x:v>0</x:v>
      </x:c>
      <x:c r="L417" t="n">
        <x:v>1</x:v>
      </x:c>
      <x:c r="M417" t="n">
        <x:v>13</x:v>
      </x:c>
      <x:c r="N417" t="n">
        <x:v>93.34744</x:v>
      </x:c>
      <x:c r="O417" t="n">
        <x:v>70.52</x:v>
      </x:c>
      <x:c r="P417" t="n">
        <x:v>0</x:v>
      </x:c>
      <x:c r="Q417" t="n">
        <x:v>0</x:v>
      </x:c>
      <x:c r="R417" t="n">
        <x:v>61.48</x:v>
      </x:c>
      <x:c r="S417" t="n">
        <x:v>75.39</x:v>
      </x:c>
      <x:c r="T417" t="str">
        <x:v>https://y.gtimg.cn/music/photo_new/T002R500x500M000001w138z3PZEcz_1.jpg</x:v>
      </x:c>
      <x:c r="U417" s="24" t="str">
        <x:f>IFERROR(VLOOKUP(I417,'07_字典与参数'!$G$5:$J$9,2,FALSE),"未入选")</x:f>
        <x:v>未入选</x:v>
      </x:c>
      <x:c r="V417" s="24" t="str">
        <x:f>IFERROR(VLOOKUP(I417,'07_字典与参数'!$G$5:$J$9,3,FALSE),"—")</x:f>
        <x:v>—</x:v>
      </x:c>
      <x:c r="W417" s="24" t="str">
        <x:f>IF(U417="未入选","否","是")</x:f>
        <x:v>否</x:v>
      </x:c>
    </x:row>
    <x:row r="418">
      <x:c r="A418" t="n">
        <x:v>202630</x:v>
      </x:c>
      <x:c r="B418" t="str">
        <x:v>第30期（07.27-08.02）</x:v>
      </x:c>
      <x:c r="C418" t="str">
        <x:v>2026-07-27</x:v>
      </x:c>
      <x:c r="D418" t="str">
        <x:v>2026-08-02</x:v>
      </x:c>
      <x:c r="E418" t="n">
        <x:v>14</x:v>
      </x:c>
      <x:c r="F418" t="n">
        <x:v>528886869</x:v>
      </x:c>
      <x:c r="G418" t="str">
        <x:v>吹吹山顶的风</x:v>
      </x:c>
      <x:c r="H418" t="str">
        <x:v>巴扎黑</x:v>
      </x:c>
      <x:c r="I418" t="str">
        <x:v>00300Opj0ekd7M</x:v>
      </x:c>
      <x:c r="J418" t="str">
        <x:v>False</x:v>
      </x:c>
      <x:c r="K418" t="n">
        <x:v>12</x:v>
      </x:c>
      <x:c r="L418" t="n">
        <x:v>4</x:v>
      </x:c>
      <x:c r="M418" t="n">
        <x:v>12</x:v>
      </x:c>
      <x:c r="N418" t="n">
        <x:v>93.06585</x:v>
      </x:c>
      <x:c r="O418" t="n">
        <x:v>85.78</x:v>
      </x:c>
      <x:c r="P418" t="n">
        <x:v>0</x:v>
      </x:c>
      <x:c r="Q418" t="n">
        <x:v>0</x:v>
      </x:c>
      <x:c r="R418" t="n">
        <x:v>59.05</x:v>
      </x:c>
      <x:c r="S418" t="n">
        <x:v>48</x:v>
      </x:c>
      <x:c r="T418" t="str">
        <x:v>https://y.gtimg.cn/music/photo_new/T002R500x500M000003fdCjM2I4CYg_4.jpg</x:v>
      </x:c>
      <x:c r="U418" s="24" t="str">
        <x:f>IFERROR(VLOOKUP(I418,'07_字典与参数'!$G$5:$J$9,2,FALSE),"未入选")</x:f>
        <x:v>未入选</x:v>
      </x:c>
      <x:c r="V418" s="24" t="str">
        <x:f>IFERROR(VLOOKUP(I418,'07_字典与参数'!$G$5:$J$9,3,FALSE),"—")</x:f>
        <x:v>—</x:v>
      </x:c>
      <x:c r="W418" s="24" t="str">
        <x:f>IF(U418="未入选","否","是")</x:f>
        <x:v>否</x:v>
      </x:c>
    </x:row>
    <x:row r="419">
      <x:c r="A419" t="n">
        <x:v>202630</x:v>
      </x:c>
      <x:c r="B419" t="str">
        <x:v>第30期（07.27-08.02）</x:v>
      </x:c>
      <x:c r="C419" t="str">
        <x:v>2026-07-27</x:v>
      </x:c>
      <x:c r="D419" t="str">
        <x:v>2026-08-02</x:v>
      </x:c>
      <x:c r="E419" t="n">
        <x:v>15</x:v>
      </x:c>
      <x:c r="F419" t="n">
        <x:v>490979740</x:v>
      </x:c>
      <x:c r="G419" t="str">
        <x:v>玻璃</x:v>
      </x:c>
      <x:c r="H419" t="str">
        <x:v>Gareth.T</x:v>
      </x:c>
      <x:c r="I419" t="str">
        <x:v>001brxL63DYjSr</x:v>
      </x:c>
      <x:c r="J419" t="str">
        <x:v>False</x:v>
      </x:c>
      <x:c r="K419" t="n">
        <x:v>14</x:v>
      </x:c>
      <x:c r="L419" t="n">
        <x:v>11</x:v>
      </x:c>
      <x:c r="M419" t="n">
        <x:v>2</x:v>
      </x:c>
      <x:c r="N419" t="n">
        <x:v>93.00712</x:v>
      </x:c>
      <x:c r="O419" t="n">
        <x:v>86.36</x:v>
      </x:c>
      <x:c r="P419" t="n">
        <x:v>0</x:v>
      </x:c>
      <x:c r="Q419" t="n">
        <x:v>0</x:v>
      </x:c>
      <x:c r="R419" t="n">
        <x:v>29.08</x:v>
      </x:c>
      <x:c r="S419" t="n">
        <x:v>52.58</x:v>
      </x:c>
      <x:c r="T419" t="str">
        <x:v>https://y.gtimg.cn/music/photo_new/T002R500x500M000002kIED92uw8L5_1.jpg</x:v>
      </x:c>
      <x:c r="U419" s="24" t="str">
        <x:f>IFERROR(VLOOKUP(I419,'07_字典与参数'!$G$5:$J$9,2,FALSE),"未入选")</x:f>
        <x:v>未入选</x:v>
      </x:c>
      <x:c r="V419" s="24" t="str">
        <x:f>IFERROR(VLOOKUP(I419,'07_字典与参数'!$G$5:$J$9,3,FALSE),"—")</x:f>
        <x:v>—</x:v>
      </x:c>
      <x:c r="W419" s="24" t="str">
        <x:f>IF(U419="未入选","否","是")</x:f>
        <x:v>否</x:v>
      </x:c>
    </x:row>
    <x:row r="420">
      <x:c r="A420" t="n">
        <x:v>202630</x:v>
      </x:c>
      <x:c r="B420" t="str">
        <x:v>第30期（07.27-08.02）</x:v>
      </x:c>
      <x:c r="C420" t="str">
        <x:v>2026-07-27</x:v>
      </x:c>
      <x:c r="D420" t="str">
        <x:v>2026-08-02</x:v>
      </x:c>
      <x:c r="E420" t="n">
        <x:v>16</x:v>
      </x:c>
      <x:c r="F420" t="n">
        <x:v>495624493</x:v>
      </x:c>
      <x:c r="G420" t="str">
        <x:v>梦哑</x:v>
      </x:c>
      <x:c r="H420" t="str">
        <x:v>任然</x:v>
      </x:c>
      <x:c r="I420" t="str">
        <x:v>003WHs6a1qmOeG</x:v>
      </x:c>
      <x:c r="J420" t="str">
        <x:v>False</x:v>
      </x:c>
      <x:c r="K420" t="n">
        <x:v>15</x:v>
      </x:c>
      <x:c r="L420" t="n">
        <x:v>6</x:v>
      </x:c>
      <x:c r="M420" t="n">
        <x:v>15</x:v>
      </x:c>
      <x:c r="N420" t="n">
        <x:v>92.74686</x:v>
      </x:c>
      <x:c r="O420" t="n">
        <x:v>85.72</x:v>
      </x:c>
      <x:c r="P420" t="n">
        <x:v>0</x:v>
      </x:c>
      <x:c r="Q420" t="n">
        <x:v>0</x:v>
      </x:c>
      <x:c r="R420" t="n">
        <x:v>21.9</x:v>
      </x:c>
      <x:c r="S420" t="n">
        <x:v>57</x:v>
      </x:c>
      <x:c r="T420" t="str">
        <x:v>https://y.gtimg.cn/music/photo_new/T002R500x500M000000JotAZ2WZEkq_1.jpg</x:v>
      </x:c>
      <x:c r="U420" s="24" t="str">
        <x:f>IFERROR(VLOOKUP(I420,'07_字典与参数'!$G$5:$J$9,2,FALSE),"未入选")</x:f>
        <x:v>未入选</x:v>
      </x:c>
      <x:c r="V420" s="24" t="str">
        <x:f>IFERROR(VLOOKUP(I420,'07_字典与参数'!$G$5:$J$9,3,FALSE),"—")</x:f>
        <x:v>—</x:v>
      </x:c>
      <x:c r="W420" s="24" t="str">
        <x:f>IF(U420="未入选","否","是")</x:f>
        <x:v>否</x:v>
      </x:c>
    </x:row>
    <x:row r="421">
      <x:c r="A421" t="n">
        <x:v>202630</x:v>
      </x:c>
      <x:c r="B421" t="str">
        <x:v>第30期（07.27-08.02）</x:v>
      </x:c>
      <x:c r="C421" t="str">
        <x:v>2026-07-27</x:v>
      </x:c>
      <x:c r="D421" t="str">
        <x:v>2026-08-02</x:v>
      </x:c>
      <x:c r="E421" t="n">
        <x:v>17</x:v>
      </x:c>
      <x:c r="F421" t="n">
        <x:v>536395629</x:v>
      </x:c>
      <x:c r="G421" t="str">
        <x:v>也许你就在对岸</x:v>
      </x:c>
      <x:c r="H421" t="str">
        <x:v>张杰</x:v>
      </x:c>
      <x:c r="I421" t="str">
        <x:v>001C6jX625yhUv</x:v>
      </x:c>
      <x:c r="J421" t="str">
        <x:v>True</x:v>
      </x:c>
      <x:c r="K421" t="n">
        <x:v>0</x:v>
      </x:c>
      <x:c r="L421" t="n">
        <x:v>1</x:v>
      </x:c>
      <x:c r="M421" t="n">
        <x:v>17</x:v>
      </x:c>
      <x:c r="N421" t="n">
        <x:v>92.26905</x:v>
      </x:c>
      <x:c r="O421" t="n">
        <x:v>79.33</x:v>
      </x:c>
      <x:c r="P421" t="n">
        <x:v>0</x:v>
      </x:c>
      <x:c r="Q421" t="n">
        <x:v>0</x:v>
      </x:c>
      <x:c r="R421" t="n">
        <x:v>51.17</x:v>
      </x:c>
      <x:c r="S421" t="n">
        <x:v>70.78</x:v>
      </x:c>
      <x:c r="T421" t="str">
        <x:v>https://y.gtimg.cn/music/photo_new/T002R500x500M000002iSmQU4DC9Eu_2.jpg</x:v>
      </x:c>
      <x:c r="U421" s="24" t="str">
        <x:f>IFERROR(VLOOKUP(I421,'07_字典与参数'!$G$5:$J$9,2,FALSE),"未入选")</x:f>
        <x:v>未入选</x:v>
      </x:c>
      <x:c r="V421" s="24" t="str">
        <x:f>IFERROR(VLOOKUP(I421,'07_字典与参数'!$G$5:$J$9,3,FALSE),"—")</x:f>
        <x:v>—</x:v>
      </x:c>
      <x:c r="W421" s="24" t="str">
        <x:f>IF(U421="未入选","否","是")</x:f>
        <x:v>否</x:v>
      </x:c>
    </x:row>
    <x:row r="422">
      <x:c r="A422" t="n">
        <x:v>202630</x:v>
      </x:c>
      <x:c r="B422" t="str">
        <x:v>第30期（07.27-08.02）</x:v>
      </x:c>
      <x:c r="C422" t="str">
        <x:v>2026-07-27</x:v>
      </x:c>
      <x:c r="D422" t="str">
        <x:v>2026-08-02</x:v>
      </x:c>
      <x:c r="E422" t="n">
        <x:v>18</x:v>
      </x:c>
      <x:c r="F422" t="n">
        <x:v>534467920</x:v>
      </x:c>
      <x:c r="G422" t="str">
        <x:v>云儿</x:v>
      </x:c>
      <x:c r="H422" t="str">
        <x:v>喻言</x:v>
      </x:c>
      <x:c r="I422" t="str">
        <x:v>0004am9z0JNbXr</x:v>
      </x:c>
      <x:c r="J422" t="str">
        <x:v>False</x:v>
      </x:c>
      <x:c r="K422" t="n">
        <x:v>66</x:v>
      </x:c>
      <x:c r="L422" t="n">
        <x:v>2</x:v>
      </x:c>
      <x:c r="M422" t="n">
        <x:v>18</x:v>
      </x:c>
      <x:c r="N422" t="n">
        <x:v>92.13943</x:v>
      </x:c>
      <x:c r="O422" t="n">
        <x:v>63.59</x:v>
      </x:c>
      <x:c r="P422" t="n">
        <x:v>0</x:v>
      </x:c>
      <x:c r="Q422" t="n">
        <x:v>0</x:v>
      </x:c>
      <x:c r="R422" t="n">
        <x:v>63.39</x:v>
      </x:c>
      <x:c r="S422" t="n">
        <x:v>72.28</x:v>
      </x:c>
      <x:c r="T422" t="str">
        <x:v>https://y.qq.com/music/photo_new/T062R500x500M0000000DBkm13Yu2I.jpg</x:v>
      </x:c>
      <x:c r="U422" s="24" t="str">
        <x:f>IFERROR(VLOOKUP(I422,'07_字典与参数'!$G$5:$J$9,2,FALSE),"未入选")</x:f>
        <x:v>未入选</x:v>
      </x:c>
      <x:c r="V422" s="24" t="str">
        <x:f>IFERROR(VLOOKUP(I422,'07_字典与参数'!$G$5:$J$9,3,FALSE),"—")</x:f>
        <x:v>—</x:v>
      </x:c>
      <x:c r="W422" s="24" t="str">
        <x:f>IF(U422="未入选","否","是")</x:f>
        <x:v>否</x:v>
      </x:c>
    </x:row>
    <x:row r="423">
      <x:c r="A423" t="n">
        <x:v>202630</x:v>
      </x:c>
      <x:c r="B423" t="str">
        <x:v>第30期（07.27-08.02）</x:v>
      </x:c>
      <x:c r="C423" t="str">
        <x:v>2026-07-27</x:v>
      </x:c>
      <x:c r="D423" t="str">
        <x:v>2026-08-02</x:v>
      </x:c>
      <x:c r="E423" t="n">
        <x:v>19</x:v>
      </x:c>
      <x:c r="F423" t="n">
        <x:v>474412512</x:v>
      </x:c>
      <x:c r="G423" t="str">
        <x:v>那天下雨了</x:v>
      </x:c>
      <x:c r="H423" t="str">
        <x:v>周杰伦</x:v>
      </x:c>
      <x:c r="I423" t="str">
        <x:v>0044SaFh0apuR2</x:v>
      </x:c>
      <x:c r="J423" t="str">
        <x:v>False</x:v>
      </x:c>
      <x:c r="K423" t="n">
        <x:v>16</x:v>
      </x:c>
      <x:c r="L423" t="n">
        <x:v>19</x:v>
      </x:c>
      <x:c r="M423" t="n">
        <x:v>2</x:v>
      </x:c>
      <x:c r="N423" t="n">
        <x:v>92.01096</x:v>
      </x:c>
      <x:c r="O423" t="n">
        <x:v>83.46</x:v>
      </x:c>
      <x:c r="P423" t="n">
        <x:v>0</x:v>
      </x:c>
      <x:c r="Q423" t="n">
        <x:v>0</x:v>
      </x:c>
      <x:c r="R423" t="n">
        <x:v>42.01</x:v>
      </x:c>
      <x:c r="S423" t="n">
        <x:v>58.65</x:v>
      </x:c>
      <x:c r="T423" t="str">
        <x:v>https://y.gtimg.cn/music/photo_new/T002R500x500M0000041WVfh2vtlJE_1.jpg</x:v>
      </x:c>
      <x:c r="U423" s="24" t="str">
        <x:f>IFERROR(VLOOKUP(I423,'07_字典与参数'!$G$5:$J$9,2,FALSE),"未入选")</x:f>
        <x:v>未入选</x:v>
      </x:c>
      <x:c r="V423" s="24" t="str">
        <x:f>IFERROR(VLOOKUP(I423,'07_字典与参数'!$G$5:$J$9,3,FALSE),"—")</x:f>
        <x:v>—</x:v>
      </x:c>
      <x:c r="W423" s="24" t="str">
        <x:f>IF(U423="未入选","否","是")</x:f>
        <x:v>否</x:v>
      </x:c>
    </x:row>
    <x:row r="424">
      <x:c r="A424" t="n">
        <x:v>202630</x:v>
      </x:c>
      <x:c r="B424" t="str">
        <x:v>第30期（07.27-08.02）</x:v>
      </x:c>
      <x:c r="C424" t="str">
        <x:v>2026-07-27</x:v>
      </x:c>
      <x:c r="D424" t="str">
        <x:v>2026-08-02</x:v>
      </x:c>
      <x:c r="E424" t="n">
        <x:v>20</x:v>
      </x:c>
      <x:c r="F424" t="n">
        <x:v>476300984</x:v>
      </x:c>
      <x:c r="G424" t="str">
        <x:v>无人乐园</x:v>
      </x:c>
      <x:c r="H424" t="str">
        <x:v>王俊凯</x:v>
      </x:c>
      <x:c r="I424" t="str">
        <x:v>004BsuOC1hamlB</x:v>
      </x:c>
      <x:c r="J424" t="str">
        <x:v>False</x:v>
      </x:c>
      <x:c r="K424" t="n">
        <x:v>78</x:v>
      </x:c>
      <x:c r="L424" t="n">
        <x:v>19</x:v>
      </x:c>
      <x:c r="M424" t="n">
        <x:v>1</x:v>
      </x:c>
      <x:c r="N424" t="n">
        <x:v>92.00858</x:v>
      </x:c>
      <x:c r="O424" t="n">
        <x:v>70.08</x:v>
      </x:c>
      <x:c r="P424" t="n">
        <x:v>0</x:v>
      </x:c>
      <x:c r="Q424" t="n">
        <x:v>0</x:v>
      </x:c>
      <x:c r="R424" t="n">
        <x:v>27.5</x:v>
      </x:c>
      <x:c r="S424" t="n">
        <x:v>74.2</x:v>
      </x:c>
      <x:c r="T424" t="str">
        <x:v>https://y.qq.com/music/photo_new/T062R500x500M000002ExhNX0VO1Mc.jpg</x:v>
      </x:c>
      <x:c r="U424" s="24" t="str">
        <x:f>IFERROR(VLOOKUP(I424,'07_字典与参数'!$G$5:$J$9,2,FALSE),"未入选")</x:f>
        <x:v>未入选</x:v>
      </x:c>
      <x:c r="V424" s="24" t="str">
        <x:f>IFERROR(VLOOKUP(I424,'07_字典与参数'!$G$5:$J$9,3,FALSE),"—")</x:f>
        <x:v>—</x:v>
      </x:c>
      <x:c r="W424" s="24" t="str">
        <x:f>IF(U424="未入选","否","是")</x:f>
        <x:v>否</x:v>
      </x:c>
    </x:row>
    <x:row r="425">
      <x:c r="A425" t="n">
        <x:v>202630</x:v>
      </x:c>
      <x:c r="B425" t="str">
        <x:v>第30期（07.27-08.02）</x:v>
      </x:c>
      <x:c r="C425" t="str">
        <x:v>2026-07-27</x:v>
      </x:c>
      <x:c r="D425" t="str">
        <x:v>2026-08-02</x:v>
      </x:c>
      <x:c r="E425" t="n">
        <x:v>21</x:v>
      </x:c>
      <x:c r="F425" t="n">
        <x:v>293603181</x:v>
      </x:c>
      <x:c r="G425" t="str">
        <x:v>小美满</x:v>
      </x:c>
      <x:c r="H425" t="str">
        <x:v>周深</x:v>
      </x:c>
      <x:c r="I425" t="str">
        <x:v>002QvWwX1BG9mr</x:v>
      </x:c>
      <x:c r="J425" t="str">
        <x:v>False</x:v>
      </x:c>
      <x:c r="K425" t="n">
        <x:v>20</x:v>
      </x:c>
      <x:c r="L425" t="n">
        <x:v>130</x:v>
      </x:c>
      <x:c r="M425" t="n">
        <x:v>1</x:v>
      </x:c>
      <x:c r="N425" t="n">
        <x:v>91.85858</x:v>
      </x:c>
      <x:c r="O425" t="n">
        <x:v>79.56</x:v>
      </x:c>
      <x:c r="P425" t="n">
        <x:v>0</x:v>
      </x:c>
      <x:c r="Q425" t="n">
        <x:v>0</x:v>
      </x:c>
      <x:c r="R425" t="n">
        <x:v>35.98</x:v>
      </x:c>
      <x:c r="S425" t="n">
        <x:v>70.2</x:v>
      </x:c>
      <x:c r="T425" t="str">
        <x:v>https://y.gtimg.cn/music/photo_new/T002R500x500M0000002ATV00WcBgd_2.jpg</x:v>
      </x:c>
      <x:c r="U425" s="24" t="str">
        <x:f>IFERROR(VLOOKUP(I425,'07_字典与参数'!$G$5:$J$9,2,FALSE),"未入选")</x:f>
        <x:v>未入选</x:v>
      </x:c>
      <x:c r="V425" s="24" t="str">
        <x:f>IFERROR(VLOOKUP(I425,'07_字典与参数'!$G$5:$J$9,3,FALSE),"—")</x:f>
        <x:v>—</x:v>
      </x:c>
      <x:c r="W425" s="24" t="str">
        <x:f>IF(U425="未入选","否","是")</x:f>
        <x:v>否</x:v>
      </x:c>
    </x:row>
    <x:row r="426">
      <x:c r="A426" t="n">
        <x:v>202630</x:v>
      </x:c>
      <x:c r="B426" t="str">
        <x:v>第30期（07.27-08.02）</x:v>
      </x:c>
      <x:c r="C426" t="str">
        <x:v>2026-07-27</x:v>
      </x:c>
      <x:c r="D426" t="str">
        <x:v>2026-08-02</x:v>
      </x:c>
      <x:c r="E426" t="n">
        <x:v>22</x:v>
      </x:c>
      <x:c r="F426" t="n">
        <x:v>199985272</x:v>
      </x:c>
      <x:c r="G426" t="str">
        <x:v>花开忘忧</x:v>
      </x:c>
      <x:c r="H426" t="str">
        <x:v>周深</x:v>
      </x:c>
      <x:c r="I426" t="str">
        <x:v>004czGF42WSgko</x:v>
      </x:c>
      <x:c r="J426" t="str">
        <x:v>False</x:v>
      </x:c>
      <x:c r="K426" t="n">
        <x:v>21</x:v>
      </x:c>
      <x:c r="L426" t="n">
        <x:v>204</x:v>
      </x:c>
      <x:c r="M426" t="n">
        <x:v>1</x:v>
      </x:c>
      <x:c r="N426" t="n">
        <x:v>91.76614</x:v>
      </x:c>
      <x:c r="O426" t="n">
        <x:v>71.64</x:v>
      </x:c>
      <x:c r="P426" t="n">
        <x:v>0</x:v>
      </x:c>
      <x:c r="Q426" t="n">
        <x:v>0</x:v>
      </x:c>
      <x:c r="R426" t="n">
        <x:v>26.35</x:v>
      </x:c>
      <x:c r="S426" t="n">
        <x:v>73.12</x:v>
      </x:c>
      <x:c r="T426" t="str">
        <x:v>https://y.gtimg.cn/music/photo_new/T002R500x500M000001rb1ah0bFKMo_1.jpg</x:v>
      </x:c>
      <x:c r="U426" s="24" t="str">
        <x:f>IFERROR(VLOOKUP(I426,'07_字典与参数'!$G$5:$J$9,2,FALSE),"未入选")</x:f>
        <x:v>未入选</x:v>
      </x:c>
      <x:c r="V426" s="24" t="str">
        <x:f>IFERROR(VLOOKUP(I426,'07_字典与参数'!$G$5:$J$9,3,FALSE),"—")</x:f>
        <x:v>—</x:v>
      </x:c>
      <x:c r="W426" s="24" t="str">
        <x:f>IF(U426="未入选","否","是")</x:f>
        <x:v>否</x:v>
      </x:c>
    </x:row>
    <x:row r="427">
      <x:c r="A427" t="n">
        <x:v>202630</x:v>
      </x:c>
      <x:c r="B427" t="str">
        <x:v>第30期（07.27-08.02）</x:v>
      </x:c>
      <x:c r="C427" t="str">
        <x:v>2026-07-27</x:v>
      </x:c>
      <x:c r="D427" t="str">
        <x:v>2026-08-02</x:v>
      </x:c>
      <x:c r="E427" t="n">
        <x:v>23</x:v>
      </x:c>
      <x:c r="F427" t="n">
        <x:v>385505856</x:v>
      </x:c>
      <x:c r="G427" t="str">
        <x:v>像晴天像雨天</x:v>
      </x:c>
      <x:c r="H427" t="str">
        <x:v>汪苏泷</x:v>
      </x:c>
      <x:c r="I427" t="str">
        <x:v>003sZs4P2hFUVQ</x:v>
      </x:c>
      <x:c r="J427" t="str">
        <x:v>False</x:v>
      </x:c>
      <x:c r="K427" t="n">
        <x:v>19</x:v>
      </x:c>
      <x:c r="L427" t="n">
        <x:v>77</x:v>
      </x:c>
      <x:c r="M427" t="n">
        <x:v>6</x:v>
      </x:c>
      <x:c r="N427" t="n">
        <x:v>91.48019</x:v>
      </x:c>
      <x:c r="O427" t="n">
        <x:v>77.98</x:v>
      </x:c>
      <x:c r="P427" t="n">
        <x:v>0</x:v>
      </x:c>
      <x:c r="Q427" t="n">
        <x:v>0</x:v>
      </x:c>
      <x:c r="R427" t="n">
        <x:v>28.7</x:v>
      </x:c>
      <x:c r="S427" t="n">
        <x:v>70.01</x:v>
      </x:c>
      <x:c r="T427" t="str">
        <x:v>https://y.gtimg.cn/music/photo_new/T002R500x500M000001V8PDy1om05K_1.jpg</x:v>
      </x:c>
      <x:c r="U427" s="24" t="str">
        <x:f>IFERROR(VLOOKUP(I427,'07_字典与参数'!$G$5:$J$9,2,FALSE),"未入选")</x:f>
        <x:v>未入选</x:v>
      </x:c>
      <x:c r="V427" s="24" t="str">
        <x:f>IFERROR(VLOOKUP(I427,'07_字典与参数'!$G$5:$J$9,3,FALSE),"—")</x:f>
        <x:v>—</x:v>
      </x:c>
      <x:c r="W427" s="24" t="str">
        <x:f>IF(U427="未入选","否","是")</x:f>
        <x:v>否</x:v>
      </x:c>
    </x:row>
    <x:row r="428">
      <x:c r="A428" t="n">
        <x:v>202630</x:v>
      </x:c>
      <x:c r="B428" t="str">
        <x:v>第30期（07.27-08.02）</x:v>
      </x:c>
      <x:c r="C428" t="str">
        <x:v>2026-07-27</x:v>
      </x:c>
      <x:c r="D428" t="str">
        <x:v>2026-08-02</x:v>
      </x:c>
      <x:c r="E428" t="n">
        <x:v>24</x:v>
      </x:c>
      <x:c r="F428" t="n">
        <x:v>532442337</x:v>
      </x:c>
      <x:c r="G428" t="str">
        <x:v>全世界的雨</x:v>
      </x:c>
      <x:c r="H428" t="str">
        <x:v>周深,Ella陈嘉桦</x:v>
      </x:c>
      <x:c r="I428" t="str">
        <x:v>000R5lKk0KJBgG</x:v>
      </x:c>
      <x:c r="J428" t="str">
        <x:v>False</x:v>
      </x:c>
      <x:c r="K428" t="n">
        <x:v>2</x:v>
      </x:c>
      <x:c r="L428" t="n">
        <x:v>3</x:v>
      </x:c>
      <x:c r="M428" t="n">
        <x:v>2</x:v>
      </x:c>
      <x:c r="N428" t="n">
        <x:v>91.46699</x:v>
      </x:c>
      <x:c r="O428" t="n">
        <x:v>81.22</x:v>
      </x:c>
      <x:c r="P428" t="n">
        <x:v>0</x:v>
      </x:c>
      <x:c r="Q428" t="n">
        <x:v>0</x:v>
      </x:c>
      <x:c r="R428" t="n">
        <x:v>37.14</x:v>
      </x:c>
      <x:c r="S428" t="n">
        <x:v>61.85</x:v>
      </x:c>
      <x:c r="T428" t="str">
        <x:v>https://y.gtimg.cn/music/photo_new/T002R500x500M000003K9rwV09UxLk_1.jpg</x:v>
      </x:c>
      <x:c r="U428" s="24" t="str">
        <x:f>IFERROR(VLOOKUP(I428,'07_字典与参数'!$G$5:$J$9,2,FALSE),"未入选")</x:f>
        <x:v>未入选</x:v>
      </x:c>
      <x:c r="V428" s="24" t="str">
        <x:f>IFERROR(VLOOKUP(I428,'07_字典与参数'!$G$5:$J$9,3,FALSE),"—")</x:f>
        <x:v>—</x:v>
      </x:c>
      <x:c r="W428" s="24" t="str">
        <x:f>IF(U428="未入选","否","是")</x:f>
        <x:v>否</x:v>
      </x:c>
    </x:row>
    <x:row r="429">
      <x:c r="A429" t="n">
        <x:v>202630</x:v>
      </x:c>
      <x:c r="B429" t="str">
        <x:v>第30期（07.27-08.02）</x:v>
      </x:c>
      <x:c r="C429" t="str">
        <x:v>2026-07-27</x:v>
      </x:c>
      <x:c r="D429" t="str">
        <x:v>2026-08-02</x:v>
      </x:c>
      <x:c r="E429" t="n">
        <x:v>25</x:v>
      </x:c>
      <x:c r="F429" t="n">
        <x:v>447308818</x:v>
      </x:c>
      <x:c r="G429" t="str">
        <x:v>街角的晚风</x:v>
      </x:c>
      <x:c r="H429" t="str">
        <x:v>陈小春</x:v>
      </x:c>
      <x:c r="I429" t="str">
        <x:v>001e2FJz3QXaf0</x:v>
      </x:c>
      <x:c r="J429" t="str">
        <x:v>False</x:v>
      </x:c>
      <x:c r="K429" t="n">
        <x:v>18</x:v>
      </x:c>
      <x:c r="L429" t="n">
        <x:v>34</x:v>
      </x:c>
      <x:c r="M429" t="n">
        <x:v>5</x:v>
      </x:c>
      <x:c r="N429" t="n">
        <x:v>91.41671</x:v>
      </x:c>
      <x:c r="O429" t="n">
        <x:v>83.13</x:v>
      </x:c>
      <x:c r="P429" t="n">
        <x:v>0</x:v>
      </x:c>
      <x:c r="Q429" t="n">
        <x:v>0</x:v>
      </x:c>
      <x:c r="R429" t="n">
        <x:v>46.72</x:v>
      </x:c>
      <x:c r="S429" t="n">
        <x:v>40.13</x:v>
      </x:c>
      <x:c r="T429" t="str">
        <x:v>https://y.gtimg.cn/music/photo_new/T002R500x500M0000028jKt80PGmlB_4.jpg</x:v>
      </x:c>
      <x:c r="U429" s="24" t="str">
        <x:f>IFERROR(VLOOKUP(I429,'07_字典与参数'!$G$5:$J$9,2,FALSE),"未入选")</x:f>
        <x:v>未入选</x:v>
      </x:c>
      <x:c r="V429" s="24" t="str">
        <x:f>IFERROR(VLOOKUP(I429,'07_字典与参数'!$G$5:$J$9,3,FALSE),"—")</x:f>
        <x:v>—</x:v>
      </x:c>
      <x:c r="W429" s="24" t="str">
        <x:f>IF(U429="未入选","否","是")</x:f>
        <x:v>否</x:v>
      </x:c>
    </x:row>
    <x:row r="430">
      <x:c r="A430" t="n">
        <x:v>202630</x:v>
      </x:c>
      <x:c r="B430" t="str">
        <x:v>第30期（07.27-08.02）</x:v>
      </x:c>
      <x:c r="C430" t="str">
        <x:v>2026-07-27</x:v>
      </x:c>
      <x:c r="D430" t="str">
        <x:v>2026-08-02</x:v>
      </x:c>
      <x:c r="E430" t="n">
        <x:v>26</x:v>
      </x:c>
      <x:c r="F430" t="n">
        <x:v>501946792</x:v>
      </x:c>
      <x:c r="G430" t="str">
        <x:v>云絮低语</x:v>
      </x:c>
      <x:c r="H430" t="str">
        <x:v>云朵</x:v>
      </x:c>
      <x:c r="I430" t="str">
        <x:v>000X5dVy0AaZKa</x:v>
      </x:c>
      <x:c r="J430" t="str">
        <x:v>False</x:v>
      </x:c>
      <x:c r="K430" t="n">
        <x:v>28</x:v>
      </x:c>
      <x:c r="L430" t="n">
        <x:v>5</x:v>
      </x:c>
      <x:c r="M430" t="n">
        <x:v>26</x:v>
      </x:c>
      <x:c r="N430" t="n">
        <x:v>91.09622</x:v>
      </x:c>
      <x:c r="O430" t="n">
        <x:v>62.24</x:v>
      </x:c>
      <x:c r="P430" t="n">
        <x:v>0</x:v>
      </x:c>
      <x:c r="Q430" t="n">
        <x:v>0</x:v>
      </x:c>
      <x:c r="R430" t="n">
        <x:v>58.48</x:v>
      </x:c>
      <x:c r="S430" t="n">
        <x:v>70.44</x:v>
      </x:c>
      <x:c r="T430" t="str">
        <x:v>https://y.gtimg.cn/music/photo_new/T002R500x500M000000BlY9Z3Nrr3g_1.jpg</x:v>
      </x:c>
      <x:c r="U430" s="24" t="str">
        <x:f>IFERROR(VLOOKUP(I430,'07_字典与参数'!$G$5:$J$9,2,FALSE),"未入选")</x:f>
        <x:v>未入选</x:v>
      </x:c>
      <x:c r="V430" s="24" t="str">
        <x:f>IFERROR(VLOOKUP(I430,'07_字典与参数'!$G$5:$J$9,3,FALSE),"—")</x:f>
        <x:v>—</x:v>
      </x:c>
      <x:c r="W430" s="24" t="str">
        <x:f>IF(U430="未入选","否","是")</x:f>
        <x:v>否</x:v>
      </x:c>
    </x:row>
    <x:row r="431">
      <x:c r="A431" t="n">
        <x:v>202630</x:v>
      </x:c>
      <x:c r="B431" t="str">
        <x:v>第30期（07.27-08.02）</x:v>
      </x:c>
      <x:c r="C431" t="str">
        <x:v>2026-07-27</x:v>
      </x:c>
      <x:c r="D431" t="str">
        <x:v>2026-08-02</x:v>
      </x:c>
      <x:c r="E431" t="n">
        <x:v>27</x:v>
      </x:c>
      <x:c r="F431" t="n">
        <x:v>475529076</x:v>
      </x:c>
      <x:c r="G431" t="str">
        <x:v>Fever Pitch</x:v>
      </x:c>
      <x:c r="H431" t="str">
        <x:v>Richz</x:v>
      </x:c>
      <x:c r="I431" t="str">
        <x:v>000WhoSx0Wpvog</x:v>
      </x:c>
      <x:c r="J431" t="str">
        <x:v>False</x:v>
      </x:c>
      <x:c r="K431" t="n">
        <x:v>23</x:v>
      </x:c>
      <x:c r="L431" t="n">
        <x:v>12</x:v>
      </x:c>
      <x:c r="M431" t="n">
        <x:v>22</x:v>
      </x:c>
      <x:c r="N431" t="n">
        <x:v>91.02278</x:v>
      </x:c>
      <x:c r="O431" t="n">
        <x:v>82.44</x:v>
      </x:c>
      <x:c r="P431" t="n">
        <x:v>0</x:v>
      </x:c>
      <x:c r="Q431" t="n">
        <x:v>0</x:v>
      </x:c>
      <x:c r="R431" t="n">
        <x:v>35.44</x:v>
      </x:c>
      <x:c r="S431" t="n">
        <x:v>37.26</x:v>
      </x:c>
      <x:c r="T431" t="str">
        <x:v>https://y.gtimg.cn/music/photo_new/T002R500x500M0000013EMSw3bvHuu_1.jpg</x:v>
      </x:c>
      <x:c r="U431" s="24" t="str">
        <x:f>IFERROR(VLOOKUP(I431,'07_字典与参数'!$G$5:$J$9,2,FALSE),"未入选")</x:f>
        <x:v>未入选</x:v>
      </x:c>
      <x:c r="V431" s="24" t="str">
        <x:f>IFERROR(VLOOKUP(I431,'07_字典与参数'!$G$5:$J$9,3,FALSE),"—")</x:f>
        <x:v>—</x:v>
      </x:c>
      <x:c r="W431" s="24" t="str">
        <x:f>IF(U431="未入选","否","是")</x:f>
        <x:v>否</x:v>
      </x:c>
    </x:row>
    <x:row r="432">
      <x:c r="A432" t="n">
        <x:v>202630</x:v>
      </x:c>
      <x:c r="B432" t="str">
        <x:v>第30期（07.27-08.02）</x:v>
      </x:c>
      <x:c r="C432" t="str">
        <x:v>2026-07-27</x:v>
      </x:c>
      <x:c r="D432" t="str">
        <x:v>2026-08-02</x:v>
      </x:c>
      <x:c r="E432" t="n">
        <x:v>28</x:v>
      </x:c>
      <x:c r="F432" t="n">
        <x:v>466598714</x:v>
      </x:c>
      <x:c r="G432" t="str">
        <x:v>人间共鸣</x:v>
      </x:c>
      <x:c r="H432" t="str">
        <x:v>李健</x:v>
      </x:c>
      <x:c r="I432" t="str">
        <x:v>001ve92b4N7wT1</x:v>
      </x:c>
      <x:c r="J432" t="str">
        <x:v>False</x:v>
      </x:c>
      <x:c r="K432" t="n">
        <x:v>42</x:v>
      </x:c>
      <x:c r="L432" t="n">
        <x:v>25</x:v>
      </x:c>
      <x:c r="M432" t="n">
        <x:v>4</x:v>
      </x:c>
      <x:c r="N432" t="n">
        <x:v>90.98251</x:v>
      </x:c>
      <x:c r="O432" t="n">
        <x:v>80.49</x:v>
      </x:c>
      <x:c r="P432" t="n">
        <x:v>0</x:v>
      </x:c>
      <x:c r="Q432" t="n">
        <x:v>0</x:v>
      </x:c>
      <x:c r="R432" t="n">
        <x:v>45.8</x:v>
      </x:c>
      <x:c r="S432" t="n">
        <x:v>55.46</x:v>
      </x:c>
      <x:c r="T432" t="str">
        <x:v>https://y.gtimg.cn/music/photo_new/T002R500x500M000003RVJjp1svtyz_1.jpg</x:v>
      </x:c>
      <x:c r="U432" s="24" t="str">
        <x:f>IFERROR(VLOOKUP(I432,'07_字典与参数'!$G$5:$J$9,2,FALSE),"未入选")</x:f>
        <x:v>未入选</x:v>
      </x:c>
      <x:c r="V432" s="24" t="str">
        <x:f>IFERROR(VLOOKUP(I432,'07_字典与参数'!$G$5:$J$9,3,FALSE),"—")</x:f>
        <x:v>—</x:v>
      </x:c>
      <x:c r="W432" s="24" t="str">
        <x:f>IF(U432="未入选","否","是")</x:f>
        <x:v>否</x:v>
      </x:c>
    </x:row>
    <x:row r="433">
      <x:c r="A433" t="n">
        <x:v>202630</x:v>
      </x:c>
      <x:c r="B433" t="str">
        <x:v>第30期（07.27-08.02）</x:v>
      </x:c>
      <x:c r="C433" t="str">
        <x:v>2026-07-27</x:v>
      </x:c>
      <x:c r="D433" t="str">
        <x:v>2026-08-02</x:v>
      </x:c>
      <x:c r="E433" t="n">
        <x:v>29</x:v>
      </x:c>
      <x:c r="F433" t="n">
        <x:v>458320813</x:v>
      </x:c>
      <x:c r="G433" t="str">
        <x:v>Someone Like You</x:v>
      </x:c>
      <x:c r="H433" t="str">
        <x:v>张真源</x:v>
      </x:c>
      <x:c r="I433" t="str">
        <x:v>004TaA831D40QG</x:v>
      </x:c>
      <x:c r="J433" t="str">
        <x:v>False</x:v>
      </x:c>
      <x:c r="K433" t="n">
        <x:v>38</x:v>
      </x:c>
      <x:c r="L433" t="n">
        <x:v>29</x:v>
      </x:c>
      <x:c r="M433" t="n">
        <x:v>1</x:v>
      </x:c>
      <x:c r="N433" t="n">
        <x:v>90.86682</x:v>
      </x:c>
      <x:c r="O433" t="n">
        <x:v>53.12</x:v>
      </x:c>
      <x:c r="P433" t="n">
        <x:v>0</x:v>
      </x:c>
      <x:c r="Q433" t="n">
        <x:v>0</x:v>
      </x:c>
      <x:c r="R433" t="n">
        <x:v>27.96</x:v>
      </x:c>
      <x:c r="S433" t="n">
        <x:v>71.83</x:v>
      </x:c>
      <x:c r="T433" t="str">
        <x:v>https://y.gtimg.cn/music/photo_new/T002R500x500M000002P1zsF2O3TDF_1.jpg</x:v>
      </x:c>
      <x:c r="U433" s="24" t="str">
        <x:f>IFERROR(VLOOKUP(I433,'07_字典与参数'!$G$5:$J$9,2,FALSE),"未入选")</x:f>
        <x:v>未入选</x:v>
      </x:c>
      <x:c r="V433" s="24" t="str">
        <x:f>IFERROR(VLOOKUP(I433,'07_字典与参数'!$G$5:$J$9,3,FALSE),"—")</x:f>
        <x:v>—</x:v>
      </x:c>
      <x:c r="W433" s="24" t="str">
        <x:f>IF(U433="未入选","否","是")</x:f>
        <x:v>否</x:v>
      </x:c>
    </x:row>
    <x:row r="434">
      <x:c r="A434" t="n">
        <x:v>202630</x:v>
      </x:c>
      <x:c r="B434" t="str">
        <x:v>第30期（07.27-08.02）</x:v>
      </x:c>
      <x:c r="C434" t="str">
        <x:v>2026-07-27</x:v>
      </x:c>
      <x:c r="D434" t="str">
        <x:v>2026-08-02</x:v>
      </x:c>
      <x:c r="E434" t="n">
        <x:v>30</x:v>
      </x:c>
      <x:c r="F434" t="n">
        <x:v>536275931</x:v>
      </x:c>
      <x:c r="G434" t="str">
        <x:v>听无声处</x:v>
      </x:c>
      <x:c r="H434" t="str">
        <x:v>周深</x:v>
      </x:c>
      <x:c r="I434" t="str">
        <x:v>002SAARr0ebrGS</x:v>
      </x:c>
      <x:c r="J434" t="str">
        <x:v>True</x:v>
      </x:c>
      <x:c r="K434" t="n">
        <x:v>0</x:v>
      </x:c>
      <x:c r="L434" t="n">
        <x:v>1</x:v>
      </x:c>
      <x:c r="M434" t="n">
        <x:v>30</x:v>
      </x:c>
      <x:c r="N434" t="n">
        <x:v>90.83673</x:v>
      </x:c>
      <x:c r="O434" t="n">
        <x:v>71.02</x:v>
      </x:c>
      <x:c r="P434" t="n">
        <x:v>0</x:v>
      </x:c>
      <x:c r="Q434" t="n">
        <x:v>0</x:v>
      </x:c>
      <x:c r="R434" t="n">
        <x:v>62.65</x:v>
      </x:c>
      <x:c r="S434" t="n">
        <x:v>62.7</x:v>
      </x:c>
      <x:c r="T434" t="str">
        <x:v>https://y.qq.com/music/photo_new/T062R500x500M000004Ym4111EqoVs.jpg</x:v>
      </x:c>
      <x:c r="U434" s="24" t="str">
        <x:f>IFERROR(VLOOKUP(I434,'07_字典与参数'!$G$5:$J$9,2,FALSE),"未入选")</x:f>
        <x:v>未入选</x:v>
      </x:c>
      <x:c r="V434" s="24" t="str">
        <x:f>IFERROR(VLOOKUP(I434,'07_字典与参数'!$G$5:$J$9,3,FALSE),"—")</x:f>
        <x:v>—</x:v>
      </x:c>
      <x:c r="W434" s="24" t="str">
        <x:f>IF(U434="未入选","否","是")</x:f>
        <x:v>否</x:v>
      </x:c>
    </x:row>
    <x:row r="435">
      <x:c r="A435" t="n">
        <x:v>202630</x:v>
      </x:c>
      <x:c r="B435" t="str">
        <x:v>第30期（07.27-08.02）</x:v>
      </x:c>
      <x:c r="C435" t="str">
        <x:v>2026-07-27</x:v>
      </x:c>
      <x:c r="D435" t="str">
        <x:v>2026-08-02</x:v>
      </x:c>
      <x:c r="E435" t="n">
        <x:v>31</x:v>
      </x:c>
      <x:c r="F435" t="n">
        <x:v>486022788</x:v>
      </x:c>
      <x:c r="G435" t="str">
        <x:v>两世洞天</x:v>
      </x:c>
      <x:c r="H435" t="str">
        <x:v>黄星</x:v>
      </x:c>
      <x:c r="I435" t="str">
        <x:v>001rRVzh2m7RJB</x:v>
      </x:c>
      <x:c r="J435" t="str">
        <x:v>False</x:v>
      </x:c>
      <x:c r="K435" t="n">
        <x:v>39</x:v>
      </x:c>
      <x:c r="L435" t="n">
        <x:v>9</x:v>
      </x:c>
      <x:c r="M435" t="n">
        <x:v>15</x:v>
      </x:c>
      <x:c r="N435" t="n">
        <x:v>90.8195</x:v>
      </x:c>
      <x:c r="O435" t="n">
        <x:v>51.18</x:v>
      </x:c>
      <x:c r="P435" t="n">
        <x:v>0</x:v>
      </x:c>
      <x:c r="Q435" t="n">
        <x:v>0</x:v>
      </x:c>
      <x:c r="R435" t="n">
        <x:v>12.01</x:v>
      </x:c>
      <x:c r="S435" t="n">
        <x:v>71.91</x:v>
      </x:c>
      <x:c r="T435" t="str">
        <x:v>https://y.gtimg.cn/music/photo_new/T002R500x500M0000001ze381iKWmo_2.jpg</x:v>
      </x:c>
      <x:c r="U435" s="24" t="n">
        <x:f>IFERROR(VLOOKUP(I435,'07_字典与参数'!$G$5:$J$9,2,FALSE),"未入选")</x:f>
        <x:v>75.8</x:v>
      </x:c>
      <x:c r="V435" s="24" t="str">
        <x:f>IFERROR(VLOOKUP(I435,'07_字典与参数'!$G$5:$J$9,3,FALSE),"—")</x:f>
        <x:v>两世洞天</x:v>
      </x:c>
      <x:c r="W435" s="24" t="str">
        <x:f>IF(U435="未入选","否","是")</x:f>
        <x:v>是</x:v>
      </x:c>
    </x:row>
    <x:row r="436">
      <x:c r="A436" t="n">
        <x:v>202630</x:v>
      </x:c>
      <x:c r="B436" t="str">
        <x:v>第30期（07.27-08.02）</x:v>
      </x:c>
      <x:c r="C436" t="str">
        <x:v>2026-07-27</x:v>
      </x:c>
      <x:c r="D436" t="str">
        <x:v>2026-08-02</x:v>
      </x:c>
      <x:c r="E436" t="n">
        <x:v>32</x:v>
      </x:c>
      <x:c r="F436" t="n">
        <x:v>463774753</x:v>
      </x:c>
      <x:c r="G436" t="str">
        <x:v>Colder</x:v>
      </x:c>
      <x:c r="H436" t="str">
        <x:v>蔡徐坤</x:v>
      </x:c>
      <x:c r="I436" t="str">
        <x:v>00400RDv0ozgWg</x:v>
      </x:c>
      <x:c r="J436" t="str">
        <x:v>False</x:v>
      </x:c>
      <x:c r="K436" t="n">
        <x:v>65</x:v>
      </x:c>
      <x:c r="L436" t="n">
        <x:v>26</x:v>
      </x:c>
      <x:c r="M436" t="n">
        <x:v>2</x:v>
      </x:c>
      <x:c r="N436" t="n">
        <x:v>90.75312</x:v>
      </x:c>
      <x:c r="O436" t="n">
        <x:v>54.94</x:v>
      </x:c>
      <x:c r="P436" t="n">
        <x:v>0</x:v>
      </x:c>
      <x:c r="Q436" t="n">
        <x:v>0</x:v>
      </x:c>
      <x:c r="R436" t="n">
        <x:v>69.46</x:v>
      </x:c>
      <x:c r="S436" t="n">
        <x:v>58</x:v>
      </x:c>
      <x:c r="T436" t="str">
        <x:v>https://y.gtimg.cn/music/photo_new/T002R500x500M000003Q9it10RWLId_2.jpg</x:v>
      </x:c>
      <x:c r="U436" s="24" t="str">
        <x:f>IFERROR(VLOOKUP(I436,'07_字典与参数'!$G$5:$J$9,2,FALSE),"未入选")</x:f>
        <x:v>未入选</x:v>
      </x:c>
      <x:c r="V436" s="24" t="str">
        <x:f>IFERROR(VLOOKUP(I436,'07_字典与参数'!$G$5:$J$9,3,FALSE),"—")</x:f>
        <x:v>—</x:v>
      </x:c>
      <x:c r="W436" s="24" t="str">
        <x:f>IF(U436="未入选","否","是")</x:f>
        <x:v>否</x:v>
      </x:c>
    </x:row>
    <x:row r="437">
      <x:c r="A437" t="n">
        <x:v>202630</x:v>
      </x:c>
      <x:c r="B437" t="str">
        <x:v>第30期（07.27-08.02）</x:v>
      </x:c>
      <x:c r="C437" t="str">
        <x:v>2026-07-27</x:v>
      </x:c>
      <x:c r="D437" t="str">
        <x:v>2026-08-02</x:v>
      </x:c>
      <x:c r="E437" t="n">
        <x:v>33</x:v>
      </x:c>
      <x:c r="F437" t="n">
        <x:v>533095371</x:v>
      </x:c>
      <x:c r="G437" t="str">
        <x:v>媚人</x:v>
      </x:c>
      <x:c r="H437" t="str">
        <x:v>薛之谦</x:v>
      </x:c>
      <x:c r="I437" t="str">
        <x:v>001Fk1hB2OWZYH</x:v>
      </x:c>
      <x:c r="J437" t="str">
        <x:v>False</x:v>
      </x:c>
      <x:c r="K437" t="n">
        <x:v>17</x:v>
      </x:c>
      <x:c r="L437" t="n">
        <x:v>3</x:v>
      </x:c>
      <x:c r="M437" t="n">
        <x:v>8</x:v>
      </x:c>
      <x:c r="N437" t="n">
        <x:v>90.68276</x:v>
      </x:c>
      <x:c r="O437" t="n">
        <x:v>78.93</x:v>
      </x:c>
      <x:c r="P437" t="n">
        <x:v>0</x:v>
      </x:c>
      <x:c r="Q437" t="n">
        <x:v>0</x:v>
      </x:c>
      <x:c r="R437" t="n">
        <x:v>27.94</x:v>
      </x:c>
      <x:c r="S437" t="n">
        <x:v>60.38</x:v>
      </x:c>
      <x:c r="T437" t="str">
        <x:v>https://y.gtimg.cn/music/photo_new/T002R500x500M000002vfBmm41fIRe_1.jpg</x:v>
      </x:c>
      <x:c r="U437" s="24" t="str">
        <x:f>IFERROR(VLOOKUP(I437,'07_字典与参数'!$G$5:$J$9,2,FALSE),"未入选")</x:f>
        <x:v>未入选</x:v>
      </x:c>
      <x:c r="V437" s="24" t="str">
        <x:f>IFERROR(VLOOKUP(I437,'07_字典与参数'!$G$5:$J$9,3,FALSE),"—")</x:f>
        <x:v>—</x:v>
      </x:c>
      <x:c r="W437" s="24" t="str">
        <x:f>IF(U437="未入选","否","是")</x:f>
        <x:v>否</x:v>
      </x:c>
    </x:row>
    <x:row r="438">
      <x:c r="A438" t="n">
        <x:v>202630</x:v>
      </x:c>
      <x:c r="B438" t="str">
        <x:v>第30期（07.27-08.02）</x:v>
      </x:c>
      <x:c r="C438" t="str">
        <x:v>2026-07-27</x:v>
      </x:c>
      <x:c r="D438" t="str">
        <x:v>2026-08-02</x:v>
      </x:c>
      <x:c r="E438" t="n">
        <x:v>34</x:v>
      </x:c>
      <x:c r="F438" t="n">
        <x:v>535357816</x:v>
      </x:c>
      <x:c r="G438" t="str">
        <x:v>Rock All Night</x:v>
      </x:c>
      <x:c r="H438" t="str">
        <x:v>袁一琦</x:v>
      </x:c>
      <x:c r="I438" t="str">
        <x:v>003AjrRg4fPZTt</x:v>
      </x:c>
      <x:c r="J438" t="str">
        <x:v>True</x:v>
      </x:c>
      <x:c r="K438" t="n">
        <x:v>137</x:v>
      </x:c>
      <x:c r="L438" t="n">
        <x:v>1</x:v>
      </x:c>
      <x:c r="M438" t="n">
        <x:v>34</x:v>
      </x:c>
      <x:c r="N438" t="n">
        <x:v>90.6596</x:v>
      </x:c>
      <x:c r="O438" t="n">
        <x:v>54.26</x:v>
      </x:c>
      <x:c r="P438" t="n">
        <x:v>0</x:v>
      </x:c>
      <x:c r="Q438" t="n">
        <x:v>0</x:v>
      </x:c>
      <x:c r="R438" t="n">
        <x:v>30.15</x:v>
      </x:c>
      <x:c r="S438" t="n">
        <x:v>71.15</x:v>
      </x:c>
      <x:c r="T438" t="str">
        <x:v>https://y.gtimg.cn/music/photo_new/T002R500x500M000003qltM2469LMm_2.jpg</x:v>
      </x:c>
      <x:c r="U438" s="24" t="str">
        <x:f>IFERROR(VLOOKUP(I438,'07_字典与参数'!$G$5:$J$9,2,FALSE),"未入选")</x:f>
        <x:v>未入选</x:v>
      </x:c>
      <x:c r="V438" s="24" t="str">
        <x:f>IFERROR(VLOOKUP(I438,'07_字典与参数'!$G$5:$J$9,3,FALSE),"—")</x:f>
        <x:v>—</x:v>
      </x:c>
      <x:c r="W438" s="24" t="str">
        <x:f>IF(U438="未入选","否","是")</x:f>
        <x:v>否</x:v>
      </x:c>
    </x:row>
    <x:row r="439">
      <x:c r="A439" t="n">
        <x:v>202630</x:v>
      </x:c>
      <x:c r="B439" t="str">
        <x:v>第30期（07.27-08.02）</x:v>
      </x:c>
      <x:c r="C439" t="str">
        <x:v>2026-07-27</x:v>
      </x:c>
      <x:c r="D439" t="str">
        <x:v>2026-08-02</x:v>
      </x:c>
      <x:c r="E439" t="n">
        <x:v>35</x:v>
      </x:c>
      <x:c r="F439" t="n">
        <x:v>522467101</x:v>
      </x:c>
      <x:c r="G439" t="str">
        <x:v>讨厌情歌</x:v>
      </x:c>
      <x:c r="H439" t="str">
        <x:v>张艺兴</x:v>
      </x:c>
      <x:c r="I439" t="str">
        <x:v>004QdItR3OzS3J</x:v>
      </x:c>
      <x:c r="J439" t="str">
        <x:v>True</x:v>
      </x:c>
      <x:c r="K439" t="n">
        <x:v>0</x:v>
      </x:c>
      <x:c r="L439" t="n">
        <x:v>1</x:v>
      </x:c>
      <x:c r="M439" t="n">
        <x:v>35</x:v>
      </x:c>
      <x:c r="N439" t="n">
        <x:v>90.64585</x:v>
      </x:c>
      <x:c r="O439" t="n">
        <x:v>73.23</x:v>
      </x:c>
      <x:c r="P439" t="n">
        <x:v>0</x:v>
      </x:c>
      <x:c r="Q439" t="n">
        <x:v>0</x:v>
      </x:c>
      <x:c r="R439" t="n">
        <x:v>64</x:v>
      </x:c>
      <x:c r="S439" t="n">
        <x:v>54.38</x:v>
      </x:c>
      <x:c r="T439" t="str">
        <x:v>https://y.gtimg.cn/music/photo_new/T002R500x500M000001w138z3PZEcz_1.jpg</x:v>
      </x:c>
      <x:c r="U439" s="24" t="str">
        <x:f>IFERROR(VLOOKUP(I439,'07_字典与参数'!$G$5:$J$9,2,FALSE),"未入选")</x:f>
        <x:v>未入选</x:v>
      </x:c>
      <x:c r="V439" s="24" t="str">
        <x:f>IFERROR(VLOOKUP(I439,'07_字典与参数'!$G$5:$J$9,3,FALSE),"—")</x:f>
        <x:v>—</x:v>
      </x:c>
      <x:c r="W439" s="24" t="str">
        <x:f>IF(U439="未入选","否","是")</x:f>
        <x:v>否</x:v>
      </x:c>
    </x:row>
    <x:row r="440">
      <x:c r="A440" t="n">
        <x:v>202630</x:v>
      </x:c>
      <x:c r="B440" t="str">
        <x:v>第30期（07.27-08.02）</x:v>
      </x:c>
      <x:c r="C440" t="str">
        <x:v>2026-07-27</x:v>
      </x:c>
      <x:c r="D440" t="str">
        <x:v>2026-08-02</x:v>
      </x:c>
      <x:c r="E440" t="n">
        <x:v>36</x:v>
      </x:c>
      <x:c r="F440" t="n">
        <x:v>522467105</x:v>
      </x:c>
      <x:c r="G440" t="str">
        <x:v>北京的雨</x:v>
      </x:c>
      <x:c r="H440" t="str">
        <x:v>张艺兴</x:v>
      </x:c>
      <x:c r="I440" t="str">
        <x:v>002ubhKy3qBLES</x:v>
      </x:c>
      <x:c r="J440" t="str">
        <x:v>False</x:v>
      </x:c>
      <x:c r="K440" t="n">
        <x:v>11</x:v>
      </x:c>
      <x:c r="L440" t="n">
        <x:v>3</x:v>
      </x:c>
      <x:c r="M440" t="n">
        <x:v>11</x:v>
      </x:c>
      <x:c r="N440" t="n">
        <x:v>90.64397</x:v>
      </x:c>
      <x:c r="O440" t="n">
        <x:v>72.86</x:v>
      </x:c>
      <x:c r="P440" t="n">
        <x:v>0</x:v>
      </x:c>
      <x:c r="Q440" t="n">
        <x:v>0</x:v>
      </x:c>
      <x:c r="R440" t="n">
        <x:v>65.04</x:v>
      </x:c>
      <x:c r="S440" t="n">
        <x:v>52.61</x:v>
      </x:c>
      <x:c r="T440" t="str">
        <x:v>https://y.qq.com/music/photo_new/T062R500x500M0000004cYUv1WOARD.jpg</x:v>
      </x:c>
      <x:c r="U440" s="24" t="str">
        <x:f>IFERROR(VLOOKUP(I440,'07_字典与参数'!$G$5:$J$9,2,FALSE),"未入选")</x:f>
        <x:v>未入选</x:v>
      </x:c>
      <x:c r="V440" s="24" t="str">
        <x:f>IFERROR(VLOOKUP(I440,'07_字典与参数'!$G$5:$J$9,3,FALSE),"—")</x:f>
        <x:v>—</x:v>
      </x:c>
      <x:c r="W440" s="24" t="str">
        <x:f>IF(U440="未入选","否","是")</x:f>
        <x:v>否</x:v>
      </x:c>
    </x:row>
    <x:row r="441">
      <x:c r="A441" t="n">
        <x:v>202630</x:v>
      </x:c>
      <x:c r="B441" t="str">
        <x:v>第30期（07.27-08.02）</x:v>
      </x:c>
      <x:c r="C441" t="str">
        <x:v>2026-07-27</x:v>
      </x:c>
      <x:c r="D441" t="str">
        <x:v>2026-08-02</x:v>
      </x:c>
      <x:c r="E441" t="n">
        <x:v>37</x:v>
      </x:c>
      <x:c r="F441" t="n">
        <x:v>463774751</x:v>
      </x:c>
      <x:c r="G441" t="str">
        <x:v>Don't Call (feat. Free Nationals)</x:v>
      </x:c>
      <x:c r="H441" t="str">
        <x:v>蔡徐坤</x:v>
      </x:c>
      <x:c r="I441" t="str">
        <x:v>004O0a1f4T0RI8</x:v>
      </x:c>
      <x:c r="J441" t="str">
        <x:v>False</x:v>
      </x:c>
      <x:c r="K441" t="n">
        <x:v>91</x:v>
      </x:c>
      <x:c r="L441" t="n">
        <x:v>24</x:v>
      </x:c>
      <x:c r="M441" t="n">
        <x:v>3</x:v>
      </x:c>
      <x:c r="N441" t="n">
        <x:v>90.55399</x:v>
      </x:c>
      <x:c r="O441" t="n">
        <x:v>54.13</x:v>
      </x:c>
      <x:c r="P441" t="n">
        <x:v>0</x:v>
      </x:c>
      <x:c r="Q441" t="n">
        <x:v>0</x:v>
      </x:c>
      <x:c r="R441" t="n">
        <x:v>69.56</x:v>
      </x:c>
      <x:c r="S441" t="n">
        <x:v>53.23</x:v>
      </x:c>
      <x:c r="T441" t="str">
        <x:v>https://y.gtimg.cn/music/photo_new/T002R500x500M000003Q9it10RWLId_2.jpg</x:v>
      </x:c>
      <x:c r="U441" s="24" t="str">
        <x:f>IFERROR(VLOOKUP(I441,'07_字典与参数'!$G$5:$J$9,2,FALSE),"未入选")</x:f>
        <x:v>未入选</x:v>
      </x:c>
      <x:c r="V441" s="24" t="str">
        <x:f>IFERROR(VLOOKUP(I441,'07_字典与参数'!$G$5:$J$9,3,FALSE),"—")</x:f>
        <x:v>—</x:v>
      </x:c>
      <x:c r="W441" s="24" t="str">
        <x:f>IF(U441="未入选","否","是")</x:f>
        <x:v>否</x:v>
      </x:c>
    </x:row>
    <x:row r="442">
      <x:c r="A442" t="n">
        <x:v>202630</x:v>
      </x:c>
      <x:c r="B442" t="str">
        <x:v>第30期（07.27-08.02）</x:v>
      </x:c>
      <x:c r="C442" t="str">
        <x:v>2026-07-27</x:v>
      </x:c>
      <x:c r="D442" t="str">
        <x:v>2026-08-02</x:v>
      </x:c>
      <x:c r="E442" t="n">
        <x:v>38</x:v>
      </x:c>
      <x:c r="F442" t="n">
        <x:v>478777514</x:v>
      </x:c>
      <x:c r="G442" t="str">
        <x:v>有风的日落</x:v>
      </x:c>
      <x:c r="H442" t="str">
        <x:v>万海东</x:v>
      </x:c>
      <x:c r="I442" t="str">
        <x:v>0046Ffh90pkMOs</x:v>
      </x:c>
      <x:c r="J442" t="str">
        <x:v>False</x:v>
      </x:c>
      <x:c r="K442" t="n">
        <x:v>30</x:v>
      </x:c>
      <x:c r="L442" t="n">
        <x:v>12</x:v>
      </x:c>
      <x:c r="M442" t="n">
        <x:v>15</x:v>
      </x:c>
      <x:c r="N442" t="n">
        <x:v>90.41142</x:v>
      </x:c>
      <x:c r="O442" t="n">
        <x:v>80.51</x:v>
      </x:c>
      <x:c r="P442" t="n">
        <x:v>0</x:v>
      </x:c>
      <x:c r="Q442" t="n">
        <x:v>0</x:v>
      </x:c>
      <x:c r="R442" t="n">
        <x:v>38.63</x:v>
      </x:c>
      <x:c r="S442" t="n">
        <x:v>32.61</x:v>
      </x:c>
      <x:c r="T442" t="str">
        <x:v>https://y.gtimg.cn/music/photo_new/T002R500x500M000003ifChN0R3y1H_1.jpg</x:v>
      </x:c>
      <x:c r="U442" s="24" t="str">
        <x:f>IFERROR(VLOOKUP(I442,'07_字典与参数'!$G$5:$J$9,2,FALSE),"未入选")</x:f>
        <x:v>未入选</x:v>
      </x:c>
      <x:c r="V442" s="24" t="str">
        <x:f>IFERROR(VLOOKUP(I442,'07_字典与参数'!$G$5:$J$9,3,FALSE),"—")</x:f>
        <x:v>—</x:v>
      </x:c>
      <x:c r="W442" s="24" t="str">
        <x:f>IF(U442="未入选","否","是")</x:f>
        <x:v>否</x:v>
      </x:c>
    </x:row>
    <x:row r="443">
      <x:c r="A443" t="n">
        <x:v>202630</x:v>
      </x:c>
      <x:c r="B443" t="str">
        <x:v>第30期（07.27-08.02）</x:v>
      </x:c>
      <x:c r="C443" t="str">
        <x:v>2026-07-27</x:v>
      </x:c>
      <x:c r="D443" t="str">
        <x:v>2026-08-02</x:v>
      </x:c>
      <x:c r="E443" t="n">
        <x:v>39</x:v>
      </x:c>
      <x:c r="F443" t="n">
        <x:v>480678966</x:v>
      </x:c>
      <x:c r="G443" t="str">
        <x:v>静音恋人 (两颗缠绕的心)</x:v>
      </x:c>
      <x:c r="H443" t="str">
        <x:v>礼越</x:v>
      </x:c>
      <x:c r="I443" t="str">
        <x:v>0046UbDu4Lyebe</x:v>
      </x:c>
      <x:c r="J443" t="str">
        <x:v>False</x:v>
      </x:c>
      <x:c r="K443" t="n">
        <x:v>29</x:v>
      </x:c>
      <x:c r="L443" t="n">
        <x:v>10</x:v>
      </x:c>
      <x:c r="M443" t="n">
        <x:v>18</x:v>
      </x:c>
      <x:c r="N443" t="n">
        <x:v>90.35829</x:v>
      </x:c>
      <x:c r="O443" t="n">
        <x:v>80.28</x:v>
      </x:c>
      <x:c r="P443" t="n">
        <x:v>0</x:v>
      </x:c>
      <x:c r="Q443" t="n">
        <x:v>0</x:v>
      </x:c>
      <x:c r="R443" t="n">
        <x:v>29.01</x:v>
      </x:c>
      <x:c r="S443" t="n">
        <x:v>43.62</x:v>
      </x:c>
      <x:c r="T443" t="str">
        <x:v>https://y.gtimg.cn/music/photo_new/T002R500x500M0000002luCJ26Yi4n_2.jpg</x:v>
      </x:c>
      <x:c r="U443" s="24" t="str">
        <x:f>IFERROR(VLOOKUP(I443,'07_字典与参数'!$G$5:$J$9,2,FALSE),"未入选")</x:f>
        <x:v>未入选</x:v>
      </x:c>
      <x:c r="V443" s="24" t="str">
        <x:f>IFERROR(VLOOKUP(I443,'07_字典与参数'!$G$5:$J$9,3,FALSE),"—")</x:f>
        <x:v>—</x:v>
      </x:c>
      <x:c r="W443" s="24" t="str">
        <x:f>IF(U443="未入选","否","是")</x:f>
        <x:v>否</x:v>
      </x:c>
    </x:row>
    <x:row r="444">
      <x:c r="A444" t="n">
        <x:v>202630</x:v>
      </x:c>
      <x:c r="B444" t="str">
        <x:v>第30期（07.27-08.02）</x:v>
      </x:c>
      <x:c r="C444" t="str">
        <x:v>2026-07-27</x:v>
      </x:c>
      <x:c r="D444" t="str">
        <x:v>2026-08-02</x:v>
      </x:c>
      <x:c r="E444" t="n">
        <x:v>40</x:v>
      </x:c>
      <x:c r="F444" t="n">
        <x:v>515816984</x:v>
      </x:c>
      <x:c r="G444" t="str">
        <x:v>奢求</x:v>
      </x:c>
      <x:c r="H444" t="str">
        <x:v>淑元,奥利</x:v>
      </x:c>
      <x:c r="I444" t="str">
        <x:v>001nakHM1NXviz</x:v>
      </x:c>
      <x:c r="J444" t="str">
        <x:v>True</x:v>
      </x:c>
      <x:c r="K444" t="n">
        <x:v>0</x:v>
      </x:c>
      <x:c r="L444" t="n">
        <x:v>1</x:v>
      </x:c>
      <x:c r="M444" t="n">
        <x:v>40</x:v>
      </x:c>
      <x:c r="N444" t="n">
        <x:v>90.35223</x:v>
      </x:c>
      <x:c r="O444" t="n">
        <x:v>55.41</x:v>
      </x:c>
      <x:c r="P444" t="n">
        <x:v>0</x:v>
      </x:c>
      <x:c r="Q444" t="n">
        <x:v>0</x:v>
      </x:c>
      <x:c r="R444" t="n">
        <x:v>64.86</x:v>
      </x:c>
      <x:c r="S444" t="n">
        <x:v>59.09</x:v>
      </x:c>
      <x:c r="T444" t="str">
        <x:v>https://y.gtimg.cn/music/photo_new/T002R500x500M000000bufPC2m8y5E_1.jpg</x:v>
      </x:c>
      <x:c r="U444" s="24" t="str">
        <x:f>IFERROR(VLOOKUP(I444,'07_字典与参数'!$G$5:$J$9,2,FALSE),"未入选")</x:f>
        <x:v>未入选</x:v>
      </x:c>
      <x:c r="V444" s="24" t="str">
        <x:f>IFERROR(VLOOKUP(I444,'07_字典与参数'!$G$5:$J$9,3,FALSE),"—")</x:f>
        <x:v>—</x:v>
      </x:c>
      <x:c r="W444" s="24" t="str">
        <x:f>IF(U444="未入选","否","是")</x:f>
        <x:v>否</x:v>
      </x:c>
    </x:row>
    <x:row r="445">
      <x:c r="A445" t="n">
        <x:v>202630</x:v>
      </x:c>
      <x:c r="B445" t="str">
        <x:v>第30期（07.27-08.02）</x:v>
      </x:c>
      <x:c r="C445" t="str">
        <x:v>2026-07-27</x:v>
      </x:c>
      <x:c r="D445" t="str">
        <x:v>2026-08-02</x:v>
      </x:c>
      <x:c r="E445" t="n">
        <x:v>41</x:v>
      </x:c>
      <x:c r="F445" t="n">
        <x:v>533494200</x:v>
      </x:c>
      <x:c r="G445" t="str">
        <x:v>Glue</x:v>
      </x:c>
      <x:c r="H445" t="str">
        <x:v>希林娜依高</x:v>
      </x:c>
      <x:c r="I445" t="str">
        <x:v>000Q9lzD0ag0YJ</x:v>
      </x:c>
      <x:c r="J445" t="str">
        <x:v>True</x:v>
      </x:c>
      <x:c r="K445" t="n">
        <x:v>0</x:v>
      </x:c>
      <x:c r="L445" t="n">
        <x:v>1</x:v>
      </x:c>
      <x:c r="M445" t="n">
        <x:v>41</x:v>
      </x:c>
      <x:c r="N445" t="n">
        <x:v>90.25608</x:v>
      </x:c>
      <x:c r="O445" t="n">
        <x:v>71.44</x:v>
      </x:c>
      <x:c r="P445" t="n">
        <x:v>0</x:v>
      </x:c>
      <x:c r="Q445" t="n">
        <x:v>0</x:v>
      </x:c>
      <x:c r="R445" t="n">
        <x:v>45.47</x:v>
      </x:c>
      <x:c r="S445" t="n">
        <x:v>63.47</x:v>
      </x:c>
      <x:c r="T445" t="str">
        <x:v>https://y.gtimg.cn/music/photo_new/T002R500x500M000003RLC1r1I8Y7u_1.jpg</x:v>
      </x:c>
      <x:c r="U445" s="24" t="str">
        <x:f>IFERROR(VLOOKUP(I445,'07_字典与参数'!$G$5:$J$9,2,FALSE),"未入选")</x:f>
        <x:v>未入选</x:v>
      </x:c>
      <x:c r="V445" s="24" t="str">
        <x:f>IFERROR(VLOOKUP(I445,'07_字典与参数'!$G$5:$J$9,3,FALSE),"—")</x:f>
        <x:v>—</x:v>
      </x:c>
      <x:c r="W445" s="24" t="str">
        <x:f>IF(U445="未入选","否","是")</x:f>
        <x:v>否</x:v>
      </x:c>
    </x:row>
    <x:row r="446">
      <x:c r="A446" t="n">
        <x:v>202630</x:v>
      </x:c>
      <x:c r="B446" t="str">
        <x:v>第30期（07.27-08.02）</x:v>
      </x:c>
      <x:c r="C446" t="str">
        <x:v>2026-07-27</x:v>
      </x:c>
      <x:c r="D446" t="str">
        <x:v>2026-08-02</x:v>
      </x:c>
      <x:c r="E446" t="n">
        <x:v>42</x:v>
      </x:c>
      <x:c r="F446" t="n">
        <x:v>537404490</x:v>
      </x:c>
      <x:c r="G446" t="str">
        <x:v>耀眼的我们</x:v>
      </x:c>
      <x:c r="H446" t="str">
        <x:v>周深</x:v>
      </x:c>
      <x:c r="I446" t="str">
        <x:v>002JZCyb4ORwy7</x:v>
      </x:c>
      <x:c r="J446" t="str">
        <x:v>True</x:v>
      </x:c>
      <x:c r="K446" t="n">
        <x:v>0</x:v>
      </x:c>
      <x:c r="L446" t="n">
        <x:v>1</x:v>
      </x:c>
      <x:c r="M446" t="n">
        <x:v>42</x:v>
      </x:c>
      <x:c r="N446" t="n">
        <x:v>90.22975</x:v>
      </x:c>
      <x:c r="O446" t="n">
        <x:v>65.19</x:v>
      </x:c>
      <x:c r="P446" t="n">
        <x:v>0</x:v>
      </x:c>
      <x:c r="Q446" t="n">
        <x:v>0</x:v>
      </x:c>
      <x:c r="R446" t="n">
        <x:v>61.92</x:v>
      </x:c>
      <x:c r="S446" t="n">
        <x:v>58.63</x:v>
      </x:c>
      <x:c r="T446" t="str">
        <x:v>https://y.qq.com/music/photo_new/T062R500x500M000000UcSCT2174o4.jpg</x:v>
      </x:c>
      <x:c r="U446" s="24" t="str">
        <x:f>IFERROR(VLOOKUP(I446,'07_字典与参数'!$G$5:$J$9,2,FALSE),"未入选")</x:f>
        <x:v>未入选</x:v>
      </x:c>
      <x:c r="V446" s="24" t="str">
        <x:f>IFERROR(VLOOKUP(I446,'07_字典与参数'!$G$5:$J$9,3,FALSE),"—")</x:f>
        <x:v>—</x:v>
      </x:c>
      <x:c r="W446" s="24" t="str">
        <x:f>IF(U446="未入选","否","是")</x:f>
        <x:v>否</x:v>
      </x:c>
    </x:row>
    <x:row r="447">
      <x:c r="A447" t="n">
        <x:v>202630</x:v>
      </x:c>
      <x:c r="B447" t="str">
        <x:v>第30期（07.27-08.02）</x:v>
      </x:c>
      <x:c r="C447" t="str">
        <x:v>2026-07-27</x:v>
      </x:c>
      <x:c r="D447" t="str">
        <x:v>2026-08-02</x:v>
      </x:c>
      <x:c r="E447" t="n">
        <x:v>43</x:v>
      </x:c>
      <x:c r="F447" t="n">
        <x:v>532441524</x:v>
      </x:c>
      <x:c r="G447" t="str">
        <x:v>过海</x:v>
      </x:c>
      <x:c r="H447" t="str">
        <x:v>王赫野,黄龄</x:v>
      </x:c>
      <x:c r="I447" t="str">
        <x:v>003DEzAQ3HSB9l</x:v>
      </x:c>
      <x:c r="J447" t="str">
        <x:v>False</x:v>
      </x:c>
      <x:c r="K447" t="n">
        <x:v>50</x:v>
      </x:c>
      <x:c r="L447" t="n">
        <x:v>2</x:v>
      </x:c>
      <x:c r="M447" t="n">
        <x:v>43</x:v>
      </x:c>
      <x:c r="N447" t="n">
        <x:v>90.21826</x:v>
      </x:c>
      <x:c r="O447" t="n">
        <x:v>78.8</x:v>
      </x:c>
      <x:c r="P447" t="n">
        <x:v>0</x:v>
      </x:c>
      <x:c r="Q447" t="n">
        <x:v>0</x:v>
      </x:c>
      <x:c r="R447" t="n">
        <x:v>24.74</x:v>
      </x:c>
      <x:c r="S447" t="n">
        <x:v>50.68</x:v>
      </x:c>
      <x:c r="T447" t="str">
        <x:v>https://y.gtimg.cn/music/photo_new/T002R500x500M000003sDdGY2FtUY2_1.jpg</x:v>
      </x:c>
      <x:c r="U447" s="24" t="n">
        <x:f>IFERROR(VLOOKUP(I447,'07_字典与参数'!$G$5:$J$9,2,FALSE),"未入选")</x:f>
        <x:v>87.5</x:v>
      </x:c>
      <x:c r="V447" s="24" t="str">
        <x:f>IFERROR(VLOOKUP(I447,'07_字典与参数'!$G$5:$J$9,3,FALSE),"—")</x:f>
        <x:v>过海</x:v>
      </x:c>
      <x:c r="W447" s="24" t="str">
        <x:f>IF(U447="未入选","否","是")</x:f>
        <x:v>是</x:v>
      </x:c>
    </x:row>
    <x:row r="448">
      <x:c r="A448" t="n">
        <x:v>202630</x:v>
      </x:c>
      <x:c r="B448" t="str">
        <x:v>第30期（07.27-08.02）</x:v>
      </x:c>
      <x:c r="C448" t="str">
        <x:v>2026-07-27</x:v>
      </x:c>
      <x:c r="D448" t="str">
        <x:v>2026-08-02</x:v>
      </x:c>
      <x:c r="E448" t="n">
        <x:v>44</x:v>
      </x:c>
      <x:c r="F448" t="n">
        <x:v>480650227</x:v>
      </x:c>
      <x:c r="G448" t="str">
        <x:v>写故事的人</x:v>
      </x:c>
      <x:c r="H448" t="str">
        <x:v>汪苏泷</x:v>
      </x:c>
      <x:c r="I448" t="str">
        <x:v>0028t0n12nBn9U</x:v>
      </x:c>
      <x:c r="J448" t="str">
        <x:v>False</x:v>
      </x:c>
      <x:c r="K448" t="n">
        <x:v>31</x:v>
      </x:c>
      <x:c r="L448" t="n">
        <x:v>6</x:v>
      </x:c>
      <x:c r="M448" t="n">
        <x:v>13</x:v>
      </x:c>
      <x:c r="N448" t="n">
        <x:v>90.19932</x:v>
      </x:c>
      <x:c r="O448" t="n">
        <x:v>78.15</x:v>
      </x:c>
      <x:c r="P448" t="n">
        <x:v>0</x:v>
      </x:c>
      <x:c r="Q448" t="n">
        <x:v>0</x:v>
      </x:c>
      <x:c r="R448" t="n">
        <x:v>26.04</x:v>
      </x:c>
      <x:c r="S448" t="n">
        <x:v>52.58</x:v>
      </x:c>
      <x:c r="T448" t="str">
        <x:v>https://y.gtimg.cn/music/photo_new/T002R500x500M000000A1M903iHvyT_4.jpg</x:v>
      </x:c>
      <x:c r="U448" s="24" t="str">
        <x:f>IFERROR(VLOOKUP(I448,'07_字典与参数'!$G$5:$J$9,2,FALSE),"未入选")</x:f>
        <x:v>未入选</x:v>
      </x:c>
      <x:c r="V448" s="24" t="str">
        <x:f>IFERROR(VLOOKUP(I448,'07_字典与参数'!$G$5:$J$9,3,FALSE),"—")</x:f>
        <x:v>—</x:v>
      </x:c>
      <x:c r="W448" s="24" t="str">
        <x:f>IF(U448="未入选","否","是")</x:f>
        <x:v>否</x:v>
      </x:c>
    </x:row>
    <x:row r="449">
      <x:c r="A449" t="n">
        <x:v>202630</x:v>
      </x:c>
      <x:c r="B449" t="str">
        <x:v>第30期（07.27-08.02）</x:v>
      </x:c>
      <x:c r="C449" t="str">
        <x:v>2026-07-27</x:v>
      </x:c>
      <x:c r="D449" t="str">
        <x:v>2026-08-02</x:v>
      </x:c>
      <x:c r="E449" t="n">
        <x:v>45</x:v>
      </x:c>
      <x:c r="F449" t="n">
        <x:v>537633785</x:v>
      </x:c>
      <x:c r="G449" t="str">
        <x:v>异常加载中</x:v>
      </x:c>
      <x:c r="H449" t="str">
        <x:v>TF家族,TF家族-张桂源,TF家族-张函瑞,TF家族-王橹杰,TF家族-左奇函,TF家族-陈奕恒,TF家族-杨博文,TF家族-陈思罕,TF家族-陈浚铭</x:v>
      </x:c>
      <x:c r="I449" t="str">
        <x:v>002Agcje4enxFb</x:v>
      </x:c>
      <x:c r="J449" t="str">
        <x:v>True</x:v>
      </x:c>
      <x:c r="K449" t="n">
        <x:v>0</x:v>
      </x:c>
      <x:c r="L449" t="n">
        <x:v>1</x:v>
      </x:c>
      <x:c r="M449" t="n">
        <x:v>45</x:v>
      </x:c>
      <x:c r="N449" t="n">
        <x:v>90.13686</x:v>
      </x:c>
      <x:c r="O449" t="n">
        <x:v>61.84</x:v>
      </x:c>
      <x:c r="P449" t="n">
        <x:v>0</x:v>
      </x:c>
      <x:c r="Q449" t="n">
        <x:v>0</x:v>
      </x:c>
      <x:c r="R449" t="n">
        <x:v>31.4</x:v>
      </x:c>
      <x:c r="S449" t="n">
        <x:v>67.43</x:v>
      </x:c>
      <x:c r="T449" t="str">
        <x:v>https://y.gtimg.cn/music/photo_new/T002R500x500M000000bjZ7v0vnJHl_1.jpg</x:v>
      </x:c>
      <x:c r="U449" s="24" t="str">
        <x:f>IFERROR(VLOOKUP(I449,'07_字典与参数'!$G$5:$J$9,2,FALSE),"未入选")</x:f>
        <x:v>未入选</x:v>
      </x:c>
      <x:c r="V449" s="24" t="str">
        <x:f>IFERROR(VLOOKUP(I449,'07_字典与参数'!$G$5:$J$9,3,FALSE),"—")</x:f>
        <x:v>—</x:v>
      </x:c>
      <x:c r="W449" s="24" t="str">
        <x:f>IF(U449="未入选","否","是")</x:f>
        <x:v>否</x:v>
      </x:c>
    </x:row>
    <x:row r="450">
      <x:c r="A450" t="n">
        <x:v>202630</x:v>
      </x:c>
      <x:c r="B450" t="str">
        <x:v>第30期（07.27-08.02）</x:v>
      </x:c>
      <x:c r="C450" t="str">
        <x:v>2026-07-27</x:v>
      </x:c>
      <x:c r="D450" t="str">
        <x:v>2026-08-02</x:v>
      </x:c>
      <x:c r="E450" t="n">
        <x:v>46</x:v>
      </x:c>
      <x:c r="F450" t="n">
        <x:v>499329279</x:v>
      </x:c>
      <x:c r="G450" t="str">
        <x:v>山歌追上云朵</x:v>
      </x:c>
      <x:c r="H450" t="str">
        <x:v>央金拉姆</x:v>
      </x:c>
      <x:c r="I450" t="str">
        <x:v>004RglME1g9lJV</x:v>
      </x:c>
      <x:c r="J450" t="str">
        <x:v>False</x:v>
      </x:c>
      <x:c r="K450" t="n">
        <x:v>47</x:v>
      </x:c>
      <x:c r="L450" t="n">
        <x:v>8</x:v>
      </x:c>
      <x:c r="M450" t="n">
        <x:v>39</x:v>
      </x:c>
      <x:c r="N450" t="n">
        <x:v>90.05932</x:v>
      </x:c>
      <x:c r="O450" t="n">
        <x:v>77.49</x:v>
      </x:c>
      <x:c r="P450" t="n">
        <x:v>0</x:v>
      </x:c>
      <x:c r="Q450" t="n">
        <x:v>0</x:v>
      </x:c>
      <x:c r="R450" t="n">
        <x:v>41.76</x:v>
      </x:c>
      <x:c r="S450" t="n">
        <x:v>47.13</x:v>
      </x:c>
      <x:c r="T450" t="str">
        <x:v>https://y.gtimg.cn/music/photo_new/T002R500x500M000004N13wG44oqY1_1.jpg</x:v>
      </x:c>
      <x:c r="U450" s="24" t="str">
        <x:f>IFERROR(VLOOKUP(I450,'07_字典与参数'!$G$5:$J$9,2,FALSE),"未入选")</x:f>
        <x:v>未入选</x:v>
      </x:c>
      <x:c r="V450" s="24" t="str">
        <x:f>IFERROR(VLOOKUP(I450,'07_字典与参数'!$G$5:$J$9,3,FALSE),"—")</x:f>
        <x:v>—</x:v>
      </x:c>
      <x:c r="W450" s="24" t="str">
        <x:f>IF(U450="未入选","否","是")</x:f>
        <x:v>否</x:v>
      </x:c>
    </x:row>
    <x:row r="451">
      <x:c r="A451" t="n">
        <x:v>202630</x:v>
      </x:c>
      <x:c r="B451" t="str">
        <x:v>第30期（07.27-08.02）</x:v>
      </x:c>
      <x:c r="C451" t="str">
        <x:v>2026-07-27</x:v>
      </x:c>
      <x:c r="D451" t="str">
        <x:v>2026-08-02</x:v>
      </x:c>
      <x:c r="E451" t="n">
        <x:v>47</x:v>
      </x:c>
      <x:c r="F451" t="n">
        <x:v>531112810</x:v>
      </x:c>
      <x:c r="G451" t="str">
        <x:v>周旋</x:v>
      </x:c>
      <x:c r="H451" t="str">
        <x:v>王以太,艾热AIR</x:v>
      </x:c>
      <x:c r="I451" t="str">
        <x:v>0009cN231s93BH</x:v>
      </x:c>
      <x:c r="J451" t="str">
        <x:v>False</x:v>
      </x:c>
      <x:c r="K451" t="n">
        <x:v>27</x:v>
      </x:c>
      <x:c r="L451" t="n">
        <x:v>3</x:v>
      </x:c>
      <x:c r="M451" t="n">
        <x:v>27</x:v>
      </x:c>
      <x:c r="N451" t="n">
        <x:v>90.04615</x:v>
      </x:c>
      <x:c r="O451" t="n">
        <x:v>77.81</x:v>
      </x:c>
      <x:c r="P451" t="n">
        <x:v>0</x:v>
      </x:c>
      <x:c r="Q451" t="n">
        <x:v>0</x:v>
      </x:c>
      <x:c r="R451" t="n">
        <x:v>11.07</x:v>
      </x:c>
      <x:c r="S451" t="n">
        <x:v>51.37</x:v>
      </x:c>
      <x:c r="T451" t="str">
        <x:v>https://y.gtimg.cn/music/photo_new/T002R500x500M000000TFXPO1bLY2u_1.jpg</x:v>
      </x:c>
      <x:c r="U451" s="24" t="n">
        <x:f>IFERROR(VLOOKUP(I451,'07_字典与参数'!$G$5:$J$9,2,FALSE),"未入选")</x:f>
        <x:v>71.3</x:v>
      </x:c>
      <x:c r="V451" s="24" t="str">
        <x:f>IFERROR(VLOOKUP(I451,'07_字典与参数'!$G$5:$J$9,3,FALSE),"—")</x:f>
        <x:v>周旋</x:v>
      </x:c>
      <x:c r="W451" s="24" t="str">
        <x:f>IF(U451="未入选","否","是")</x:f>
        <x:v>是</x:v>
      </x:c>
    </x:row>
    <x:row r="452">
      <x:c r="A452" t="n">
        <x:v>202630</x:v>
      </x:c>
      <x:c r="B452" t="str">
        <x:v>第30期（07.27-08.02）</x:v>
      </x:c>
      <x:c r="C452" t="str">
        <x:v>2026-07-27</x:v>
      </x:c>
      <x:c r="D452" t="str">
        <x:v>2026-08-02</x:v>
      </x:c>
      <x:c r="E452" t="n">
        <x:v>48</x:v>
      </x:c>
      <x:c r="F452" t="n">
        <x:v>511364187</x:v>
      </x:c>
      <x:c r="G452" t="str">
        <x:v>挽红纱</x:v>
      </x:c>
      <x:c r="H452" t="str">
        <x:v>龚琳娜,张云雷</x:v>
      </x:c>
      <x:c r="I452" t="str">
        <x:v>000QQHy712ZX4T</x:v>
      </x:c>
      <x:c r="J452" t="str">
        <x:v>False</x:v>
      </x:c>
      <x:c r="K452" t="n">
        <x:v>33</x:v>
      </x:c>
      <x:c r="L452" t="n">
        <x:v>7</x:v>
      </x:c>
      <x:c r="M452" t="n">
        <x:v>7</x:v>
      </x:c>
      <x:c r="N452" t="n">
        <x:v>90.04088</x:v>
      </x:c>
      <x:c r="O452" t="n">
        <x:v>61.58</x:v>
      </x:c>
      <x:c r="P452" t="n">
        <x:v>0</x:v>
      </x:c>
      <x:c r="Q452" t="n">
        <x:v>0</x:v>
      </x:c>
      <x:c r="R452" t="n">
        <x:v>10.57</x:v>
      </x:c>
      <x:c r="S452" t="n">
        <x:v>67.3</x:v>
      </x:c>
      <x:c r="T452" t="str">
        <x:v>https://y.gtimg.cn/music/photo_new/T002R500x500M000000r1HER3uMIFZ_1.jpg</x:v>
      </x:c>
      <x:c r="U452" s="24" t="n">
        <x:f>IFERROR(VLOOKUP(I452,'07_字典与参数'!$G$5:$J$9,2,FALSE),"未入选")</x:f>
        <x:v>73.2</x:v>
      </x:c>
      <x:c r="V452" s="24" t="str">
        <x:f>IFERROR(VLOOKUP(I452,'07_字典与参数'!$G$5:$J$9,3,FALSE),"—")</x:f>
        <x:v>挽红纱</x:v>
      </x:c>
      <x:c r="W452" s="24" t="str">
        <x:f>IF(U452="未入选","否","是")</x:f>
        <x:v>是</x:v>
      </x:c>
    </x:row>
    <x:row r="453">
      <x:c r="A453" t="n">
        <x:v>202630</x:v>
      </x:c>
      <x:c r="B453" t="str">
        <x:v>第30期（07.27-08.02）</x:v>
      </x:c>
      <x:c r="C453" t="str">
        <x:v>2026-07-27</x:v>
      </x:c>
      <x:c r="D453" t="str">
        <x:v>2026-08-02</x:v>
      </x:c>
      <x:c r="E453" t="n">
        <x:v>49</x:v>
      </x:c>
      <x:c r="F453" t="n">
        <x:v>515780030</x:v>
      </x:c>
      <x:c r="G453" t="str">
        <x:v>真相</x:v>
      </x:c>
      <x:c r="H453" t="str">
        <x:v>王俊凯</x:v>
      </x:c>
      <x:c r="I453" t="str">
        <x:v>004WWjMC2Dt1ip</x:v>
      </x:c>
      <x:c r="J453" t="str">
        <x:v>False</x:v>
      </x:c>
      <x:c r="K453" t="n">
        <x:v>111</x:v>
      </x:c>
      <x:c r="L453" t="n">
        <x:v>5</x:v>
      </x:c>
      <x:c r="M453" t="n">
        <x:v>5</x:v>
      </x:c>
      <x:c r="N453" t="n">
        <x:v>89.55613</x:v>
      </x:c>
      <x:c r="O453" t="n">
        <x:v>67.35</x:v>
      </x:c>
      <x:c r="P453" t="n">
        <x:v>0</x:v>
      </x:c>
      <x:c r="Q453" t="n">
        <x:v>0</x:v>
      </x:c>
      <x:c r="R453" t="n">
        <x:v>30.29</x:v>
      </x:c>
      <x:c r="S453" t="n">
        <x:v>63.91</x:v>
      </x:c>
      <x:c r="T453" t="str">
        <x:v>https://y.qq.com/music/photo_new/T062R500x500M000004YwMvf2ekLnQ.jpg</x:v>
      </x:c>
      <x:c r="U453" s="24" t="str">
        <x:f>IFERROR(VLOOKUP(I453,'07_字典与参数'!$G$5:$J$9,2,FALSE),"未入选")</x:f>
        <x:v>未入选</x:v>
      </x:c>
      <x:c r="V453" s="24" t="str">
        <x:f>IFERROR(VLOOKUP(I453,'07_字典与参数'!$G$5:$J$9,3,FALSE),"—")</x:f>
        <x:v>—</x:v>
      </x:c>
      <x:c r="W453" s="24" t="str">
        <x:f>IF(U453="未入选","否","是")</x:f>
        <x:v>否</x:v>
      </x:c>
    </x:row>
    <x:row r="454">
      <x:c r="A454" t="n">
        <x:v>202630</x:v>
      </x:c>
      <x:c r="B454" t="str">
        <x:v>第30期（07.27-08.02）</x:v>
      </x:c>
      <x:c r="C454" t="str">
        <x:v>2026-07-27</x:v>
      </x:c>
      <x:c r="D454" t="str">
        <x:v>2026-08-02</x:v>
      </x:c>
      <x:c r="E454" t="n">
        <x:v>50</x:v>
      </x:c>
      <x:c r="F454" t="n">
        <x:v>487550585</x:v>
      </x:c>
      <x:c r="G454" t="str">
        <x:v>主角</x:v>
      </x:c>
      <x:c r="H454" t="str">
        <x:v>王菲</x:v>
      </x:c>
      <x:c r="I454" t="str">
        <x:v>001uywZc1PxmVv</x:v>
      </x:c>
      <x:c r="J454" t="str">
        <x:v>False</x:v>
      </x:c>
      <x:c r="K454" t="n">
        <x:v>40</x:v>
      </x:c>
      <x:c r="L454" t="n">
        <x:v>13</x:v>
      </x:c>
      <x:c r="M454" t="n">
        <x:v>11</x:v>
      </x:c>
      <x:c r="N454" t="n">
        <x:v>89.44373</x:v>
      </x:c>
      <x:c r="O454" t="n">
        <x:v>77.62</x:v>
      </x:c>
      <x:c r="P454" t="n">
        <x:v>0</x:v>
      </x:c>
      <x:c r="Q454" t="n">
        <x:v>0</x:v>
      </x:c>
      <x:c r="R454" t="n">
        <x:v>38.85</x:v>
      </x:c>
      <x:c r="S454" t="n">
        <x:v>41.09</x:v>
      </x:c>
      <x:c r="T454" t="str">
        <x:v>https://y.gtimg.cn/music/photo_new/T002R500x500M0000014oHsO311mVp_1.jpg</x:v>
      </x:c>
      <x:c r="U454" s="24" t="str">
        <x:f>IFERROR(VLOOKUP(I454,'07_字典与参数'!$G$5:$J$9,2,FALSE),"未入选")</x:f>
        <x:v>未入选</x:v>
      </x:c>
      <x:c r="V454" s="24" t="str">
        <x:f>IFERROR(VLOOKUP(I454,'07_字典与参数'!$G$5:$J$9,3,FALSE),"—")</x:f>
        <x:v>—</x:v>
      </x:c>
      <x:c r="W454" s="24" t="str">
        <x:f>IF(U454="未入选","否","是")</x:f>
        <x:v>否</x:v>
      </x:c>
    </x:row>
    <x:row r="455">
      <x:c r="A455" t="n">
        <x:v>202630</x:v>
      </x:c>
      <x:c r="B455" t="str">
        <x:v>第30期（07.27-08.02）</x:v>
      </x:c>
      <x:c r="C455" t="str">
        <x:v>2026-07-27</x:v>
      </x:c>
      <x:c r="D455" t="str">
        <x:v>2026-08-02</x:v>
      </x:c>
      <x:c r="E455" t="n">
        <x:v>51</x:v>
      </x:c>
      <x:c r="F455" t="n">
        <x:v>533897410</x:v>
      </x:c>
      <x:c r="G455" t="str">
        <x:v>汹涌</x:v>
      </x:c>
      <x:c r="H455" t="str">
        <x:v>吴莫愁</x:v>
      </x:c>
      <x:c r="I455" t="str">
        <x:v>003zLeSq0V2ECp</x:v>
      </x:c>
      <x:c r="J455" t="str">
        <x:v>True</x:v>
      </x:c>
      <x:c r="K455" t="n">
        <x:v>0</x:v>
      </x:c>
      <x:c r="L455" t="n">
        <x:v>1</x:v>
      </x:c>
      <x:c r="M455" t="n">
        <x:v>51</x:v>
      </x:c>
      <x:c r="N455" t="n">
        <x:v>88.88898</x:v>
      </x:c>
      <x:c r="O455" t="n">
        <x:v>75.91</x:v>
      </x:c>
      <x:c r="P455" t="n">
        <x:v>0</x:v>
      </x:c>
      <x:c r="Q455" t="n">
        <x:v>0</x:v>
      </x:c>
      <x:c r="R455" t="n">
        <x:v>9.87</x:v>
      </x:c>
      <x:c r="S455" t="n">
        <x:v>53.44</x:v>
      </x:c>
      <x:c r="T455" t="str">
        <x:v>https://y.gtimg.cn/music/photo_new/T002R500x500M000003mTx4M2vjsxl_1.jpg</x:v>
      </x:c>
      <x:c r="U455" s="24" t="str">
        <x:f>IFERROR(VLOOKUP(I455,'07_字典与参数'!$G$5:$J$9,2,FALSE),"未入选")</x:f>
        <x:v>未入选</x:v>
      </x:c>
      <x:c r="V455" s="24" t="str">
        <x:f>IFERROR(VLOOKUP(I455,'07_字典与参数'!$G$5:$J$9,3,FALSE),"—")</x:f>
        <x:v>—</x:v>
      </x:c>
      <x:c r="W455" s="24" t="str">
        <x:f>IF(U455="未入选","否","是")</x:f>
        <x:v>否</x:v>
      </x:c>
    </x:row>
    <x:row r="456">
      <x:c r="A456" t="n">
        <x:v>202630</x:v>
      </x:c>
      <x:c r="B456" t="str">
        <x:v>第30期（07.27-08.02）</x:v>
      </x:c>
      <x:c r="C456" t="str">
        <x:v>2026-07-27</x:v>
      </x:c>
      <x:c r="D456" t="str">
        <x:v>2026-08-02</x:v>
      </x:c>
      <x:c r="E456" t="n">
        <x:v>52</x:v>
      </x:c>
      <x:c r="F456" t="n">
        <x:v>474412516</x:v>
      </x:c>
      <x:c r="G456" t="str">
        <x:v>爱琴海</x:v>
      </x:c>
      <x:c r="H456" t="str">
        <x:v>周杰伦</x:v>
      </x:c>
      <x:c r="I456" t="str">
        <x:v>003WPrjL4dimFE</x:v>
      </x:c>
      <x:c r="J456" t="str">
        <x:v>False</x:v>
      </x:c>
      <x:c r="K456" t="n">
        <x:v>56</x:v>
      </x:c>
      <x:c r="L456" t="n">
        <x:v>19</x:v>
      </x:c>
      <x:c r="M456" t="n">
        <x:v>4</x:v>
      </x:c>
      <x:c r="N456" t="n">
        <x:v>88.87008</x:v>
      </x:c>
      <x:c r="O456" t="n">
        <x:v>77.67</x:v>
      </x:c>
      <x:c r="P456" t="n">
        <x:v>0</x:v>
      </x:c>
      <x:c r="Q456" t="n">
        <x:v>0</x:v>
      </x:c>
      <x:c r="R456" t="n">
        <x:v>27.23</x:v>
      </x:c>
      <x:c r="S456" t="n">
        <x:v>40.67</x:v>
      </x:c>
      <x:c r="T456" t="str">
        <x:v>https://y.gtimg.cn/music/photo_new/T002R500x500M0000041WVfh2vtlJE_1.jpg</x:v>
      </x:c>
      <x:c r="U456" s="24" t="str">
        <x:f>IFERROR(VLOOKUP(I456,'07_字典与参数'!$G$5:$J$9,2,FALSE),"未入选")</x:f>
        <x:v>未入选</x:v>
      </x:c>
      <x:c r="V456" s="24" t="str">
        <x:f>IFERROR(VLOOKUP(I456,'07_字典与参数'!$G$5:$J$9,3,FALSE),"—")</x:f>
        <x:v>—</x:v>
      </x:c>
      <x:c r="W456" s="24" t="str">
        <x:f>IF(U456="未入选","否","是")</x:f>
        <x:v>否</x:v>
      </x:c>
    </x:row>
    <x:row r="457">
      <x:c r="A457" t="n">
        <x:v>202630</x:v>
      </x:c>
      <x:c r="B457" t="str">
        <x:v>第30期（07.27-08.02）</x:v>
      </x:c>
      <x:c r="C457" t="str">
        <x:v>2026-07-27</x:v>
      </x:c>
      <x:c r="D457" t="str">
        <x:v>2026-08-02</x:v>
      </x:c>
      <x:c r="E457" t="n">
        <x:v>53</x:v>
      </x:c>
      <x:c r="F457" t="n">
        <x:v>535195004</x:v>
      </x:c>
      <x:c r="G457" t="str">
        <x:v>竞速游戏</x:v>
      </x:c>
      <x:c r="H457" t="str">
        <x:v>TOP登陆少年组合</x:v>
      </x:c>
      <x:c r="I457" t="str">
        <x:v>002cmsGd2ClwVJ</x:v>
      </x:c>
      <x:c r="J457" t="str">
        <x:v>False</x:v>
      </x:c>
      <x:c r="K457" t="n">
        <x:v>26</x:v>
      </x:c>
      <x:c r="L457" t="n">
        <x:v>2</x:v>
      </x:c>
      <x:c r="M457" t="n">
        <x:v>26</x:v>
      </x:c>
      <x:c r="N457" t="n">
        <x:v>88.84853</x:v>
      </x:c>
      <x:c r="O457" t="n">
        <x:v>75.59</x:v>
      </x:c>
      <x:c r="P457" t="n">
        <x:v>0</x:v>
      </x:c>
      <x:c r="Q457" t="n">
        <x:v>0</x:v>
      </x:c>
      <x:c r="R457" t="n">
        <x:v>35.02</x:v>
      </x:c>
      <x:c r="S457" t="n">
        <x:v>51.94</x:v>
      </x:c>
      <x:c r="T457" t="str">
        <x:v>https://y.gtimg.cn/music/photo_new/T002R500x500M000000ji8iX05RUPt_1.jpg</x:v>
      </x:c>
      <x:c r="U457" s="24" t="str">
        <x:f>IFERROR(VLOOKUP(I457,'07_字典与参数'!$G$5:$J$9,2,FALSE),"未入选")</x:f>
        <x:v>未入选</x:v>
      </x:c>
      <x:c r="V457" s="24" t="str">
        <x:f>IFERROR(VLOOKUP(I457,'07_字典与参数'!$G$5:$J$9,3,FALSE),"—")</x:f>
        <x:v>—</x:v>
      </x:c>
      <x:c r="W457" s="24" t="str">
        <x:f>IF(U457="未入选","否","是")</x:f>
        <x:v>否</x:v>
      </x:c>
    </x:row>
    <x:row r="458">
      <x:c r="A458" t="n">
        <x:v>202630</x:v>
      </x:c>
      <x:c r="B458" t="str">
        <x:v>第30期（07.27-08.02）</x:v>
      </x:c>
      <x:c r="C458" t="str">
        <x:v>2026-07-27</x:v>
      </x:c>
      <x:c r="D458" t="str">
        <x:v>2026-08-02</x:v>
      </x:c>
      <x:c r="E458" t="n">
        <x:v>54</x:v>
      </x:c>
      <x:c r="F458" t="n">
        <x:v>515804613</x:v>
      </x:c>
      <x:c r="G458" t="str">
        <x:v>8DM</x:v>
      </x:c>
      <x:c r="H458" t="str">
        <x:v>V8,徐明浩</x:v>
      </x:c>
      <x:c r="I458" t="str">
        <x:v>001gPXbo2gpbbH</x:v>
      </x:c>
      <x:c r="J458" t="str">
        <x:v>False</x:v>
      </x:c>
      <x:c r="K458" t="n">
        <x:v>34</x:v>
      </x:c>
      <x:c r="L458" t="n">
        <x:v>5</x:v>
      </x:c>
      <x:c r="M458" t="n">
        <x:v>12</x:v>
      </x:c>
      <x:c r="N458" t="n">
        <x:v>88.5064</x:v>
      </x:c>
      <x:c r="O458" t="n">
        <x:v>50.85</x:v>
      </x:c>
      <x:c r="P458" t="n">
        <x:v>0</x:v>
      </x:c>
      <x:c r="Q458" t="n">
        <x:v>0</x:v>
      </x:c>
      <x:c r="R458" t="n">
        <x:v>23.94</x:v>
      </x:c>
      <x:c r="S458" t="n">
        <x:v>65.48</x:v>
      </x:c>
      <x:c r="T458" t="str">
        <x:v>https://y.gtimg.cn/music/photo_new/T002R500x500M000000rDsrP3UzzFm_1.jpg</x:v>
      </x:c>
      <x:c r="U458" s="24" t="str">
        <x:f>IFERROR(VLOOKUP(I458,'07_字典与参数'!$G$5:$J$9,2,FALSE),"未入选")</x:f>
        <x:v>未入选</x:v>
      </x:c>
      <x:c r="V458" s="24" t="str">
        <x:f>IFERROR(VLOOKUP(I458,'07_字典与参数'!$G$5:$J$9,3,FALSE),"—")</x:f>
        <x:v>—</x:v>
      </x:c>
      <x:c r="W458" s="24" t="str">
        <x:f>IF(U458="未入选","否","是")</x:f>
        <x:v>否</x:v>
      </x:c>
    </x:row>
    <x:row r="459">
      <x:c r="A459" t="n">
        <x:v>202630</x:v>
      </x:c>
      <x:c r="B459" t="str">
        <x:v>第30期（07.27-08.02）</x:v>
      </x:c>
      <x:c r="C459" t="str">
        <x:v>2026-07-27</x:v>
      </x:c>
      <x:c r="D459" t="str">
        <x:v>2026-08-02</x:v>
      </x:c>
      <x:c r="E459" t="n">
        <x:v>55</x:v>
      </x:c>
      <x:c r="F459" t="n">
        <x:v>518582456</x:v>
      </x:c>
      <x:c r="G459" t="str">
        <x:v>相思锁</x:v>
      </x:c>
      <x:c r="H459" t="str">
        <x:v>张真源</x:v>
      </x:c>
      <x:c r="I459" t="str">
        <x:v>000EQX6y3kMOYI</x:v>
      </x:c>
      <x:c r="J459" t="str">
        <x:v>False</x:v>
      </x:c>
      <x:c r="K459" t="n">
        <x:v>62</x:v>
      </x:c>
      <x:c r="L459" t="n">
        <x:v>5</x:v>
      </x:c>
      <x:c r="M459" t="n">
        <x:v>2</x:v>
      </x:c>
      <x:c r="N459" t="n">
        <x:v>88.29153</x:v>
      </x:c>
      <x:c r="O459" t="n">
        <x:v>69.61</x:v>
      </x:c>
      <x:c r="P459" t="n">
        <x:v>0</x:v>
      </x:c>
      <x:c r="Q459" t="n">
        <x:v>0</x:v>
      </x:c>
      <x:c r="R459" t="n">
        <x:v>44.45</x:v>
      </x:c>
      <x:c r="S459" t="n">
        <x:v>59.05</x:v>
      </x:c>
      <x:c r="T459" t="str">
        <x:v>https://y.gtimg.cn/music/photo_new/T002R500x500M000003YtOnb3UDtqO_2.jpg</x:v>
      </x:c>
      <x:c r="U459" s="24" t="str">
        <x:f>IFERROR(VLOOKUP(I459,'07_字典与参数'!$G$5:$J$9,2,FALSE),"未入选")</x:f>
        <x:v>未入选</x:v>
      </x:c>
      <x:c r="V459" s="24" t="str">
        <x:f>IFERROR(VLOOKUP(I459,'07_字典与参数'!$G$5:$J$9,3,FALSE),"—")</x:f>
        <x:v>—</x:v>
      </x:c>
      <x:c r="W459" s="24" t="str">
        <x:f>IF(U459="未入选","否","是")</x:f>
        <x:v>否</x:v>
      </x:c>
    </x:row>
    <x:row r="460">
      <x:c r="A460" t="n">
        <x:v>202630</x:v>
      </x:c>
      <x:c r="B460" t="str">
        <x:v>第30期（07.27-08.02）</x:v>
      </x:c>
      <x:c r="C460" t="str">
        <x:v>2026-07-27</x:v>
      </x:c>
      <x:c r="D460" t="str">
        <x:v>2026-08-02</x:v>
      </x:c>
      <x:c r="E460" t="n">
        <x:v>56</x:v>
      </x:c>
      <x:c r="F460" t="n">
        <x:v>535281936</x:v>
      </x:c>
      <x:c r="G460" t="str">
        <x:v>回望</x:v>
      </x:c>
      <x:c r="H460" t="str">
        <x:v>林墨</x:v>
      </x:c>
      <x:c r="I460" t="str">
        <x:v>000TA5Dd05A9Rm</x:v>
      </x:c>
      <x:c r="J460" t="str">
        <x:v>True</x:v>
      </x:c>
      <x:c r="K460" t="n">
        <x:v>0</x:v>
      </x:c>
      <x:c r="L460" t="n">
        <x:v>1</x:v>
      </x:c>
      <x:c r="M460" t="n">
        <x:v>56</x:v>
      </x:c>
      <x:c r="N460" t="n">
        <x:v>87.9223</x:v>
      </x:c>
      <x:c r="O460" t="n">
        <x:v>54.38</x:v>
      </x:c>
      <x:c r="P460" t="n">
        <x:v>0</x:v>
      </x:c>
      <x:c r="Q460" t="n">
        <x:v>0</x:v>
      </x:c>
      <x:c r="R460" t="n">
        <x:v>61.8</x:v>
      </x:c>
      <x:c r="S460" t="n">
        <x:v>50.32</x:v>
      </x:c>
      <x:c r="T460" t="str">
        <x:v>https://y.gtimg.cn/music/photo_new/T002R500x500M000004av63W1v5RYK_1.jpg</x:v>
      </x:c>
      <x:c r="U460" s="24" t="str">
        <x:f>IFERROR(VLOOKUP(I460,'07_字典与参数'!$G$5:$J$9,2,FALSE),"未入选")</x:f>
        <x:v>未入选</x:v>
      </x:c>
      <x:c r="V460" s="24" t="str">
        <x:f>IFERROR(VLOOKUP(I460,'07_字典与参数'!$G$5:$J$9,3,FALSE),"—")</x:f>
        <x:v>—</x:v>
      </x:c>
      <x:c r="W460" s="24" t="str">
        <x:f>IF(U460="未入选","否","是")</x:f>
        <x:v>否</x:v>
      </x:c>
    </x:row>
    <x:row r="461">
      <x:c r="A461" t="n">
        <x:v>202630</x:v>
      </x:c>
      <x:c r="B461" t="str">
        <x:v>第30期（07.27-08.02）</x:v>
      </x:c>
      <x:c r="C461" t="str">
        <x:v>2026-07-27</x:v>
      </x:c>
      <x:c r="D461" t="str">
        <x:v>2026-08-02</x:v>
      </x:c>
      <x:c r="E461" t="n">
        <x:v>57</x:v>
      </x:c>
      <x:c r="F461" t="n">
        <x:v>536573515</x:v>
      </x:c>
      <x:c r="G461" t="str">
        <x:v>放弃的界限</x:v>
      </x:c>
      <x:c r="H461" t="str">
        <x:v>张敬轩</x:v>
      </x:c>
      <x:c r="I461" t="str">
        <x:v>004A3P4m3iHPY8</x:v>
      </x:c>
      <x:c r="J461" t="str">
        <x:v>True</x:v>
      </x:c>
      <x:c r="K461" t="n">
        <x:v>0</x:v>
      </x:c>
      <x:c r="L461" t="n">
        <x:v>1</x:v>
      </x:c>
      <x:c r="M461" t="n">
        <x:v>57</x:v>
      </x:c>
      <x:c r="N461" t="n">
        <x:v>87.91601</x:v>
      </x:c>
      <x:c r="O461" t="n">
        <x:v>67.84</x:v>
      </x:c>
      <x:c r="P461" t="n">
        <x:v>0</x:v>
      </x:c>
      <x:c r="Q461" t="n">
        <x:v>0</x:v>
      </x:c>
      <x:c r="R461" t="n">
        <x:v>26.9</x:v>
      </x:c>
      <x:c r="S461" t="n">
        <x:v>61.3</x:v>
      </x:c>
      <x:c r="T461" t="str">
        <x:v>https://y.gtimg.cn/music/photo_new/T002R500x500M000000El1e90HegZ3_1.jpg</x:v>
      </x:c>
      <x:c r="U461" s="24" t="str">
        <x:f>IFERROR(VLOOKUP(I461,'07_字典与参数'!$G$5:$J$9,2,FALSE),"未入选")</x:f>
        <x:v>未入选</x:v>
      </x:c>
      <x:c r="V461" s="24" t="str">
        <x:f>IFERROR(VLOOKUP(I461,'07_字典与参数'!$G$5:$J$9,3,FALSE),"—")</x:f>
        <x:v>—</x:v>
      </x:c>
      <x:c r="W461" s="24" t="str">
        <x:f>IF(U461="未入选","否","是")</x:f>
        <x:v>否</x:v>
      </x:c>
    </x:row>
    <x:row r="462">
      <x:c r="A462" t="n">
        <x:v>202630</x:v>
      </x:c>
      <x:c r="B462" t="str">
        <x:v>第30期（07.27-08.02）</x:v>
      </x:c>
      <x:c r="C462" t="str">
        <x:v>2026-07-27</x:v>
      </x:c>
      <x:c r="D462" t="str">
        <x:v>2026-08-02</x:v>
      </x:c>
      <x:c r="E462" t="n">
        <x:v>58</x:v>
      </x:c>
      <x:c r="F462" t="n">
        <x:v>530399436</x:v>
      </x:c>
      <x:c r="G462" t="str">
        <x:v>Badi Badi</x:v>
      </x:c>
      <x:c r="H462" t="str">
        <x:v>王俊凯</x:v>
      </x:c>
      <x:c r="I462" t="str">
        <x:v>003DPd5i2qrCU7</x:v>
      </x:c>
      <x:c r="J462" t="str">
        <x:v>False</x:v>
      </x:c>
      <x:c r="K462" t="n">
        <x:v>54</x:v>
      </x:c>
      <x:c r="L462" t="n">
        <x:v>4</x:v>
      </x:c>
      <x:c r="M462" t="n">
        <x:v>7</x:v>
      </x:c>
      <x:c r="N462" t="n">
        <x:v>87.78244</x:v>
      </x:c>
      <x:c r="O462" t="n">
        <x:v>73.01</x:v>
      </x:c>
      <x:c r="P462" t="n">
        <x:v>0</x:v>
      </x:c>
      <x:c r="Q462" t="n">
        <x:v>0</x:v>
      </x:c>
      <x:c r="R462" t="n">
        <x:v>40.41</x:v>
      </x:c>
      <x:c r="S462" t="n">
        <x:v>52.79</x:v>
      </x:c>
      <x:c r="T462" t="str">
        <x:v>https://y.qq.com/music/photo_new/T062R500x500M00000263WWe1mlRaa.jpg</x:v>
      </x:c>
      <x:c r="U462" s="24" t="str">
        <x:f>IFERROR(VLOOKUP(I462,'07_字典与参数'!$G$5:$J$9,2,FALSE),"未入选")</x:f>
        <x:v>未入选</x:v>
      </x:c>
      <x:c r="V462" s="24" t="str">
        <x:f>IFERROR(VLOOKUP(I462,'07_字典与参数'!$G$5:$J$9,3,FALSE),"—")</x:f>
        <x:v>—</x:v>
      </x:c>
      <x:c r="W462" s="24" t="str">
        <x:f>IF(U462="未入选","否","是")</x:f>
        <x:v>否</x:v>
      </x:c>
    </x:row>
    <x:row r="463">
      <x:c r="A463" t="n">
        <x:v>202630</x:v>
      </x:c>
      <x:c r="B463" t="str">
        <x:v>第30期（07.27-08.02）</x:v>
      </x:c>
      <x:c r="C463" t="str">
        <x:v>2026-07-27</x:v>
      </x:c>
      <x:c r="D463" t="str">
        <x:v>2026-08-02</x:v>
      </x:c>
      <x:c r="E463" t="n">
        <x:v>59</x:v>
      </x:c>
      <x:c r="F463" t="n">
        <x:v>536263330</x:v>
      </x:c>
      <x:c r="G463" t="str">
        <x:v>花落花</x:v>
      </x:c>
      <x:c r="H463" t="str">
        <x:v>陈少熙</x:v>
      </x:c>
      <x:c r="I463" t="str">
        <x:v>000qYKux2Ndmue</x:v>
      </x:c>
      <x:c r="J463" t="str">
        <x:v>True</x:v>
      </x:c>
      <x:c r="K463" t="n">
        <x:v>0</x:v>
      </x:c>
      <x:c r="L463" t="n">
        <x:v>1</x:v>
      </x:c>
      <x:c r="M463" t="n">
        <x:v>59</x:v>
      </x:c>
      <x:c r="N463" t="n">
        <x:v>87.73403</x:v>
      </x:c>
      <x:c r="O463" t="n">
        <x:v>67.89</x:v>
      </x:c>
      <x:c r="P463" t="n">
        <x:v>0</x:v>
      </x:c>
      <x:c r="Q463" t="n">
        <x:v>0</x:v>
      </x:c>
      <x:c r="R463" t="n">
        <x:v>21.78</x:v>
      </x:c>
      <x:c r="S463" t="n">
        <x:v>61.23</x:v>
      </x:c>
      <x:c r="T463" t="str">
        <x:v>https://y.gtimg.cn/music/photo_new/T002R500x500M000001xHj3E16iEe3_1.jpg</x:v>
      </x:c>
      <x:c r="U463" s="24" t="str">
        <x:f>IFERROR(VLOOKUP(I463,'07_字典与参数'!$G$5:$J$9,2,FALSE),"未入选")</x:f>
        <x:v>未入选</x:v>
      </x:c>
      <x:c r="V463" s="24" t="str">
        <x:f>IFERROR(VLOOKUP(I463,'07_字典与参数'!$G$5:$J$9,3,FALSE),"—")</x:f>
        <x:v>—</x:v>
      </x:c>
      <x:c r="W463" s="24" t="str">
        <x:f>IF(U463="未入选","否","是")</x:f>
        <x:v>否</x:v>
      </x:c>
    </x:row>
    <x:row r="464">
      <x:c r="A464" t="n">
        <x:v>202630</x:v>
      </x:c>
      <x:c r="B464" t="str">
        <x:v>第30期（07.27-08.02）</x:v>
      </x:c>
      <x:c r="C464" t="str">
        <x:v>2026-07-27</x:v>
      </x:c>
      <x:c r="D464" t="str">
        <x:v>2026-08-02</x:v>
      </x:c>
      <x:c r="E464" t="n">
        <x:v>60</x:v>
      </x:c>
      <x:c r="F464" t="n">
        <x:v>524476063</x:v>
      </x:c>
      <x:c r="G464" t="str">
        <x:v>一直下</x:v>
      </x:c>
      <x:c r="H464" t="str">
        <x:v>陈宇祥</x:v>
      </x:c>
      <x:c r="I464" t="str">
        <x:v>002GlLlX2IsyYr</x:v>
      </x:c>
      <x:c r="J464" t="str">
        <x:v>False</x:v>
      </x:c>
      <x:c r="K464" t="n">
        <x:v>60</x:v>
      </x:c>
      <x:c r="L464" t="n">
        <x:v>3</x:v>
      </x:c>
      <x:c r="M464" t="n">
        <x:v>60</x:v>
      </x:c>
      <x:c r="N464" t="n">
        <x:v>87.58884</x:v>
      </x:c>
      <x:c r="O464" t="n">
        <x:v>77.21</x:v>
      </x:c>
      <x:c r="P464" t="n">
        <x:v>0</x:v>
      </x:c>
      <x:c r="Q464" t="n">
        <x:v>0</x:v>
      </x:c>
      <x:c r="R464" t="n">
        <x:v>6.91</x:v>
      </x:c>
      <x:c r="S464" t="n">
        <x:v>19.52</x:v>
      </x:c>
      <x:c r="T464" t="str">
        <x:v>https://y.gtimg.cn/music/photo_new/T002R500x500M0000036ad3O39VsR1_1.jpg</x:v>
      </x:c>
      <x:c r="U464" s="24" t="str">
        <x:f>IFERROR(VLOOKUP(I464,'07_字典与参数'!$G$5:$J$9,2,FALSE),"未入选")</x:f>
        <x:v>未入选</x:v>
      </x:c>
      <x:c r="V464" s="24" t="str">
        <x:f>IFERROR(VLOOKUP(I464,'07_字典与参数'!$G$5:$J$9,3,FALSE),"—")</x:f>
        <x:v>—</x:v>
      </x:c>
      <x:c r="W464" s="24" t="str">
        <x:f>IF(U464="未入选","否","是")</x:f>
        <x:v>否</x:v>
      </x:c>
    </x:row>
    <x:row r="465">
      <x:c r="A465" t="n">
        <x:v>202630</x:v>
      </x:c>
      <x:c r="B465" t="str">
        <x:v>第30期（07.27-08.02）</x:v>
      </x:c>
      <x:c r="C465" t="str">
        <x:v>2026-07-27</x:v>
      </x:c>
      <x:c r="D465" t="str">
        <x:v>2026-08-02</x:v>
      </x:c>
      <x:c r="E465" t="n">
        <x:v>61</x:v>
      </x:c>
      <x:c r="F465" t="n">
        <x:v>463431785</x:v>
      </x:c>
      <x:c r="G465" t="str">
        <x:v>巴拉莱卡（The Rod）</x:v>
      </x:c>
      <x:c r="H465" t="str">
        <x:v>门尼</x:v>
      </x:c>
      <x:c r="I465" t="str">
        <x:v>004cIIT23E42Bi</x:v>
      </x:c>
      <x:c r="J465" t="str">
        <x:v>False</x:v>
      </x:c>
      <x:c r="K465" t="n">
        <x:v>64</x:v>
      </x:c>
      <x:c r="L465" t="n">
        <x:v>19</x:v>
      </x:c>
      <x:c r="M465" t="n">
        <x:v>19</x:v>
      </x:c>
      <x:c r="N465" t="n">
        <x:v>87.5231</x:v>
      </x:c>
      <x:c r="O465" t="n">
        <x:v>76.17</x:v>
      </x:c>
      <x:c r="P465" t="n">
        <x:v>0</x:v>
      </x:c>
      <x:c r="Q465" t="n">
        <x:v>0</x:v>
      </x:c>
      <x:c r="R465" t="n">
        <x:v>25.17</x:v>
      </x:c>
      <x:c r="S465" t="n">
        <x:v>42.57</x:v>
      </x:c>
      <x:c r="T465" t="str">
        <x:v>https://y.qq.com/music/photo_new/T062R500x500M000000KuGDR0MKlCb.jpg</x:v>
      </x:c>
      <x:c r="U465" s="24" t="str">
        <x:f>IFERROR(VLOOKUP(I465,'07_字典与参数'!$G$5:$J$9,2,FALSE),"未入选")</x:f>
        <x:v>未入选</x:v>
      </x:c>
      <x:c r="V465" s="24" t="str">
        <x:f>IFERROR(VLOOKUP(I465,'07_字典与参数'!$G$5:$J$9,3,FALSE),"—")</x:f>
        <x:v>—</x:v>
      </x:c>
      <x:c r="W465" s="24" t="str">
        <x:f>IF(U465="未入选","否","是")</x:f>
        <x:v>否</x:v>
      </x:c>
    </x:row>
    <x:row r="466">
      <x:c r="A466" t="n">
        <x:v>202630</x:v>
      </x:c>
      <x:c r="B466" t="str">
        <x:v>第30期（07.27-08.02）</x:v>
      </x:c>
      <x:c r="C466" t="str">
        <x:v>2026-07-27</x:v>
      </x:c>
      <x:c r="D466" t="str">
        <x:v>2026-08-02</x:v>
      </x:c>
      <x:c r="E466" t="n">
        <x:v>62</x:v>
      </x:c>
      <x:c r="F466" t="n">
        <x:v>512101294</x:v>
      </x:c>
      <x:c r="G466" t="str">
        <x:v>人间的剧本</x:v>
      </x:c>
      <x:c r="H466" t="str">
        <x:v>老韩很哇塞</x:v>
      </x:c>
      <x:c r="I466" t="str">
        <x:v>001Pa1g53DmNQ3</x:v>
      </x:c>
      <x:c r="J466" t="str">
        <x:v>False</x:v>
      </x:c>
      <x:c r="K466" t="n">
        <x:v>57</x:v>
      </x:c>
      <x:c r="L466" t="n">
        <x:v>5</x:v>
      </x:c>
      <x:c r="M466" t="n">
        <x:v>57</x:v>
      </x:c>
      <x:c r="N466" t="n">
        <x:v>87.4608</x:v>
      </x:c>
      <x:c r="O466" t="n">
        <x:v>75.63</x:v>
      </x:c>
      <x:c r="P466" t="n">
        <x:v>0</x:v>
      </x:c>
      <x:c r="Q466" t="n">
        <x:v>0</x:v>
      </x:c>
      <x:c r="R466" t="n">
        <x:v>40.27</x:v>
      </x:c>
      <x:c r="S466" t="n">
        <x:v>40.8</x:v>
      </x:c>
      <x:c r="T466" t="str">
        <x:v>https://y.gtimg.cn/music/photo_new/T002R500x500M000002F2Rfl3kTcYx_2.jpg</x:v>
      </x:c>
      <x:c r="U466" s="24" t="str">
        <x:f>IFERROR(VLOOKUP(I466,'07_字典与参数'!$G$5:$J$9,2,FALSE),"未入选")</x:f>
        <x:v>未入选</x:v>
      </x:c>
      <x:c r="V466" s="24" t="str">
        <x:f>IFERROR(VLOOKUP(I466,'07_字典与参数'!$G$5:$J$9,3,FALSE),"—")</x:f>
        <x:v>—</x:v>
      </x:c>
      <x:c r="W466" s="24" t="str">
        <x:f>IF(U466="未入选","否","是")</x:f>
        <x:v>否</x:v>
      </x:c>
    </x:row>
    <x:row r="467">
      <x:c r="A467" t="n">
        <x:v>202630</x:v>
      </x:c>
      <x:c r="B467" t="str">
        <x:v>第30期（07.27-08.02）</x:v>
      </x:c>
      <x:c r="C467" t="str">
        <x:v>2026-07-27</x:v>
      </x:c>
      <x:c r="D467" t="str">
        <x:v>2026-08-02</x:v>
      </x:c>
      <x:c r="E467" t="n">
        <x:v>63</x:v>
      </x:c>
      <x:c r="F467" t="n">
        <x:v>480650228</x:v>
      </x:c>
      <x:c r="G467" t="str">
        <x:v>让你知道</x:v>
      </x:c>
      <x:c r="H467" t="str">
        <x:v>汪苏泷,G.E.M. 邓紫棋</x:v>
      </x:c>
      <x:c r="I467" t="str">
        <x:v>002V5FGl3Wga6v</x:v>
      </x:c>
      <x:c r="J467" t="str">
        <x:v>False</x:v>
      </x:c>
      <x:c r="K467" t="n">
        <x:v>63</x:v>
      </x:c>
      <x:c r="L467" t="n">
        <x:v>6</x:v>
      </x:c>
      <x:c r="M467" t="n">
        <x:v>11</x:v>
      </x:c>
      <x:c r="N467" t="n">
        <x:v>87.23059</x:v>
      </x:c>
      <x:c r="O467" t="n">
        <x:v>74.14</x:v>
      </x:c>
      <x:c r="P467" t="n">
        <x:v>0</x:v>
      </x:c>
      <x:c r="Q467" t="n">
        <x:v>0</x:v>
      </x:c>
      <x:c r="R467" t="n">
        <x:v>7.21</x:v>
      </x:c>
      <x:c r="S467" t="n">
        <x:v>52.52</x:v>
      </x:c>
      <x:c r="T467" t="str">
        <x:v>https://y.gtimg.cn/music/photo_new/T002R500x500M000000A1M903iHvyT_4.jpg</x:v>
      </x:c>
      <x:c r="U467" s="24" t="str">
        <x:f>IFERROR(VLOOKUP(I467,'07_字典与参数'!$G$5:$J$9,2,FALSE),"未入选")</x:f>
        <x:v>未入选</x:v>
      </x:c>
      <x:c r="V467" s="24" t="str">
        <x:f>IFERROR(VLOOKUP(I467,'07_字典与参数'!$G$5:$J$9,3,FALSE),"—")</x:f>
        <x:v>—</x:v>
      </x:c>
      <x:c r="W467" s="24" t="str">
        <x:f>IF(U467="未入选","否","是")</x:f>
        <x:v>否</x:v>
      </x:c>
    </x:row>
    <x:row r="468">
      <x:c r="A468" t="n">
        <x:v>202630</x:v>
      </x:c>
      <x:c r="B468" t="str">
        <x:v>第30期（07.27-08.02）</x:v>
      </x:c>
      <x:c r="C468" t="str">
        <x:v>2026-07-27</x:v>
      </x:c>
      <x:c r="D468" t="str">
        <x:v>2026-08-02</x:v>
      </x:c>
      <x:c r="E468" t="n">
        <x:v>64</x:v>
      </x:c>
      <x:c r="F468" t="n">
        <x:v>530004147</x:v>
      </x:c>
      <x:c r="G468" t="str">
        <x:v>红尘慌慌</x:v>
      </x:c>
      <x:c r="H468" t="str">
        <x:v>周深</x:v>
      </x:c>
      <x:c r="I468" t="str">
        <x:v>003ARFyH2himMe</x:v>
      </x:c>
      <x:c r="J468" t="str">
        <x:v>False</x:v>
      </x:c>
      <x:c r="K468" t="n">
        <x:v>67</x:v>
      </x:c>
      <x:c r="L468" t="n">
        <x:v>4</x:v>
      </x:c>
      <x:c r="M468" t="n">
        <x:v>1</x:v>
      </x:c>
      <x:c r="N468" t="n">
        <x:v>87.18693</x:v>
      </x:c>
      <x:c r="O468" t="n">
        <x:v>72.68</x:v>
      </x:c>
      <x:c r="P468" t="n">
        <x:v>0</x:v>
      </x:c>
      <x:c r="Q468" t="n">
        <x:v>0</x:v>
      </x:c>
      <x:c r="R468" t="n">
        <x:v>22.1</x:v>
      </x:c>
      <x:c r="S468" t="n">
        <x:v>54.27</x:v>
      </x:c>
      <x:c r="T468" t="str">
        <x:v>https://y.qq.com/music/photo_new/T062R500x500M000002P5PQ93Mb5a2.jpg</x:v>
      </x:c>
      <x:c r="U468" s="24" t="str">
        <x:f>IFERROR(VLOOKUP(I468,'07_字典与参数'!$G$5:$J$9,2,FALSE),"未入选")</x:f>
        <x:v>未入选</x:v>
      </x:c>
      <x:c r="V468" s="24" t="str">
        <x:f>IFERROR(VLOOKUP(I468,'07_字典与参数'!$G$5:$J$9,3,FALSE),"—")</x:f>
        <x:v>—</x:v>
      </x:c>
      <x:c r="W468" s="24" t="str">
        <x:f>IF(U468="未入选","否","是")</x:f>
        <x:v>否</x:v>
      </x:c>
    </x:row>
    <x:row r="469">
      <x:c r="A469" t="n">
        <x:v>202630</x:v>
      </x:c>
      <x:c r="B469" t="str">
        <x:v>第30期（07.27-08.02）</x:v>
      </x:c>
      <x:c r="C469" t="str">
        <x:v>2026-07-27</x:v>
      </x:c>
      <x:c r="D469" t="str">
        <x:v>2026-08-02</x:v>
      </x:c>
      <x:c r="E469" t="n">
        <x:v>65</x:v>
      </x:c>
      <x:c r="F469" t="n">
        <x:v>471987459</x:v>
      </x:c>
      <x:c r="G469" t="str">
        <x:v>无趣生活指南</x:v>
      </x:c>
      <x:c r="H469" t="str">
        <x:v>宋亚轩</x:v>
      </x:c>
      <x:c r="I469" t="str">
        <x:v>004MTdEu3oB5ZR</x:v>
      </x:c>
      <x:c r="J469" t="str">
        <x:v>False</x:v>
      </x:c>
      <x:c r="K469" t="n">
        <x:v>76</x:v>
      </x:c>
      <x:c r="L469" t="n">
        <x:v>21</x:v>
      </x:c>
      <x:c r="M469" t="n">
        <x:v>1</x:v>
      </x:c>
      <x:c r="N469" t="n">
        <x:v>86.57931</x:v>
      </x:c>
      <x:c r="O469" t="n">
        <x:v>59.44</x:v>
      </x:c>
      <x:c r="P469" t="n">
        <x:v>0</x:v>
      </x:c>
      <x:c r="Q469" t="n">
        <x:v>0</x:v>
      </x:c>
      <x:c r="R469" t="n">
        <x:v>13.33</x:v>
      </x:c>
      <x:c r="S469" t="n">
        <x:v>61.82</x:v>
      </x:c>
      <x:c r="T469" t="str">
        <x:v>https://y.gtimg.cn/music/photo_new/T002R500x500M000003Lv1d94F8P3W_1.jpg</x:v>
      </x:c>
      <x:c r="U469" s="24" t="str">
        <x:f>IFERROR(VLOOKUP(I469,'07_字典与参数'!$G$5:$J$9,2,FALSE),"未入选")</x:f>
        <x:v>未入选</x:v>
      </x:c>
      <x:c r="V469" s="24" t="str">
        <x:f>IFERROR(VLOOKUP(I469,'07_字典与参数'!$G$5:$J$9,3,FALSE),"—")</x:f>
        <x:v>—</x:v>
      </x:c>
      <x:c r="W469" s="24" t="str">
        <x:f>IF(U469="未入选","否","是")</x:f>
        <x:v>否</x:v>
      </x:c>
    </x:row>
    <x:row r="470">
      <x:c r="A470" t="n">
        <x:v>202630</x:v>
      </x:c>
      <x:c r="B470" t="str">
        <x:v>第30期（07.27-08.02）</x:v>
      </x:c>
      <x:c r="C470" t="str">
        <x:v>2026-07-27</x:v>
      </x:c>
      <x:c r="D470" t="str">
        <x:v>2026-08-02</x:v>
      </x:c>
      <x:c r="E470" t="n">
        <x:v>66</x:v>
      </x:c>
      <x:c r="F470" t="n">
        <x:v>522436401</x:v>
      </x:c>
      <x:c r="G470" t="str">
        <x:v>爱谁谁</x:v>
      </x:c>
      <x:c r="H470" t="str">
        <x:v>张艺兴</x:v>
      </x:c>
      <x:c r="I470" t="str">
        <x:v>0022DCpn01uwgJ</x:v>
      </x:c>
      <x:c r="J470" t="str">
        <x:v>False</x:v>
      </x:c>
      <x:c r="K470" t="n">
        <x:v>36</x:v>
      </x:c>
      <x:c r="L470" t="n">
        <x:v>5</x:v>
      </x:c>
      <x:c r="M470" t="n">
        <x:v>4</x:v>
      </x:c>
      <x:c r="N470" t="n">
        <x:v>86.26488</x:v>
      </x:c>
      <x:c r="O470" t="n">
        <x:v>59.02</x:v>
      </x:c>
      <x:c r="P470" t="n">
        <x:v>0</x:v>
      </x:c>
      <x:c r="Q470" t="n">
        <x:v>0</x:v>
      </x:c>
      <x:c r="R470" t="n">
        <x:v>60.48</x:v>
      </x:c>
      <x:c r="S470" t="n">
        <x:v>42.14</x:v>
      </x:c>
      <x:c r="T470" t="str">
        <x:v>https://y.gtimg.cn/music/photo_new/T002R500x500M000001w138z3PZEcz_1.jpg</x:v>
      </x:c>
      <x:c r="U470" s="24" t="str">
        <x:f>IFERROR(VLOOKUP(I470,'07_字典与参数'!$G$5:$J$9,2,FALSE),"未入选")</x:f>
        <x:v>未入选</x:v>
      </x:c>
      <x:c r="V470" s="24" t="str">
        <x:f>IFERROR(VLOOKUP(I470,'07_字典与参数'!$G$5:$J$9,3,FALSE),"—")</x:f>
        <x:v>—</x:v>
      </x:c>
      <x:c r="W470" s="24" t="str">
        <x:f>IF(U470="未入选","否","是")</x:f>
        <x:v>否</x:v>
      </x:c>
    </x:row>
    <x:row r="471">
      <x:c r="A471" t="n">
        <x:v>202630</x:v>
      </x:c>
      <x:c r="B471" t="str">
        <x:v>第30期（07.27-08.02）</x:v>
      </x:c>
      <x:c r="C471" t="str">
        <x:v>2026-07-27</x:v>
      </x:c>
      <x:c r="D471" t="str">
        <x:v>2026-08-02</x:v>
      </x:c>
      <x:c r="E471" t="n">
        <x:v>67</x:v>
      </x:c>
      <x:c r="F471" t="n">
        <x:v>466782905</x:v>
      </x:c>
      <x:c r="G471" t="str">
        <x:v>梦底</x:v>
      </x:c>
      <x:c r="H471" t="str">
        <x:v>海来阿木</x:v>
      </x:c>
      <x:c r="I471" t="str">
        <x:v>001bG0HK1bhUgX</x:v>
      </x:c>
      <x:c r="J471" t="str">
        <x:v>False</x:v>
      </x:c>
      <x:c r="K471" t="n">
        <x:v>74</x:v>
      </x:c>
      <x:c r="L471" t="n">
        <x:v>22</x:v>
      </x:c>
      <x:c r="M471" t="n">
        <x:v>9</x:v>
      </x:c>
      <x:c r="N471" t="n">
        <x:v>86.16954</x:v>
      </x:c>
      <x:c r="O471" t="n">
        <x:v>75.18</x:v>
      </x:c>
      <x:c r="P471" t="n">
        <x:v>0</x:v>
      </x:c>
      <x:c r="Q471" t="n">
        <x:v>0</x:v>
      </x:c>
      <x:c r="R471" t="n">
        <x:v>27.24</x:v>
      </x:c>
      <x:c r="S471" t="n">
        <x:v>37.24</x:v>
      </x:c>
      <x:c r="T471" t="str">
        <x:v>https://y.qq.com/music/photo_new/T062R500x500M000002Lcths3JW6kx.jpg</x:v>
      </x:c>
      <x:c r="U471" s="24" t="str">
        <x:f>IFERROR(VLOOKUP(I471,'07_字典与参数'!$G$5:$J$9,2,FALSE),"未入选")</x:f>
        <x:v>未入选</x:v>
      </x:c>
      <x:c r="V471" s="24" t="str">
        <x:f>IFERROR(VLOOKUP(I471,'07_字典与参数'!$G$5:$J$9,3,FALSE),"—")</x:f>
        <x:v>—</x:v>
      </x:c>
      <x:c r="W471" s="24" t="str">
        <x:f>IF(U471="未入选","否","是")</x:f>
        <x:v>否</x:v>
      </x:c>
    </x:row>
    <x:row r="472">
      <x:c r="A472" t="n">
        <x:v>202630</x:v>
      </x:c>
      <x:c r="B472" t="str">
        <x:v>第30期（07.27-08.02）</x:v>
      </x:c>
      <x:c r="C472" t="str">
        <x:v>2026-07-27</x:v>
      </x:c>
      <x:c r="D472" t="str">
        <x:v>2026-08-02</x:v>
      </x:c>
      <x:c r="E472" t="n">
        <x:v>68</x:v>
      </x:c>
      <x:c r="F472" t="n">
        <x:v>521720356</x:v>
      </x:c>
      <x:c r="G472" t="str">
        <x:v>疑疑疑</x:v>
      </x:c>
      <x:c r="H472" t="str">
        <x:v>王俊凯</x:v>
      </x:c>
      <x:c r="I472" t="str">
        <x:v>003Y82u91ZIDmO</x:v>
      </x:c>
      <x:c r="J472" t="str">
        <x:v>False</x:v>
      </x:c>
      <x:c r="K472" t="n">
        <x:v>68</x:v>
      </x:c>
      <x:c r="L472" t="n">
        <x:v>5</x:v>
      </x:c>
      <x:c r="M472" t="n">
        <x:v>3</x:v>
      </x:c>
      <x:c r="N472" t="n">
        <x:v>86.09606</x:v>
      </x:c>
      <x:c r="O472" t="n">
        <x:v>71.21</x:v>
      </x:c>
      <x:c r="P472" t="n">
        <x:v>0</x:v>
      </x:c>
      <x:c r="Q472" t="n">
        <x:v>0</x:v>
      </x:c>
      <x:c r="R472" t="n">
        <x:v>34.66</x:v>
      </x:c>
      <x:c r="S472" t="n">
        <x:v>51.22</x:v>
      </x:c>
      <x:c r="T472" t="str">
        <x:v>https://y.qq.com/music/photo_new/T062R500x500M000001RGf6N2Plzq6.jpg</x:v>
      </x:c>
      <x:c r="U472" s="24" t="str">
        <x:f>IFERROR(VLOOKUP(I472,'07_字典与参数'!$G$5:$J$9,2,FALSE),"未入选")</x:f>
        <x:v>未入选</x:v>
      </x:c>
      <x:c r="V472" s="24" t="str">
        <x:f>IFERROR(VLOOKUP(I472,'07_字典与参数'!$G$5:$J$9,3,FALSE),"—")</x:f>
        <x:v>—</x:v>
      </x:c>
      <x:c r="W472" s="24" t="str">
        <x:f>IF(U472="未入选","否","是")</x:f>
        <x:v>否</x:v>
      </x:c>
    </x:row>
    <x:row r="473">
      <x:c r="A473" t="n">
        <x:v>202630</x:v>
      </x:c>
      <x:c r="B473" t="str">
        <x:v>第30期（07.27-08.02）</x:v>
      </x:c>
      <x:c r="C473" t="str">
        <x:v>2026-07-27</x:v>
      </x:c>
      <x:c r="D473" t="str">
        <x:v>2026-08-02</x:v>
      </x:c>
      <x:c r="E473" t="n">
        <x:v>69</x:v>
      </x:c>
      <x:c r="F473" t="n">
        <x:v>467620041</x:v>
      </x:c>
      <x:c r="G473" t="str">
        <x:v>吉量</x:v>
      </x:c>
      <x:c r="H473" t="str">
        <x:v>周深</x:v>
      </x:c>
      <x:c r="I473" t="str">
        <x:v>004VCyBy391azx</x:v>
      </x:c>
      <x:c r="J473" t="str">
        <x:v>False</x:v>
      </x:c>
      <x:c r="K473" t="n">
        <x:v>93</x:v>
      </x:c>
      <x:c r="L473" t="n">
        <x:v>24</x:v>
      </x:c>
      <x:c r="M473" t="n">
        <x:v>1</x:v>
      </x:c>
      <x:c r="N473" t="n">
        <x:v>86.08364</x:v>
      </x:c>
      <x:c r="O473" t="n">
        <x:v>68.7</x:v>
      </x:c>
      <x:c r="P473" t="n">
        <x:v>0</x:v>
      </x:c>
      <x:c r="Q473" t="n">
        <x:v>0</x:v>
      </x:c>
      <x:c r="R473" t="n">
        <x:v>21.51</x:v>
      </x:c>
      <x:c r="S473" t="n">
        <x:v>56.18</x:v>
      </x:c>
      <x:c r="T473" t="str">
        <x:v>https://y.gtimg.cn/music/photo_new/T002R500x500M0000010e79v0CExQN_2.jpg</x:v>
      </x:c>
      <x:c r="U473" s="24" t="str">
        <x:f>IFERROR(VLOOKUP(I473,'07_字典与参数'!$G$5:$J$9,2,FALSE),"未入选")</x:f>
        <x:v>未入选</x:v>
      </x:c>
      <x:c r="V473" s="24" t="str">
        <x:f>IFERROR(VLOOKUP(I473,'07_字典与参数'!$G$5:$J$9,3,FALSE),"—")</x:f>
        <x:v>—</x:v>
      </x:c>
      <x:c r="W473" s="24" t="str">
        <x:f>IF(U473="未入选","否","是")</x:f>
        <x:v>否</x:v>
      </x:c>
    </x:row>
    <x:row r="474">
      <x:c r="A474" t="n">
        <x:v>202630</x:v>
      </x:c>
      <x:c r="B474" t="str">
        <x:v>第30期（07.27-08.02）</x:v>
      </x:c>
      <x:c r="C474" t="str">
        <x:v>2026-07-27</x:v>
      </x:c>
      <x:c r="D474" t="str">
        <x:v>2026-08-02</x:v>
      </x:c>
      <x:c r="E474" t="n">
        <x:v>70</x:v>
      </x:c>
      <x:c r="F474" t="n">
        <x:v>464961899</x:v>
      </x:c>
      <x:c r="G474" t="str">
        <x:v>失眠了</x:v>
      </x:c>
      <x:c r="H474" t="str">
        <x:v>吴琳珂Moske</x:v>
      </x:c>
      <x:c r="I474" t="str">
        <x:v>001TbwI91Lu6kB</x:v>
      </x:c>
      <x:c r="J474" t="str">
        <x:v>False</x:v>
      </x:c>
      <x:c r="K474" t="n">
        <x:v>85</x:v>
      </x:c>
      <x:c r="L474" t="n">
        <x:v>23</x:v>
      </x:c>
      <x:c r="M474" t="n">
        <x:v>19</x:v>
      </x:c>
      <x:c r="N474" t="n">
        <x:v>85.96521</x:v>
      </x:c>
      <x:c r="O474" t="n">
        <x:v>75.32</x:v>
      </x:c>
      <x:c r="P474" t="n">
        <x:v>0</x:v>
      </x:c>
      <x:c r="Q474" t="n">
        <x:v>0</x:v>
      </x:c>
      <x:c r="R474" t="n">
        <x:v>2.39</x:v>
      </x:c>
      <x:c r="S474" t="n">
        <x:v>40.29</x:v>
      </x:c>
      <x:c r="T474" t="str">
        <x:v>https://y.gtimg.cn/music/photo_new/T002R500x500M000001Eq1Sr22DGRf_1.jpg</x:v>
      </x:c>
      <x:c r="U474" s="24" t="str">
        <x:f>IFERROR(VLOOKUP(I474,'07_字典与参数'!$G$5:$J$9,2,FALSE),"未入选")</x:f>
        <x:v>未入选</x:v>
      </x:c>
      <x:c r="V474" s="24" t="str">
        <x:f>IFERROR(VLOOKUP(I474,'07_字典与参数'!$G$5:$J$9,3,FALSE),"—")</x:f>
        <x:v>—</x:v>
      </x:c>
      <x:c r="W474" s="24" t="str">
        <x:f>IF(U474="未入选","否","是")</x:f>
        <x:v>否</x:v>
      </x:c>
    </x:row>
    <x:row r="475">
      <x:c r="A475" t="n">
        <x:v>202630</x:v>
      </x:c>
      <x:c r="B475" t="str">
        <x:v>第30期（07.27-08.02）</x:v>
      </x:c>
      <x:c r="C475" t="str">
        <x:v>2026-07-27</x:v>
      </x:c>
      <x:c r="D475" t="str">
        <x:v>2026-08-02</x:v>
      </x:c>
      <x:c r="E475" t="n">
        <x:v>71</x:v>
      </x:c>
      <x:c r="F475" t="n">
        <x:v>532831826</x:v>
      </x:c>
      <x:c r="G475" t="str">
        <x:v>ZESTY</x:v>
      </x:c>
      <x:c r="H475" t="str">
        <x:v>袁一琦</x:v>
      </x:c>
      <x:c r="I475" t="str">
        <x:v>004Ymb8G1GWzPk</x:v>
      </x:c>
      <x:c r="J475" t="str">
        <x:v>False</x:v>
      </x:c>
      <x:c r="K475" t="n">
        <x:v>25</x:v>
      </x:c>
      <x:c r="L475" t="n">
        <x:v>3</x:v>
      </x:c>
      <x:c r="M475" t="n">
        <x:v>6</x:v>
      </x:c>
      <x:c r="N475" t="n">
        <x:v>85.91132</x:v>
      </x:c>
      <x:c r="O475" t="n">
        <x:v>60.4</x:v>
      </x:c>
      <x:c r="P475" t="n">
        <x:v>0</x:v>
      </x:c>
      <x:c r="Q475" t="n">
        <x:v>0</x:v>
      </x:c>
      <x:c r="R475" t="n">
        <x:v>15.87</x:v>
      </x:c>
      <x:c r="S475" t="n">
        <x:v>60.52</x:v>
      </x:c>
      <x:c r="T475" t="str">
        <x:v>https://y.gtimg.cn/music/photo_new/T002R500x500M000003qltM2469LMm_2.jpg</x:v>
      </x:c>
      <x:c r="U475" s="24" t="str">
        <x:f>IFERROR(VLOOKUP(I475,'07_字典与参数'!$G$5:$J$9,2,FALSE),"未入选")</x:f>
        <x:v>未入选</x:v>
      </x:c>
      <x:c r="V475" s="24" t="str">
        <x:f>IFERROR(VLOOKUP(I475,'07_字典与参数'!$G$5:$J$9,3,FALSE),"—")</x:f>
        <x:v>—</x:v>
      </x:c>
      <x:c r="W475" s="24" t="str">
        <x:f>IF(U475="未入选","否","是")</x:f>
        <x:v>否</x:v>
      </x:c>
    </x:row>
    <x:row r="476">
      <x:c r="A476" t="n">
        <x:v>202630</x:v>
      </x:c>
      <x:c r="B476" t="str">
        <x:v>第30期（07.27-08.02）</x:v>
      </x:c>
      <x:c r="C476" t="str">
        <x:v>2026-07-27</x:v>
      </x:c>
      <x:c r="D476" t="str">
        <x:v>2026-08-02</x:v>
      </x:c>
      <x:c r="E476" t="n">
        <x:v>72</x:v>
      </x:c>
      <x:c r="F476" t="n">
        <x:v>513694560</x:v>
      </x:c>
      <x:c r="G476" t="str">
        <x:v>最后的借口</x:v>
      </x:c>
      <x:c r="H476" t="str">
        <x:v>h3R3刘清云,罗可Lorkin</x:v>
      </x:c>
      <x:c r="I476" t="str">
        <x:v>0009ekdK2Ilzld</x:v>
      </x:c>
      <x:c r="J476" t="str">
        <x:v>False</x:v>
      </x:c>
      <x:c r="K476" t="n">
        <x:v>88</x:v>
      </x:c>
      <x:c r="L476" t="n">
        <x:v>4</x:v>
      </x:c>
      <x:c r="M476" t="n">
        <x:v>72</x:v>
      </x:c>
      <x:c r="N476" t="n">
        <x:v>85.86076</x:v>
      </x:c>
      <x:c r="O476" t="n">
        <x:v>75.05</x:v>
      </x:c>
      <x:c r="P476" t="n">
        <x:v>0</x:v>
      </x:c>
      <x:c r="Q476" t="n">
        <x:v>0</x:v>
      </x:c>
      <x:c r="R476" t="n">
        <x:v>11.7</x:v>
      </x:c>
      <x:c r="S476" t="n">
        <x:v>40.65</x:v>
      </x:c>
      <x:c r="T476" t="str">
        <x:v>https://y.gtimg.cn/music/photo_new/T002R500x500M0000031yTwA0yq3b5_1.jpg</x:v>
      </x:c>
      <x:c r="U476" s="24" t="str">
        <x:f>IFERROR(VLOOKUP(I476,'07_字典与参数'!$G$5:$J$9,2,FALSE),"未入选")</x:f>
        <x:v>未入选</x:v>
      </x:c>
      <x:c r="V476" s="24" t="str">
        <x:f>IFERROR(VLOOKUP(I476,'07_字典与参数'!$G$5:$J$9,3,FALSE),"—")</x:f>
        <x:v>—</x:v>
      </x:c>
      <x:c r="W476" s="24" t="str">
        <x:f>IF(U476="未入选","否","是")</x:f>
        <x:v>否</x:v>
      </x:c>
    </x:row>
    <x:row r="477">
      <x:c r="A477" t="n">
        <x:v>202630</x:v>
      </x:c>
      <x:c r="B477" t="str">
        <x:v>第30期（07.27-08.02）</x:v>
      </x:c>
      <x:c r="C477" t="str">
        <x:v>2026-07-27</x:v>
      </x:c>
      <x:c r="D477" t="str">
        <x:v>2026-08-02</x:v>
      </x:c>
      <x:c r="E477" t="n">
        <x:v>73</x:v>
      </x:c>
      <x:c r="F477" t="n">
        <x:v>474678725</x:v>
      </x:c>
      <x:c r="G477" t="str">
        <x:v>宠</x:v>
      </x:c>
      <x:c r="H477" t="str">
        <x:v>檀健次</x:v>
      </x:c>
      <x:c r="I477" t="str">
        <x:v>004F7UlD2YXJtR</x:v>
      </x:c>
      <x:c r="J477" t="str">
        <x:v>False</x:v>
      </x:c>
      <x:c r="K477" t="n">
        <x:v>86</x:v>
      </x:c>
      <x:c r="L477" t="n">
        <x:v>20</x:v>
      </x:c>
      <x:c r="M477" t="n">
        <x:v>10</x:v>
      </x:c>
      <x:c r="N477" t="n">
        <x:v>85.85033</x:v>
      </x:c>
      <x:c r="O477" t="n">
        <x:v>62.35</x:v>
      </x:c>
      <x:c r="P477" t="n">
        <x:v>0</x:v>
      </x:c>
      <x:c r="Q477" t="n">
        <x:v>0</x:v>
      </x:c>
      <x:c r="R477" t="n">
        <x:v>20.2</x:v>
      </x:c>
      <x:c r="S477" t="n">
        <x:v>59.5</x:v>
      </x:c>
      <x:c r="T477" t="str">
        <x:v>https://y.gtimg.cn/music/photo_new/T002R500x500M000001pEKRz4LW4Vx_1.jpg</x:v>
      </x:c>
      <x:c r="U477" s="24" t="str">
        <x:f>IFERROR(VLOOKUP(I477,'07_字典与参数'!$G$5:$J$9,2,FALSE),"未入选")</x:f>
        <x:v>未入选</x:v>
      </x:c>
      <x:c r="V477" s="24" t="str">
        <x:f>IFERROR(VLOOKUP(I477,'07_字典与参数'!$G$5:$J$9,3,FALSE),"—")</x:f>
        <x:v>—</x:v>
      </x:c>
      <x:c r="W477" s="24" t="str">
        <x:f>IF(U477="未入选","否","是")</x:f>
        <x:v>否</x:v>
      </x:c>
    </x:row>
    <x:row r="478">
      <x:c r="A478" t="n">
        <x:v>202630</x:v>
      </x:c>
      <x:c r="B478" t="str">
        <x:v>第30期（07.27-08.02）</x:v>
      </x:c>
      <x:c r="C478" t="str">
        <x:v>2026-07-27</x:v>
      </x:c>
      <x:c r="D478" t="str">
        <x:v>2026-08-02</x:v>
      </x:c>
      <x:c r="E478" t="n">
        <x:v>74</x:v>
      </x:c>
      <x:c r="F478" t="n">
        <x:v>517395426</x:v>
      </x:c>
      <x:c r="G478" t="str">
        <x:v>问爱</x:v>
      </x:c>
      <x:c r="H478" t="str">
        <x:v>Yamy郭颖</x:v>
      </x:c>
      <x:c r="I478" t="str">
        <x:v>002oGI0x1Go47u</x:v>
      </x:c>
      <x:c r="J478" t="str">
        <x:v>True</x:v>
      </x:c>
      <x:c r="K478" t="n">
        <x:v>129</x:v>
      </x:c>
      <x:c r="L478" t="n">
        <x:v>1</x:v>
      </x:c>
      <x:c r="M478" t="n">
        <x:v>74</x:v>
      </x:c>
      <x:c r="N478" t="n">
        <x:v>85.80571</x:v>
      </x:c>
      <x:c r="O478" t="n">
        <x:v>74.46</x:v>
      </x:c>
      <x:c r="P478" t="n">
        <x:v>0</x:v>
      </x:c>
      <x:c r="Q478" t="n">
        <x:v>0</x:v>
      </x:c>
      <x:c r="R478" t="n">
        <x:v>13.24</x:v>
      </x:c>
      <x:c r="S478" t="n">
        <x:v>42.49</x:v>
      </x:c>
      <x:c r="T478" t="str">
        <x:v>https://y.gtimg.cn/music/photo_new/T002R500x500M000000nsQXX2AYOBd_1.jpg</x:v>
      </x:c>
      <x:c r="U478" s="24" t="str">
        <x:f>IFERROR(VLOOKUP(I478,'07_字典与参数'!$G$5:$J$9,2,FALSE),"未入选")</x:f>
        <x:v>未入选</x:v>
      </x:c>
      <x:c r="V478" s="24" t="str">
        <x:f>IFERROR(VLOOKUP(I478,'07_字典与参数'!$G$5:$J$9,3,FALSE),"—")</x:f>
        <x:v>—</x:v>
      </x:c>
      <x:c r="W478" s="24" t="str">
        <x:f>IF(U478="未入选","否","是")</x:f>
        <x:v>否</x:v>
      </x:c>
    </x:row>
    <x:row r="479">
      <x:c r="A479" t="n">
        <x:v>202630</x:v>
      </x:c>
      <x:c r="B479" t="str">
        <x:v>第30期（07.27-08.02）</x:v>
      </x:c>
      <x:c r="C479" t="str">
        <x:v>2026-07-27</x:v>
      </x:c>
      <x:c r="D479" t="str">
        <x:v>2026-08-02</x:v>
      </x:c>
      <x:c r="E479" t="n">
        <x:v>75</x:v>
      </x:c>
      <x:c r="F479" t="n">
        <x:v>477383450</x:v>
      </x:c>
      <x:c r="G479" t="str">
        <x:v>一千一万朵</x:v>
      </x:c>
      <x:c r="H479" t="str">
        <x:v>马嘉祺</x:v>
      </x:c>
      <x:c r="I479" t="str">
        <x:v>003TNscL2TONPZ</x:v>
      </x:c>
      <x:c r="J479" t="str">
        <x:v>False</x:v>
      </x:c>
      <x:c r="K479" t="n">
        <x:v>6</x:v>
      </x:c>
      <x:c r="L479" t="n">
        <x:v>17</x:v>
      </x:c>
      <x:c r="M479" t="n">
        <x:v>6</x:v>
      </x:c>
      <x:c r="N479" t="n">
        <x:v>85.72223</x:v>
      </x:c>
      <x:c r="O479" t="n">
        <x:v>65.47</x:v>
      </x:c>
      <x:c r="P479" t="n">
        <x:v>0</x:v>
      </x:c>
      <x:c r="Q479" t="n">
        <x:v>0</x:v>
      </x:c>
      <x:c r="R479" t="n">
        <x:v>52.02</x:v>
      </x:c>
      <x:c r="S479" t="n">
        <x:v>46.15</x:v>
      </x:c>
      <x:c r="T479" t="str">
        <x:v>https://y.qq.com/music/photo_new/T062R500x500M000003CK5IN3d5z55.jpg</x:v>
      </x:c>
      <x:c r="U479" s="24" t="str">
        <x:f>IFERROR(VLOOKUP(I479,'07_字典与参数'!$G$5:$J$9,2,FALSE),"未入选")</x:f>
        <x:v>未入选</x:v>
      </x:c>
      <x:c r="V479" s="24" t="str">
        <x:f>IFERROR(VLOOKUP(I479,'07_字典与参数'!$G$5:$J$9,3,FALSE),"—")</x:f>
        <x:v>—</x:v>
      </x:c>
      <x:c r="W479" s="24" t="str">
        <x:f>IF(U479="未入选","否","是")</x:f>
        <x:v>否</x:v>
      </x:c>
    </x:row>
    <x:row r="480">
      <x:c r="A480" t="n">
        <x:v>202630</x:v>
      </x:c>
      <x:c r="B480" t="str">
        <x:v>第30期（07.27-08.02）</x:v>
      </x:c>
      <x:c r="C480" t="str">
        <x:v>2026-07-27</x:v>
      </x:c>
      <x:c r="D480" t="str">
        <x:v>2026-08-02</x:v>
      </x:c>
      <x:c r="E480" t="n">
        <x:v>76</x:v>
      </x:c>
      <x:c r="F480" t="n">
        <x:v>522436396</x:v>
      </x:c>
      <x:c r="G480" t="str">
        <x:v>Higher</x:v>
      </x:c>
      <x:c r="H480" t="str">
        <x:v>张艺兴</x:v>
      </x:c>
      <x:c r="I480" t="str">
        <x:v>00283SX10LVsSP</x:v>
      </x:c>
      <x:c r="J480" t="str">
        <x:v>False</x:v>
      </x:c>
      <x:c r="K480" t="n">
        <x:v>46</x:v>
      </x:c>
      <x:c r="L480" t="n">
        <x:v>5</x:v>
      </x:c>
      <x:c r="M480" t="n">
        <x:v>5</x:v>
      </x:c>
      <x:c r="N480" t="n">
        <x:v>85.66326</x:v>
      </x:c>
      <x:c r="O480" t="n">
        <x:v>57.72</x:v>
      </x:c>
      <x:c r="P480" t="n">
        <x:v>0</x:v>
      </x:c>
      <x:c r="Q480" t="n">
        <x:v>0</x:v>
      </x:c>
      <x:c r="R480" t="n">
        <x:v>59.23</x:v>
      </x:c>
      <x:c r="S480" t="n">
        <x:v>41.79</x:v>
      </x:c>
      <x:c r="T480" t="str">
        <x:v>https://y.gtimg.cn/music/photo_new/T002R500x500M000001w138z3PZEcz_1.jpg</x:v>
      </x:c>
      <x:c r="U480" s="24" t="str">
        <x:f>IFERROR(VLOOKUP(I480,'07_字典与参数'!$G$5:$J$9,2,FALSE),"未入选")</x:f>
        <x:v>未入选</x:v>
      </x:c>
      <x:c r="V480" s="24" t="str">
        <x:f>IFERROR(VLOOKUP(I480,'07_字典与参数'!$G$5:$J$9,3,FALSE),"—")</x:f>
        <x:v>—</x:v>
      </x:c>
      <x:c r="W480" s="24" t="str">
        <x:f>IF(U480="未入选","否","是")</x:f>
        <x:v>否</x:v>
      </x:c>
    </x:row>
    <x:row r="481">
      <x:c r="A481" t="n">
        <x:v>202630</x:v>
      </x:c>
      <x:c r="B481" t="str">
        <x:v>第30期（07.27-08.02）</x:v>
      </x:c>
      <x:c r="C481" t="str">
        <x:v>2026-07-27</x:v>
      </x:c>
      <x:c r="D481" t="str">
        <x:v>2026-08-02</x:v>
      </x:c>
      <x:c r="E481" t="n">
        <x:v>77</x:v>
      </x:c>
      <x:c r="F481" t="n">
        <x:v>531359848</x:v>
      </x:c>
      <x:c r="G481" t="str">
        <x:v>我只要我开心</x:v>
      </x:c>
      <x:c r="H481" t="str">
        <x:v>时代少年团</x:v>
      </x:c>
      <x:c r="I481" t="str">
        <x:v>0047kieu3p1Zrf</x:v>
      </x:c>
      <x:c r="J481" t="str">
        <x:v>False</x:v>
      </x:c>
      <x:c r="K481" t="n">
        <x:v>75</x:v>
      </x:c>
      <x:c r="L481" t="n">
        <x:v>3</x:v>
      </x:c>
      <x:c r="M481" t="n">
        <x:v>4</x:v>
      </x:c>
      <x:c r="N481" t="n">
        <x:v>85.65394</x:v>
      </x:c>
      <x:c r="O481" t="n">
        <x:v>71.16</x:v>
      </x:c>
      <x:c r="P481" t="n">
        <x:v>0</x:v>
      </x:c>
      <x:c r="Q481" t="n">
        <x:v>0</x:v>
      </x:c>
      <x:c r="R481" t="n">
        <x:v>41.23</x:v>
      </x:c>
      <x:c r="S481" t="n">
        <x:v>46.04</x:v>
      </x:c>
      <x:c r="T481" t="str">
        <x:v>https://y.gtimg.cn/music/photo_new/T002R500x500M000002zvO7r0gSXWZ_1.jpg</x:v>
      </x:c>
      <x:c r="U481" s="24" t="str">
        <x:f>IFERROR(VLOOKUP(I481,'07_字典与参数'!$G$5:$J$9,2,FALSE),"未入选")</x:f>
        <x:v>未入选</x:v>
      </x:c>
      <x:c r="V481" s="24" t="str">
        <x:f>IFERROR(VLOOKUP(I481,'07_字典与参数'!$G$5:$J$9,3,FALSE),"—")</x:f>
        <x:v>—</x:v>
      </x:c>
      <x:c r="W481" s="24" t="str">
        <x:f>IF(U481="未入选","否","是")</x:f>
        <x:v>否</x:v>
      </x:c>
    </x:row>
    <x:row r="482">
      <x:c r="A482" t="n">
        <x:v>202630</x:v>
      </x:c>
      <x:c r="B482" t="str">
        <x:v>第30期（07.27-08.02）</x:v>
      </x:c>
      <x:c r="C482" t="str">
        <x:v>2026-07-27</x:v>
      </x:c>
      <x:c r="D482" t="str">
        <x:v>2026-08-02</x:v>
      </x:c>
      <x:c r="E482" t="n">
        <x:v>78</x:v>
      </x:c>
      <x:c r="F482" t="n">
        <x:v>521720340</x:v>
      </x:c>
      <x:c r="G482" t="str">
        <x:v>如期</x:v>
      </x:c>
      <x:c r="H482" t="str">
        <x:v>王俊凯</x:v>
      </x:c>
      <x:c r="I482" t="str">
        <x:v>000n3xE32Sdk1C</x:v>
      </x:c>
      <x:c r="J482" t="str">
        <x:v>False</x:v>
      </x:c>
      <x:c r="K482" t="n">
        <x:v>73</x:v>
      </x:c>
      <x:c r="L482" t="n">
        <x:v>5</x:v>
      </x:c>
      <x:c r="M482" t="n">
        <x:v>25</x:v>
      </x:c>
      <x:c r="N482" t="n">
        <x:v>85.56876</x:v>
      </x:c>
      <x:c r="O482" t="n">
        <x:v>70.21</x:v>
      </x:c>
      <x:c r="P482" t="n">
        <x:v>0</x:v>
      </x:c>
      <x:c r="Q482" t="n">
        <x:v>0</x:v>
      </x:c>
      <x:c r="R482" t="n">
        <x:v>32.72</x:v>
      </x:c>
      <x:c r="S482" t="n">
        <x:v>51.57</x:v>
      </x:c>
      <x:c r="T482" t="str">
        <x:v>https://y.qq.com/music/photo_new/T062R500x500M000000axnOS3fnS48.jpg</x:v>
      </x:c>
      <x:c r="U482" s="24" t="str">
        <x:f>IFERROR(VLOOKUP(I482,'07_字典与参数'!$G$5:$J$9,2,FALSE),"未入选")</x:f>
        <x:v>未入选</x:v>
      </x:c>
      <x:c r="V482" s="24" t="str">
        <x:f>IFERROR(VLOOKUP(I482,'07_字典与参数'!$G$5:$J$9,3,FALSE),"—")</x:f>
        <x:v>—</x:v>
      </x:c>
      <x:c r="W482" s="24" t="str">
        <x:f>IF(U482="未入选","否","是")</x:f>
        <x:v>否</x:v>
      </x:c>
    </x:row>
    <x:row r="483">
      <x:c r="A483" t="n">
        <x:v>202630</x:v>
      </x:c>
      <x:c r="B483" t="str">
        <x:v>第30期（07.27-08.02）</x:v>
      </x:c>
      <x:c r="C483" t="str">
        <x:v>2026-07-27</x:v>
      </x:c>
      <x:c r="D483" t="str">
        <x:v>2026-08-02</x:v>
      </x:c>
      <x:c r="E483" t="n">
        <x:v>79</x:v>
      </x:c>
      <x:c r="F483" t="n">
        <x:v>522436402</x:v>
      </x:c>
      <x:c r="G483" t="str">
        <x:v>Again</x:v>
      </x:c>
      <x:c r="H483" t="str">
        <x:v>张艺兴</x:v>
      </x:c>
      <x:c r="I483" t="str">
        <x:v>001deuwV3jcVOr</x:v>
      </x:c>
      <x:c r="J483" t="str">
        <x:v>False</x:v>
      </x:c>
      <x:c r="K483" t="n">
        <x:v>53</x:v>
      </x:c>
      <x:c r="L483" t="n">
        <x:v>5</x:v>
      </x:c>
      <x:c r="M483" t="n">
        <x:v>6</x:v>
      </x:c>
      <x:c r="N483" t="n">
        <x:v>85.49389</x:v>
      </x:c>
      <x:c r="O483" t="n">
        <x:v>57.41</x:v>
      </x:c>
      <x:c r="P483" t="n">
        <x:v>0</x:v>
      </x:c>
      <x:c r="Q483" t="n">
        <x:v>0</x:v>
      </x:c>
      <x:c r="R483" t="n">
        <x:v>58.58</x:v>
      </x:c>
      <x:c r="S483" t="n">
        <x:v>41.76</x:v>
      </x:c>
      <x:c r="T483" t="str">
        <x:v>https://y.gtimg.cn/music/photo_new/T002R500x500M000001w138z3PZEcz_1.jpg</x:v>
      </x:c>
      <x:c r="U483" s="24" t="str">
        <x:f>IFERROR(VLOOKUP(I483,'07_字典与参数'!$G$5:$J$9,2,FALSE),"未入选")</x:f>
        <x:v>未入选</x:v>
      </x:c>
      <x:c r="V483" s="24" t="str">
        <x:f>IFERROR(VLOOKUP(I483,'07_字典与参数'!$G$5:$J$9,3,FALSE),"—")</x:f>
        <x:v>—</x:v>
      </x:c>
      <x:c r="W483" s="24" t="str">
        <x:f>IF(U483="未入选","否","是")</x:f>
        <x:v>否</x:v>
      </x:c>
    </x:row>
    <x:row r="484">
      <x:c r="A484" t="n">
        <x:v>202630</x:v>
      </x:c>
      <x:c r="B484" t="str">
        <x:v>第30期（07.27-08.02）</x:v>
      </x:c>
      <x:c r="C484" t="str">
        <x:v>2026-07-27</x:v>
      </x:c>
      <x:c r="D484" t="str">
        <x:v>2026-08-02</x:v>
      </x:c>
      <x:c r="E484" t="n">
        <x:v>80</x:v>
      </x:c>
      <x:c r="F484" t="n">
        <x:v>522436400</x:v>
      </x:c>
      <x:c r="G484" t="str">
        <x:v>Smoke &amp; Mirrors</x:v>
      </x:c>
      <x:c r="H484" t="str">
        <x:v>张艺兴</x:v>
      </x:c>
      <x:c r="I484" t="str">
        <x:v>000SGh5g1MgDzo</x:v>
      </x:c>
      <x:c r="J484" t="str">
        <x:v>False</x:v>
      </x:c>
      <x:c r="K484" t="n">
        <x:v>51</x:v>
      </x:c>
      <x:c r="L484" t="n">
        <x:v>5</x:v>
      </x:c>
      <x:c r="M484" t="n">
        <x:v>9</x:v>
      </x:c>
      <x:c r="N484" t="n">
        <x:v>85.44129</x:v>
      </x:c>
      <x:c r="O484" t="n">
        <x:v>57.42</x:v>
      </x:c>
      <x:c r="P484" t="n">
        <x:v>0</x:v>
      </x:c>
      <x:c r="Q484" t="n">
        <x:v>0</x:v>
      </x:c>
      <x:c r="R484" t="n">
        <x:v>58.4</x:v>
      </x:c>
      <x:c r="S484" t="n">
        <x:v>41.65</x:v>
      </x:c>
      <x:c r="T484" t="str">
        <x:v>https://y.gtimg.cn/music/photo_new/T002R500x500M000001w138z3PZEcz_1.jpg</x:v>
      </x:c>
      <x:c r="U484" s="24" t="str">
        <x:f>IFERROR(VLOOKUP(I484,'07_字典与参数'!$G$5:$J$9,2,FALSE),"未入选")</x:f>
        <x:v>未入选</x:v>
      </x:c>
      <x:c r="V484" s="24" t="str">
        <x:f>IFERROR(VLOOKUP(I484,'07_字典与参数'!$G$5:$J$9,3,FALSE),"—")</x:f>
        <x:v>—</x:v>
      </x:c>
      <x:c r="W484" s="24" t="str">
        <x:f>IF(U484="未入选","否","是")</x:f>
        <x:v>否</x:v>
      </x:c>
    </x:row>
    <x:row r="485">
      <x:c r="A485" t="n">
        <x:v>202630</x:v>
      </x:c>
      <x:c r="B485" t="str">
        <x:v>第30期（07.27-08.02）</x:v>
      </x:c>
      <x:c r="C485" t="str">
        <x:v>2026-07-27</x:v>
      </x:c>
      <x:c r="D485" t="str">
        <x:v>2026-08-02</x:v>
      </x:c>
      <x:c r="E485" t="n">
        <x:v>81</x:v>
      </x:c>
      <x:c r="F485" t="n">
        <x:v>532795800</x:v>
      </x:c>
      <x:c r="G485" t="str">
        <x:v>问</x:v>
      </x:c>
      <x:c r="H485" t="str">
        <x:v>TF_ING张子墨</x:v>
      </x:c>
      <x:c r="I485" t="str">
        <x:v>0002BKiw3M8Yqb</x:v>
      </x:c>
      <x:c r="J485" t="str">
        <x:v>False</x:v>
      </x:c>
      <x:c r="K485" t="n">
        <x:v>37</x:v>
      </x:c>
      <x:c r="L485" t="n">
        <x:v>3</x:v>
      </x:c>
      <x:c r="M485" t="n">
        <x:v>37</x:v>
      </x:c>
      <x:c r="N485" t="n">
        <x:v>85.43537</x:v>
      </x:c>
      <x:c r="O485" t="n">
        <x:v>50.61</x:v>
      </x:c>
      <x:c r="P485" t="n">
        <x:v>0</x:v>
      </x:c>
      <x:c r="Q485" t="n">
        <x:v>0</x:v>
      </x:c>
      <x:c r="R485" t="n">
        <x:v>5.51</x:v>
      </x:c>
      <x:c r="S485" t="n">
        <x:v>61.06</x:v>
      </x:c>
      <x:c r="T485" t="str">
        <x:v>https://y.gtimg.cn/music/photo_new/T002R500x500M000001dK7Q03f3u6K_1.jpg</x:v>
      </x:c>
      <x:c r="U485" s="24" t="str">
        <x:f>IFERROR(VLOOKUP(I485,'07_字典与参数'!$G$5:$J$9,2,FALSE),"未入选")</x:f>
        <x:v>未入选</x:v>
      </x:c>
      <x:c r="V485" s="24" t="str">
        <x:f>IFERROR(VLOOKUP(I485,'07_字典与参数'!$G$5:$J$9,3,FALSE),"—")</x:f>
        <x:v>—</x:v>
      </x:c>
      <x:c r="W485" s="24" t="str">
        <x:f>IF(U485="未入选","否","是")</x:f>
        <x:v>否</x:v>
      </x:c>
    </x:row>
    <x:row r="486">
      <x:c r="A486" t="n">
        <x:v>202630</x:v>
      </x:c>
      <x:c r="B486" t="str">
        <x:v>第30期（07.27-08.02）</x:v>
      </x:c>
      <x:c r="C486" t="str">
        <x:v>2026-07-27</x:v>
      </x:c>
      <x:c r="D486" t="str">
        <x:v>2026-08-02</x:v>
      </x:c>
      <x:c r="E486" t="n">
        <x:v>82</x:v>
      </x:c>
      <x:c r="F486" t="n">
        <x:v>535934579</x:v>
      </x:c>
      <x:c r="G486" t="str">
        <x:v>No Boundaries</x:v>
      </x:c>
      <x:c r="H486" t="str">
        <x:v>周深,北京环球度假区</x:v>
      </x:c>
      <x:c r="I486" t="str">
        <x:v>002U6qAT0IMMwf</x:v>
      </x:c>
      <x:c r="J486" t="str">
        <x:v>True</x:v>
      </x:c>
      <x:c r="K486" t="n">
        <x:v>0</x:v>
      </x:c>
      <x:c r="L486" t="n">
        <x:v>1</x:v>
      </x:c>
      <x:c r="M486" t="n">
        <x:v>82</x:v>
      </x:c>
      <x:c r="N486" t="n">
        <x:v>85.42495</x:v>
      </x:c>
      <x:c r="O486" t="n">
        <x:v>60.97</x:v>
      </x:c>
      <x:c r="P486" t="n">
        <x:v>0</x:v>
      </x:c>
      <x:c r="Q486" t="n">
        <x:v>0</x:v>
      </x:c>
      <x:c r="R486" t="n">
        <x:v>0.79</x:v>
      </x:c>
      <x:c r="S486" t="n">
        <x:v>59.81</x:v>
      </x:c>
      <x:c r="T486" t="str">
        <x:v>https://y.gtimg.cn/music/photo_new/T002R500x500M000004T2U7i3TrVFC_2.jpg</x:v>
      </x:c>
      <x:c r="U486" s="24" t="str">
        <x:f>IFERROR(VLOOKUP(I486,'07_字典与参数'!$G$5:$J$9,2,FALSE),"未入选")</x:f>
        <x:v>未入选</x:v>
      </x:c>
      <x:c r="V486" s="24" t="str">
        <x:f>IFERROR(VLOOKUP(I486,'07_字典与参数'!$G$5:$J$9,3,FALSE),"—")</x:f>
        <x:v>—</x:v>
      </x:c>
      <x:c r="W486" s="24" t="str">
        <x:f>IF(U486="未入选","否","是")</x:f>
        <x:v>否</x:v>
      </x:c>
    </x:row>
    <x:row r="487">
      <x:c r="A487" t="n">
        <x:v>202630</x:v>
      </x:c>
      <x:c r="B487" t="str">
        <x:v>第30期（07.27-08.02）</x:v>
      </x:c>
      <x:c r="C487" t="str">
        <x:v>2026-07-27</x:v>
      </x:c>
      <x:c r="D487" t="str">
        <x:v>2026-08-02</x:v>
      </x:c>
      <x:c r="E487" t="n">
        <x:v>83</x:v>
      </x:c>
      <x:c r="F487" t="n">
        <x:v>522436410</x:v>
      </x:c>
      <x:c r="G487" t="str">
        <x:v>Living</x:v>
      </x:c>
      <x:c r="H487" t="str">
        <x:v>张艺兴</x:v>
      </x:c>
      <x:c r="I487" t="str">
        <x:v>003hfE050iuS2B</x:v>
      </x:c>
      <x:c r="J487" t="str">
        <x:v>False</x:v>
      </x:c>
      <x:c r="K487" t="n">
        <x:v>52</x:v>
      </x:c>
      <x:c r="L487" t="n">
        <x:v>5</x:v>
      </x:c>
      <x:c r="M487" t="n">
        <x:v>7</x:v>
      </x:c>
      <x:c r="N487" t="n">
        <x:v>85.41137</x:v>
      </x:c>
      <x:c r="O487" t="n">
        <x:v>57.21</x:v>
      </x:c>
      <x:c r="P487" t="n">
        <x:v>0</x:v>
      </x:c>
      <x:c r="Q487" t="n">
        <x:v>0</x:v>
      </x:c>
      <x:c r="R487" t="n">
        <x:v>58.2</x:v>
      </x:c>
      <x:c r="S487" t="n">
        <x:v>41.85</x:v>
      </x:c>
      <x:c r="T487" t="str">
        <x:v>https://y.gtimg.cn/music/photo_new/T002R500x500M000001w138z3PZEcz_1.jpg</x:v>
      </x:c>
      <x:c r="U487" s="24" t="str">
        <x:f>IFERROR(VLOOKUP(I487,'07_字典与参数'!$G$5:$J$9,2,FALSE),"未入选")</x:f>
        <x:v>未入选</x:v>
      </x:c>
      <x:c r="V487" s="24" t="str">
        <x:f>IFERROR(VLOOKUP(I487,'07_字典与参数'!$G$5:$J$9,3,FALSE),"—")</x:f>
        <x:v>—</x:v>
      </x:c>
      <x:c r="W487" s="24" t="str">
        <x:f>IF(U487="未入选","否","是")</x:f>
        <x:v>否</x:v>
      </x:c>
    </x:row>
    <x:row r="488">
      <x:c r="A488" t="n">
        <x:v>202630</x:v>
      </x:c>
      <x:c r="B488" t="str">
        <x:v>第30期（07.27-08.02）</x:v>
      </x:c>
      <x:c r="C488" t="str">
        <x:v>2026-07-27</x:v>
      </x:c>
      <x:c r="D488" t="str">
        <x:v>2026-08-02</x:v>
      </x:c>
      <x:c r="E488" t="n">
        <x:v>84</x:v>
      </x:c>
      <x:c r="F488" t="n">
        <x:v>491256250</x:v>
      </x:c>
      <x:c r="G488" t="str">
        <x:v>凌绝顶</x:v>
      </x:c>
      <x:c r="H488" t="str">
        <x:v>梓渝</x:v>
      </x:c>
      <x:c r="I488" t="str">
        <x:v>001SZuO01zTv4Y</x:v>
      </x:c>
      <x:c r="J488" t="str">
        <x:v>False</x:v>
      </x:c>
      <x:c r="K488" t="n">
        <x:v>72</x:v>
      </x:c>
      <x:c r="L488" t="n">
        <x:v>11</x:v>
      </x:c>
      <x:c r="M488" t="n">
        <x:v>1</x:v>
      </x:c>
      <x:c r="N488" t="n">
        <x:v>85.35868</x:v>
      </x:c>
      <x:c r="O488" t="n">
        <x:v>61.8</x:v>
      </x:c>
      <x:c r="P488" t="n">
        <x:v>0</x:v>
      </x:c>
      <x:c r="Q488" t="n">
        <x:v>0</x:v>
      </x:c>
      <x:c r="R488" t="n">
        <x:v>28.11</x:v>
      </x:c>
      <x:c r="S488" t="n">
        <x:v>57.19</x:v>
      </x:c>
      <x:c r="T488" t="str">
        <x:v>https://y.gtimg.cn/music/photo_new/T002R500x500M000004bXPkr3OymlI_1.jpg</x:v>
      </x:c>
      <x:c r="U488" s="24" t="str">
        <x:f>IFERROR(VLOOKUP(I488,'07_字典与参数'!$G$5:$J$9,2,FALSE),"未入选")</x:f>
        <x:v>未入选</x:v>
      </x:c>
      <x:c r="V488" s="24" t="str">
        <x:f>IFERROR(VLOOKUP(I488,'07_字典与参数'!$G$5:$J$9,3,FALSE),"—")</x:f>
        <x:v>—</x:v>
      </x:c>
      <x:c r="W488" s="24" t="str">
        <x:f>IF(U488="未入选","否","是")</x:f>
        <x:v>否</x:v>
      </x:c>
    </x:row>
    <x:row r="489">
      <x:c r="A489" t="n">
        <x:v>202630</x:v>
      </x:c>
      <x:c r="B489" t="str">
        <x:v>第30期（07.27-08.02）</x:v>
      </x:c>
      <x:c r="C489" t="str">
        <x:v>2026-07-27</x:v>
      </x:c>
      <x:c r="D489" t="str">
        <x:v>2026-08-02</x:v>
      </x:c>
      <x:c r="E489" t="n">
        <x:v>85</x:v>
      </x:c>
      <x:c r="F489" t="n">
        <x:v>512003003</x:v>
      </x:c>
      <x:c r="G489" t="str">
        <x:v>逍遥仙</x:v>
      </x:c>
      <x:c r="H489" t="str">
        <x:v>筷子兄弟</x:v>
      </x:c>
      <x:c r="I489" t="str">
        <x:v>00485M1a40O8Hi</x:v>
      </x:c>
      <x:c r="J489" t="str">
        <x:v>False</x:v>
      </x:c>
      <x:c r="K489" t="n">
        <x:v>77</x:v>
      </x:c>
      <x:c r="L489" t="n">
        <x:v>7</x:v>
      </x:c>
      <x:c r="M489" t="n">
        <x:v>28</x:v>
      </x:c>
      <x:c r="N489" t="n">
        <x:v>85.34259</x:v>
      </x:c>
      <x:c r="O489" t="n">
        <x:v>74.27</x:v>
      </x:c>
      <x:c r="P489" t="n">
        <x:v>0</x:v>
      </x:c>
      <x:c r="Q489" t="n">
        <x:v>0</x:v>
      </x:c>
      <x:c r="R489" t="n">
        <x:v>25.33</x:v>
      </x:c>
      <x:c r="S489" t="n">
        <x:v>25.42</x:v>
      </x:c>
      <x:c r="T489" t="str">
        <x:v>https://y.gtimg.cn/music/photo_new/T002R500x500M000002z6UmJ3m71jH_2.jpg</x:v>
      </x:c>
      <x:c r="U489" s="24" t="str">
        <x:f>IFERROR(VLOOKUP(I489,'07_字典与参数'!$G$5:$J$9,2,FALSE),"未入选")</x:f>
        <x:v>未入选</x:v>
      </x:c>
      <x:c r="V489" s="24" t="str">
        <x:f>IFERROR(VLOOKUP(I489,'07_字典与参数'!$G$5:$J$9,3,FALSE),"—")</x:f>
        <x:v>—</x:v>
      </x:c>
      <x:c r="W489" s="24" t="str">
        <x:f>IF(U489="未入选","否","是")</x:f>
        <x:v>否</x:v>
      </x:c>
    </x:row>
    <x:row r="490">
      <x:c r="A490" t="n">
        <x:v>202630</x:v>
      </x:c>
      <x:c r="B490" t="str">
        <x:v>第30期（07.27-08.02）</x:v>
      </x:c>
      <x:c r="C490" t="str">
        <x:v>2026-07-27</x:v>
      </x:c>
      <x:c r="D490" t="str">
        <x:v>2026-08-02</x:v>
      </x:c>
      <x:c r="E490" t="n">
        <x:v>86</x:v>
      </x:c>
      <x:c r="F490" t="n">
        <x:v>515090709</x:v>
      </x:c>
      <x:c r="G490" t="str">
        <x:v>落日微醺（晚风中一杯酒）</x:v>
      </x:c>
      <x:c r="H490" t="str">
        <x:v>落日微醺</x:v>
      </x:c>
      <x:c r="I490" t="str">
        <x:v>0029j7eI4Poe44</x:v>
      </x:c>
      <x:c r="J490" t="str">
        <x:v>False</x:v>
      </x:c>
      <x:c r="K490" t="n">
        <x:v>94</x:v>
      </x:c>
      <x:c r="L490" t="n">
        <x:v>4</x:v>
      </x:c>
      <x:c r="M490" t="n">
        <x:v>72</x:v>
      </x:c>
      <x:c r="N490" t="n">
        <x:v>85.3289</x:v>
      </x:c>
      <x:c r="O490" t="n">
        <x:v>73.07</x:v>
      </x:c>
      <x:c r="P490" t="n">
        <x:v>0</x:v>
      </x:c>
      <x:c r="Q490" t="n">
        <x:v>0</x:v>
      </x:c>
      <x:c r="R490" t="n">
        <x:v>33.69</x:v>
      </x:c>
      <x:c r="S490" t="n">
        <x:v>39.6</x:v>
      </x:c>
      <x:c r="T490" t="str">
        <x:v>https://y.gtimg.cn/music/photo_new/T002R500x500M000001TMIlo2CCoNX_1.jpg</x:v>
      </x:c>
      <x:c r="U490" s="24" t="str">
        <x:f>IFERROR(VLOOKUP(I490,'07_字典与参数'!$G$5:$J$9,2,FALSE),"未入选")</x:f>
        <x:v>未入选</x:v>
      </x:c>
      <x:c r="V490" s="24" t="str">
        <x:f>IFERROR(VLOOKUP(I490,'07_字典与参数'!$G$5:$J$9,3,FALSE),"—")</x:f>
        <x:v>—</x:v>
      </x:c>
      <x:c r="W490" s="24" t="str">
        <x:f>IF(U490="未入选","否","是")</x:f>
        <x:v>否</x:v>
      </x:c>
    </x:row>
    <x:row r="491">
      <x:c r="A491" t="n">
        <x:v>202630</x:v>
      </x:c>
      <x:c r="B491" t="str">
        <x:v>第30期（07.27-08.02）</x:v>
      </x:c>
      <x:c r="C491" t="str">
        <x:v>2026-07-27</x:v>
      </x:c>
      <x:c r="D491" t="str">
        <x:v>2026-08-02</x:v>
      </x:c>
      <x:c r="E491" t="n">
        <x:v>87</x:v>
      </x:c>
      <x:c r="F491" t="n">
        <x:v>478120646</x:v>
      </x:c>
      <x:c r="G491" t="str">
        <x:v>情深深雨濛濛</x:v>
      </x:c>
      <x:c r="H491" t="str">
        <x:v>梓渝</x:v>
      </x:c>
      <x:c r="I491" t="str">
        <x:v>001IodTs2xXctR</x:v>
      </x:c>
      <x:c r="J491" t="str">
        <x:v>False</x:v>
      </x:c>
      <x:c r="K491" t="n">
        <x:v>71</x:v>
      </x:c>
      <x:c r="L491" t="n">
        <x:v>18</x:v>
      </x:c>
      <x:c r="M491" t="n">
        <x:v>1</x:v>
      </x:c>
      <x:c r="N491" t="n">
        <x:v>85.29329</x:v>
      </x:c>
      <x:c r="O491" t="n">
        <x:v>61.79</x:v>
      </x:c>
      <x:c r="P491" t="n">
        <x:v>0</x:v>
      </x:c>
      <x:c r="Q491" t="n">
        <x:v>0</x:v>
      </x:c>
      <x:c r="R491" t="n">
        <x:v>13.72</x:v>
      </x:c>
      <x:c r="S491" t="n">
        <x:v>58.12</x:v>
      </x:c>
      <x:c r="T491" t="str">
        <x:v>https://y.gtimg.cn/music/photo_new/T002R500x500M000004d4d3s0RGI34_1.jpg</x:v>
      </x:c>
      <x:c r="U491" s="24" t="str">
        <x:f>IFERROR(VLOOKUP(I491,'07_字典与参数'!$G$5:$J$9,2,FALSE),"未入选")</x:f>
        <x:v>未入选</x:v>
      </x:c>
      <x:c r="V491" s="24" t="str">
        <x:f>IFERROR(VLOOKUP(I491,'07_字典与参数'!$G$5:$J$9,3,FALSE),"—")</x:f>
        <x:v>—</x:v>
      </x:c>
      <x:c r="W491" s="24" t="str">
        <x:f>IF(U491="未入选","否","是")</x:f>
        <x:v>否</x:v>
      </x:c>
    </x:row>
    <x:row r="492">
      <x:c r="A492" t="n">
        <x:v>202630</x:v>
      </x:c>
      <x:c r="B492" t="str">
        <x:v>第30期（07.27-08.02）</x:v>
      </x:c>
      <x:c r="C492" t="str">
        <x:v>2026-07-27</x:v>
      </x:c>
      <x:c r="D492" t="str">
        <x:v>2026-08-02</x:v>
      </x:c>
      <x:c r="E492" t="n">
        <x:v>88</x:v>
      </x:c>
      <x:c r="F492" t="n">
        <x:v>536864840</x:v>
      </x:c>
      <x:c r="G492" t="str">
        <x:v>灵魂相愿</x:v>
      </x:c>
      <x:c r="H492" t="str">
        <x:v>张敬轩</x:v>
      </x:c>
      <x:c r="I492" t="str">
        <x:v>004aV04M0IgIn8</x:v>
      </x:c>
      <x:c r="J492" t="str">
        <x:v>True</x:v>
      </x:c>
      <x:c r="K492" t="n">
        <x:v>0</x:v>
      </x:c>
      <x:c r="L492" t="n">
        <x:v>1</x:v>
      </x:c>
      <x:c r="M492" t="n">
        <x:v>88</x:v>
      </x:c>
      <x:c r="N492" t="n">
        <x:v>85.27657</x:v>
      </x:c>
      <x:c r="O492" t="n">
        <x:v>61.74</x:v>
      </x:c>
      <x:c r="P492" t="n">
        <x:v>0</x:v>
      </x:c>
      <x:c r="Q492" t="n">
        <x:v>0</x:v>
      </x:c>
      <x:c r="R492" t="n">
        <x:v>24.83</x:v>
      </x:c>
      <x:c r="S492" t="n">
        <x:v>57.26</x:v>
      </x:c>
      <x:c r="T492" t="str">
        <x:v>https://y.gtimg.cn/music/photo_new/T002R500x500M0000000DEVM1yYbfG_3.jpg</x:v>
      </x:c>
      <x:c r="U492" s="24" t="str">
        <x:f>IFERROR(VLOOKUP(I492,'07_字典与参数'!$G$5:$J$9,2,FALSE),"未入选")</x:f>
        <x:v>未入选</x:v>
      </x:c>
      <x:c r="V492" s="24" t="str">
        <x:f>IFERROR(VLOOKUP(I492,'07_字典与参数'!$G$5:$J$9,3,FALSE),"—")</x:f>
        <x:v>—</x:v>
      </x:c>
      <x:c r="W492" s="24" t="str">
        <x:f>IF(U492="未入选","否","是")</x:f>
        <x:v>否</x:v>
      </x:c>
    </x:row>
    <x:row r="493">
      <x:c r="A493" t="n">
        <x:v>202630</x:v>
      </x:c>
      <x:c r="B493" t="str">
        <x:v>第30期（07.27-08.02）</x:v>
      </x:c>
      <x:c r="C493" t="str">
        <x:v>2026-07-27</x:v>
      </x:c>
      <x:c r="D493" t="str">
        <x:v>2026-08-02</x:v>
      </x:c>
      <x:c r="E493" t="n">
        <x:v>89</x:v>
      </x:c>
      <x:c r="F493" t="n">
        <x:v>530399435</x:v>
      </x:c>
      <x:c r="G493" t="str">
        <x:v>破晓</x:v>
      </x:c>
      <x:c r="H493" t="str">
        <x:v>王俊凯</x:v>
      </x:c>
      <x:c r="I493" t="str">
        <x:v>001IXEnW4OmqLF</x:v>
      </x:c>
      <x:c r="J493" t="str">
        <x:v>False</x:v>
      </x:c>
      <x:c r="K493" t="n">
        <x:v>80</x:v>
      </x:c>
      <x:c r="L493" t="n">
        <x:v>4</x:v>
      </x:c>
      <x:c r="M493" t="n">
        <x:v>1</x:v>
      </x:c>
      <x:c r="N493" t="n">
        <x:v>85.27172</x:v>
      </x:c>
      <x:c r="O493" t="n">
        <x:v>69.04</x:v>
      </x:c>
      <x:c r="P493" t="n">
        <x:v>0</x:v>
      </x:c>
      <x:c r="Q493" t="n">
        <x:v>0</x:v>
      </x:c>
      <x:c r="R493" t="n">
        <x:v>33.77</x:v>
      </x:c>
      <x:c r="S493" t="n">
        <x:v>51.25</x:v>
      </x:c>
      <x:c r="T493" t="str">
        <x:v>https://y.qq.com/music/photo_new/T062R500x500M000004EhfP90kZ9le.jpg</x:v>
      </x:c>
      <x:c r="U493" s="24" t="str">
        <x:f>IFERROR(VLOOKUP(I493,'07_字典与参数'!$G$5:$J$9,2,FALSE),"未入选")</x:f>
        <x:v>未入选</x:v>
      </x:c>
      <x:c r="V493" s="24" t="str">
        <x:f>IFERROR(VLOOKUP(I493,'07_字典与参数'!$G$5:$J$9,3,FALSE),"—")</x:f>
        <x:v>—</x:v>
      </x:c>
      <x:c r="W493" s="24" t="str">
        <x:f>IF(U493="未入选","否","是")</x:f>
        <x:v>否</x:v>
      </x:c>
    </x:row>
    <x:row r="494">
      <x:c r="A494" t="n">
        <x:v>202630</x:v>
      </x:c>
      <x:c r="B494" t="str">
        <x:v>第30期（07.27-08.02）</x:v>
      </x:c>
      <x:c r="C494" t="str">
        <x:v>2026-07-27</x:v>
      </x:c>
      <x:c r="D494" t="str">
        <x:v>2026-08-02</x:v>
      </x:c>
      <x:c r="E494" t="n">
        <x:v>90</x:v>
      </x:c>
      <x:c r="F494" t="n">
        <x:v>481957782</x:v>
      </x:c>
      <x:c r="G494" t="str">
        <x:v>烟花街</x:v>
      </x:c>
      <x:c r="H494" t="str">
        <x:v>崔十八,听潮阁</x:v>
      </x:c>
      <x:c r="I494" t="str">
        <x:v>002EsPoW4eUnsu</x:v>
      </x:c>
      <x:c r="J494" t="str">
        <x:v>False</x:v>
      </x:c>
      <x:c r="K494" t="n">
        <x:v>90</x:v>
      </x:c>
      <x:c r="L494" t="n">
        <x:v>6</x:v>
      </x:c>
      <x:c r="M494" t="n">
        <x:v>52</x:v>
      </x:c>
      <x:c r="N494" t="n">
        <x:v>85.25977</x:v>
      </x:c>
      <x:c r="O494" t="n">
        <x:v>47.01</x:v>
      </x:c>
      <x:c r="P494" t="n">
        <x:v>0</x:v>
      </x:c>
      <x:c r="Q494" t="n">
        <x:v>0</x:v>
      </x:c>
      <x:c r="R494" t="n">
        <x:v>22.61</x:v>
      </x:c>
      <x:c r="S494" t="n">
        <x:v>60.48</x:v>
      </x:c>
      <x:c r="T494" t="str">
        <x:v>https://y.gtimg.cn/music/photo_new/T002R500x500M000003VWOiA0YwIBI_1.jpg</x:v>
      </x:c>
      <x:c r="U494" s="24" t="str">
        <x:f>IFERROR(VLOOKUP(I494,'07_字典与参数'!$G$5:$J$9,2,FALSE),"未入选")</x:f>
        <x:v>未入选</x:v>
      </x:c>
      <x:c r="V494" s="24" t="str">
        <x:f>IFERROR(VLOOKUP(I494,'07_字典与参数'!$G$5:$J$9,3,FALSE),"—")</x:f>
        <x:v>—</x:v>
      </x:c>
      <x:c r="W494" s="24" t="str">
        <x:f>IF(U494="未入选","否","是")</x:f>
        <x:v>否</x:v>
      </x:c>
    </x:row>
    <x:row r="495">
      <x:c r="A495" t="n">
        <x:v>202630</x:v>
      </x:c>
      <x:c r="B495" t="str">
        <x:v>第30期（07.27-08.02）</x:v>
      </x:c>
      <x:c r="C495" t="str">
        <x:v>2026-07-27</x:v>
      </x:c>
      <x:c r="D495" t="str">
        <x:v>2026-08-02</x:v>
      </x:c>
      <x:c r="E495" t="n">
        <x:v>91</x:v>
      </x:c>
      <x:c r="F495" t="n">
        <x:v>522467107</x:v>
      </x:c>
      <x:c r="G495" t="str">
        <x:v>绛色的爱</x:v>
      </x:c>
      <x:c r="H495" t="str">
        <x:v>张艺兴</x:v>
      </x:c>
      <x:c r="I495" t="str">
        <x:v>000wLKc61CDB47</x:v>
      </x:c>
      <x:c r="J495" t="str">
        <x:v>False</x:v>
      </x:c>
      <x:c r="K495" t="n">
        <x:v>45</x:v>
      </x:c>
      <x:c r="L495" t="n">
        <x:v>2</x:v>
      </x:c>
      <x:c r="M495" t="n">
        <x:v>45</x:v>
      </x:c>
      <x:c r="N495" t="n">
        <x:v>85.24782</x:v>
      </x:c>
      <x:c r="O495" t="n">
        <x:v>64.42</x:v>
      </x:c>
      <x:c r="P495" t="n">
        <x:v>0</x:v>
      </x:c>
      <x:c r="Q495" t="n">
        <x:v>0</x:v>
      </x:c>
      <x:c r="R495" t="n">
        <x:v>52.73</x:v>
      </x:c>
      <x:c r="S495" t="n">
        <x:v>42.75</x:v>
      </x:c>
      <x:c r="T495" t="str">
        <x:v>https://y.gtimg.cn/music/photo_new/T002R500x500M000001w138z3PZEcz_1.jpg</x:v>
      </x:c>
      <x:c r="U495" s="24" t="str">
        <x:f>IFERROR(VLOOKUP(I495,'07_字典与参数'!$G$5:$J$9,2,FALSE),"未入选")</x:f>
        <x:v>未入选</x:v>
      </x:c>
      <x:c r="V495" s="24" t="str">
        <x:f>IFERROR(VLOOKUP(I495,'07_字典与参数'!$G$5:$J$9,3,FALSE),"—")</x:f>
        <x:v>—</x:v>
      </x:c>
      <x:c r="W495" s="24" t="str">
        <x:f>IF(U495="未入选","否","是")</x:f>
        <x:v>否</x:v>
      </x:c>
    </x:row>
    <x:row r="496">
      <x:c r="A496" t="n">
        <x:v>202630</x:v>
      </x:c>
      <x:c r="B496" t="str">
        <x:v>第30期（07.27-08.02）</x:v>
      </x:c>
      <x:c r="C496" t="str">
        <x:v>2026-07-27</x:v>
      </x:c>
      <x:c r="D496" t="str">
        <x:v>2026-08-02</x:v>
      </x:c>
      <x:c r="E496" t="n">
        <x:v>92</x:v>
      </x:c>
      <x:c r="F496" t="n">
        <x:v>522436418</x:v>
      </x:c>
      <x:c r="G496" t="str">
        <x:v>错错错</x:v>
      </x:c>
      <x:c r="H496" t="str">
        <x:v>张艺兴</x:v>
      </x:c>
      <x:c r="I496" t="str">
        <x:v>004V2b6s39ainE</x:v>
      </x:c>
      <x:c r="J496" t="str">
        <x:v>False</x:v>
      </x:c>
      <x:c r="K496" t="n">
        <x:v>55</x:v>
      </x:c>
      <x:c r="L496" t="n">
        <x:v>5</x:v>
      </x:c>
      <x:c r="M496" t="n">
        <x:v>11</x:v>
      </x:c>
      <x:c r="N496" t="n">
        <x:v>85.24386</x:v>
      </x:c>
      <x:c r="O496" t="n">
        <x:v>57.1</x:v>
      </x:c>
      <x:c r="P496" t="n">
        <x:v>0</x:v>
      </x:c>
      <x:c r="Q496" t="n">
        <x:v>0</x:v>
      </x:c>
      <x:c r="R496" t="n">
        <x:v>57.62</x:v>
      </x:c>
      <x:c r="S496" t="n">
        <x:v>41.62</x:v>
      </x:c>
      <x:c r="T496" t="str">
        <x:v>https://y.gtimg.cn/music/photo_new/T002R500x500M000001w138z3PZEcz_1.jpg</x:v>
      </x:c>
      <x:c r="U496" s="24" t="str">
        <x:f>IFERROR(VLOOKUP(I496,'07_字典与参数'!$G$5:$J$9,2,FALSE),"未入选")</x:f>
        <x:v>未入选</x:v>
      </x:c>
      <x:c r="V496" s="24" t="str">
        <x:f>IFERROR(VLOOKUP(I496,'07_字典与参数'!$G$5:$J$9,3,FALSE),"—")</x:f>
        <x:v>—</x:v>
      </x:c>
      <x:c r="W496" s="24" t="str">
        <x:f>IF(U496="未入选","否","是")</x:f>
        <x:v>否</x:v>
      </x:c>
    </x:row>
    <x:row r="497">
      <x:c r="A497" t="n">
        <x:v>202630</x:v>
      </x:c>
      <x:c r="B497" t="str">
        <x:v>第30期（07.27-08.02）</x:v>
      </x:c>
      <x:c r="C497" t="str">
        <x:v>2026-07-27</x:v>
      </x:c>
      <x:c r="D497" t="str">
        <x:v>2026-08-02</x:v>
      </x:c>
      <x:c r="E497" t="n">
        <x:v>93</x:v>
      </x:c>
      <x:c r="F497" t="n">
        <x:v>522436399</x:v>
      </x:c>
      <x:c r="G497" t="str">
        <x:v>意中人</x:v>
      </x:c>
      <x:c r="H497" t="str">
        <x:v>张艺兴</x:v>
      </x:c>
      <x:c r="I497" t="str">
        <x:v>0032Yh0918cF8c</x:v>
      </x:c>
      <x:c r="J497" t="str">
        <x:v>False</x:v>
      </x:c>
      <x:c r="K497" t="n">
        <x:v>58</x:v>
      </x:c>
      <x:c r="L497" t="n">
        <x:v>5</x:v>
      </x:c>
      <x:c r="M497" t="n">
        <x:v>10</x:v>
      </x:c>
      <x:c r="N497" t="n">
        <x:v>85.19584</x:v>
      </x:c>
      <x:c r="O497" t="n">
        <x:v>56.87</x:v>
      </x:c>
      <x:c r="P497" t="n">
        <x:v>0</x:v>
      </x:c>
      <x:c r="Q497" t="n">
        <x:v>0</x:v>
      </x:c>
      <x:c r="R497" t="n">
        <x:v>57.46</x:v>
      </x:c>
      <x:c r="S497" t="n">
        <x:v>41.64</x:v>
      </x:c>
      <x:c r="T497" t="str">
        <x:v>https://y.gtimg.cn/music/photo_new/T002R500x500M000001w138z3PZEcz_1.jpg</x:v>
      </x:c>
      <x:c r="U497" s="24" t="str">
        <x:f>IFERROR(VLOOKUP(I497,'07_字典与参数'!$G$5:$J$9,2,FALSE),"未入选")</x:f>
        <x:v>未入选</x:v>
      </x:c>
      <x:c r="V497" s="24" t="str">
        <x:f>IFERROR(VLOOKUP(I497,'07_字典与参数'!$G$5:$J$9,3,FALSE),"—")</x:f>
        <x:v>—</x:v>
      </x:c>
      <x:c r="W497" s="24" t="str">
        <x:f>IF(U497="未入选","否","是")</x:f>
        <x:v>否</x:v>
      </x:c>
    </x:row>
    <x:row r="498">
      <x:c r="A498" t="n">
        <x:v>202630</x:v>
      </x:c>
      <x:c r="B498" t="str">
        <x:v>第30期（07.27-08.02）</x:v>
      </x:c>
      <x:c r="C498" t="str">
        <x:v>2026-07-27</x:v>
      </x:c>
      <x:c r="D498" t="str">
        <x:v>2026-08-02</x:v>
      </x:c>
      <x:c r="E498" t="n">
        <x:v>94</x:v>
      </x:c>
      <x:c r="F498" t="n">
        <x:v>472514843</x:v>
      </x:c>
      <x:c r="G498" t="str">
        <x:v>问你一个人类梦寐以求的深奥问题</x:v>
      </x:c>
      <x:c r="H498" t="str">
        <x:v>汪苏泷</x:v>
      </x:c>
      <x:c r="I498" t="str">
        <x:v>003O2jAx2Z8mad</x:v>
      </x:c>
      <x:c r="J498" t="str">
        <x:v>False</x:v>
      </x:c>
      <x:c r="K498" t="n">
        <x:v>96</x:v>
      </x:c>
      <x:c r="L498" t="n">
        <x:v>21</x:v>
      </x:c>
      <x:c r="M498" t="n">
        <x:v>5</x:v>
      </x:c>
      <x:c r="N498" t="n">
        <x:v>85.19339</x:v>
      </x:c>
      <x:c r="O498" t="n">
        <x:v>69.43</x:v>
      </x:c>
      <x:c r="P498" t="n">
        <x:v>0</x:v>
      </x:c>
      <x:c r="Q498" t="n">
        <x:v>0</x:v>
      </x:c>
      <x:c r="R498" t="n">
        <x:v>24.03</x:v>
      </x:c>
      <x:c r="S498" t="n">
        <x:v>52.11</x:v>
      </x:c>
      <x:c r="T498" t="str">
        <x:v>https://y.qq.com/music/photo_new/T062R500x500M000001MhXjs26yhdQ.jpg</x:v>
      </x:c>
      <x:c r="U498" s="24" t="str">
        <x:f>IFERROR(VLOOKUP(I498,'07_字典与参数'!$G$5:$J$9,2,FALSE),"未入选")</x:f>
        <x:v>未入选</x:v>
      </x:c>
      <x:c r="V498" s="24" t="str">
        <x:f>IFERROR(VLOOKUP(I498,'07_字典与参数'!$G$5:$J$9,3,FALSE),"—")</x:f>
        <x:v>—</x:v>
      </x:c>
      <x:c r="W498" s="24" t="str">
        <x:f>IF(U498="未入选","否","是")</x:f>
        <x:v>否</x:v>
      </x:c>
    </x:row>
    <x:row r="499">
      <x:c r="A499" t="n">
        <x:v>202630</x:v>
      </x:c>
      <x:c r="B499" t="str">
        <x:v>第30期（07.27-08.02）</x:v>
      </x:c>
      <x:c r="C499" t="str">
        <x:v>2026-07-27</x:v>
      </x:c>
      <x:c r="D499" t="str">
        <x:v>2026-08-02</x:v>
      </x:c>
      <x:c r="E499" t="n">
        <x:v>95</x:v>
      </x:c>
      <x:c r="F499" t="n">
        <x:v>533360546</x:v>
      </x:c>
      <x:c r="G499" t="str">
        <x:v>求你别离开我（因为我欠你太多）</x:v>
      </x:c>
      <x:c r="H499" t="str">
        <x:v>苏子欲</x:v>
      </x:c>
      <x:c r="I499" t="str">
        <x:v>0008MVG12sUW3M</x:v>
      </x:c>
      <x:c r="J499" t="str">
        <x:v>True</x:v>
      </x:c>
      <x:c r="K499" t="n">
        <x:v>0</x:v>
      </x:c>
      <x:c r="L499" t="n">
        <x:v>1</x:v>
      </x:c>
      <x:c r="M499" t="n">
        <x:v>95</x:v>
      </x:c>
      <x:c r="N499" t="n">
        <x:v>85.17056</x:v>
      </x:c>
      <x:c r="O499" t="n">
        <x:v>74.89</x:v>
      </x:c>
      <x:c r="P499" t="n">
        <x:v>0</x:v>
      </x:c>
      <x:c r="Q499" t="n">
        <x:v>0</x:v>
      </x:c>
      <x:c r="R499" t="n">
        <x:v>3.36</x:v>
      </x:c>
      <x:c r="S499" t="n">
        <x:v>11.08</x:v>
      </x:c>
      <x:c r="T499" t="str">
        <x:v>https://y.gtimg.cn/music/photo_new/T002R500x500M000002oLVKM0kkQif_1.jpg</x:v>
      </x:c>
      <x:c r="U499" s="24" t="str">
        <x:f>IFERROR(VLOOKUP(I499,'07_字典与参数'!$G$5:$J$9,2,FALSE),"未入选")</x:f>
        <x:v>未入选</x:v>
      </x:c>
      <x:c r="V499" s="24" t="str">
        <x:f>IFERROR(VLOOKUP(I499,'07_字典与参数'!$G$5:$J$9,3,FALSE),"—")</x:f>
        <x:v>—</x:v>
      </x:c>
      <x:c r="W499" s="24" t="str">
        <x:f>IF(U499="未入选","否","是")</x:f>
        <x:v>否</x:v>
      </x:c>
    </x:row>
    <x:row r="500">
      <x:c r="A500" t="n">
        <x:v>202630</x:v>
      </x:c>
      <x:c r="B500" t="str">
        <x:v>第30期（07.27-08.02）</x:v>
      </x:c>
      <x:c r="C500" t="str">
        <x:v>2026-07-27</x:v>
      </x:c>
      <x:c r="D500" t="str">
        <x:v>2026-08-02</x:v>
      </x:c>
      <x:c r="E500" t="n">
        <x:v>96</x:v>
      </x:c>
      <x:c r="F500" t="n">
        <x:v>536013015</x:v>
      </x:c>
      <x:c r="G500" t="str">
        <x:v>你我他</x:v>
      </x:c>
      <x:c r="H500" t="str">
        <x:v>en (王翊恩)</x:v>
      </x:c>
      <x:c r="I500" t="str">
        <x:v>001LhXEA3xLRsJ</x:v>
      </x:c>
      <x:c r="J500" t="str">
        <x:v>True</x:v>
      </x:c>
      <x:c r="K500" t="n">
        <x:v>0</x:v>
      </x:c>
      <x:c r="L500" t="n">
        <x:v>1</x:v>
      </x:c>
      <x:c r="M500" t="n">
        <x:v>96</x:v>
      </x:c>
      <x:c r="N500" t="n">
        <x:v>85.16884</x:v>
      </x:c>
      <x:c r="O500" t="n">
        <x:v>63.54</x:v>
      </x:c>
      <x:c r="P500" t="n">
        <x:v>0</x:v>
      </x:c>
      <x:c r="Q500" t="n">
        <x:v>0</x:v>
      </x:c>
      <x:c r="R500" t="n">
        <x:v>32.54</x:v>
      </x:c>
      <x:c r="S500" t="n">
        <x:v>54.64</x:v>
      </x:c>
      <x:c r="T500" t="str">
        <x:v>https://y.gtimg.cn/music/photo_new/T002R500x500M000001cbKAD3pm4vz_1.jpg</x:v>
      </x:c>
      <x:c r="U500" s="24" t="str">
        <x:f>IFERROR(VLOOKUP(I500,'07_字典与参数'!$G$5:$J$9,2,FALSE),"未入选")</x:f>
        <x:v>未入选</x:v>
      </x:c>
      <x:c r="V500" s="24" t="str">
        <x:f>IFERROR(VLOOKUP(I500,'07_字典与参数'!$G$5:$J$9,3,FALSE),"—")</x:f>
        <x:v>—</x:v>
      </x:c>
      <x:c r="W500" s="24" t="str">
        <x:f>IF(U500="未入选","否","是")</x:f>
        <x:v>否</x:v>
      </x:c>
    </x:row>
    <x:row r="501">
      <x:c r="A501" t="n">
        <x:v>202630</x:v>
      </x:c>
      <x:c r="B501" t="str">
        <x:v>第30期（07.27-08.02）</x:v>
      </x:c>
      <x:c r="C501" t="str">
        <x:v>2026-07-27</x:v>
      </x:c>
      <x:c r="D501" t="str">
        <x:v>2026-08-02</x:v>
      </x:c>
      <x:c r="E501" t="n">
        <x:v>97</x:v>
      </x:c>
      <x:c r="F501" t="n">
        <x:v>522436428</x:v>
      </x:c>
      <x:c r="G501" t="str">
        <x:v>文艺工作者</x:v>
      </x:c>
      <x:c r="H501" t="str">
        <x:v>张艺兴</x:v>
      </x:c>
      <x:c r="I501" t="str">
        <x:v>001tQZO33ntbnd</x:v>
      </x:c>
      <x:c r="J501" t="str">
        <x:v>False</x:v>
      </x:c>
      <x:c r="K501" t="n">
        <x:v>59</x:v>
      </x:c>
      <x:c r="L501" t="n">
        <x:v>5</x:v>
      </x:c>
      <x:c r="M501" t="n">
        <x:v>12</x:v>
      </x:c>
      <x:c r="N501" t="n">
        <x:v>85.08668</x:v>
      </x:c>
      <x:c r="O501" t="n">
        <x:v>56.61</x:v>
      </x:c>
      <x:c r="P501" t="n">
        <x:v>0</x:v>
      </x:c>
      <x:c r="Q501" t="n">
        <x:v>0</x:v>
      </x:c>
      <x:c r="R501" t="n">
        <x:v>56.94</x:v>
      </x:c>
      <x:c r="S501" t="n">
        <x:v>41.8</x:v>
      </x:c>
      <x:c r="T501" t="str">
        <x:v>https://y.gtimg.cn/music/photo_new/T002R500x500M000001w138z3PZEcz_1.jpg</x:v>
      </x:c>
      <x:c r="U501" s="24" t="str">
        <x:f>IFERROR(VLOOKUP(I501,'07_字典与参数'!$G$5:$J$9,2,FALSE),"未入选")</x:f>
        <x:v>未入选</x:v>
      </x:c>
      <x:c r="V501" s="24" t="str">
        <x:f>IFERROR(VLOOKUP(I501,'07_字典与参数'!$G$5:$J$9,3,FALSE),"—")</x:f>
        <x:v>—</x:v>
      </x:c>
      <x:c r="W501" s="24" t="str">
        <x:f>IF(U501="未入选","否","是")</x:f>
        <x:v>否</x:v>
      </x:c>
    </x:row>
    <x:row r="502">
      <x:c r="A502" t="n">
        <x:v>202630</x:v>
      </x:c>
      <x:c r="B502" t="str">
        <x:v>第30期（07.27-08.02）</x:v>
      </x:c>
      <x:c r="C502" t="str">
        <x:v>2026-07-27</x:v>
      </x:c>
      <x:c r="D502" t="str">
        <x:v>2026-08-02</x:v>
      </x:c>
      <x:c r="E502" t="n">
        <x:v>98</x:v>
      </x:c>
      <x:c r="F502" t="n">
        <x:v>521720344</x:v>
      </x:c>
      <x:c r="G502" t="str">
        <x:v>无声潮汐</x:v>
      </x:c>
      <x:c r="H502" t="str">
        <x:v>王俊凯</x:v>
      </x:c>
      <x:c r="I502" t="str">
        <x:v>002OhQnJ2tqnT6</x:v>
      </x:c>
      <x:c r="J502" t="str">
        <x:v>False</x:v>
      </x:c>
      <x:c r="K502" t="n">
        <x:v>98</x:v>
      </x:c>
      <x:c r="L502" t="n">
        <x:v>5</x:v>
      </x:c>
      <x:c r="M502" t="n">
        <x:v>26</x:v>
      </x:c>
      <x:c r="N502" t="n">
        <x:v>85.03573</x:v>
      </x:c>
      <x:c r="O502" t="n">
        <x:v>69.01</x:v>
      </x:c>
      <x:c r="P502" t="n">
        <x:v>0</x:v>
      </x:c>
      <x:c r="Q502" t="n">
        <x:v>0</x:v>
      </x:c>
      <x:c r="R502" t="n">
        <x:v>31.15</x:v>
      </x:c>
      <x:c r="S502" t="n">
        <x:v>50.93</x:v>
      </x:c>
      <x:c r="T502" t="str">
        <x:v>https://y.qq.com/music/photo_new/T062R500x500M000004ATwLB1BZI0b.jpg</x:v>
      </x:c>
      <x:c r="U502" s="24" t="str">
        <x:f>IFERROR(VLOOKUP(I502,'07_字典与参数'!$G$5:$J$9,2,FALSE),"未入选")</x:f>
        <x:v>未入选</x:v>
      </x:c>
      <x:c r="V502" s="24" t="str">
        <x:f>IFERROR(VLOOKUP(I502,'07_字典与参数'!$G$5:$J$9,3,FALSE),"—")</x:f>
        <x:v>—</x:v>
      </x:c>
      <x:c r="W502" s="24" t="str">
        <x:f>IF(U502="未入选","否","是")</x:f>
        <x:v>否</x:v>
      </x:c>
    </x:row>
    <x:row r="503">
      <x:c r="A503" t="n">
        <x:v>202630</x:v>
      </x:c>
      <x:c r="B503" t="str">
        <x:v>第30期（07.27-08.02）</x:v>
      </x:c>
      <x:c r="C503" t="str">
        <x:v>2026-07-27</x:v>
      </x:c>
      <x:c r="D503" t="str">
        <x:v>2026-08-02</x:v>
      </x:c>
      <x:c r="E503" t="n">
        <x:v>99</x:v>
      </x:c>
      <x:c r="F503" t="n">
        <x:v>521720355</x:v>
      </x:c>
      <x:c r="G503" t="str">
        <x:v>幻梦</x:v>
      </x:c>
      <x:c r="H503" t="str">
        <x:v>王俊凯</x:v>
      </x:c>
      <x:c r="I503" t="str">
        <x:v>000bbwzf2E0nwB</x:v>
      </x:c>
      <x:c r="J503" t="str">
        <x:v>False</x:v>
      </x:c>
      <x:c r="K503" t="n">
        <x:v>103</x:v>
      </x:c>
      <x:c r="L503" t="n">
        <x:v>4</x:v>
      </x:c>
      <x:c r="M503" t="n">
        <x:v>23</x:v>
      </x:c>
      <x:c r="N503" t="n">
        <x:v>84.95774</x:v>
      </x:c>
      <x:c r="O503" t="n">
        <x:v>68.47</x:v>
      </x:c>
      <x:c r="P503" t="n">
        <x:v>0</x:v>
      </x:c>
      <x:c r="Q503" t="n">
        <x:v>0</x:v>
      </x:c>
      <x:c r="R503" t="n">
        <x:v>31.13</x:v>
      </x:c>
      <x:c r="S503" t="n">
        <x:v>51.06</x:v>
      </x:c>
      <x:c r="T503" t="str">
        <x:v>https://y.qq.com/music/photo_new/T062R500x500M000003tjnfQ2DkfyZ.jpg</x:v>
      </x:c>
      <x:c r="U503" s="24" t="str">
        <x:f>IFERROR(VLOOKUP(I503,'07_字典与参数'!$G$5:$J$9,2,FALSE),"未入选")</x:f>
        <x:v>未入选</x:v>
      </x:c>
      <x:c r="V503" s="24" t="str">
        <x:f>IFERROR(VLOOKUP(I503,'07_字典与参数'!$G$5:$J$9,3,FALSE),"—")</x:f>
        <x:v>—</x:v>
      </x:c>
      <x:c r="W503" s="24" t="str">
        <x:f>IF(U503="未入选","否","是")</x:f>
        <x:v>否</x:v>
      </x:c>
    </x:row>
    <x:row r="504">
      <x:c r="A504" t="n">
        <x:v>202630</x:v>
      </x:c>
      <x:c r="B504" t="str">
        <x:v>第30期（07.27-08.02）</x:v>
      </x:c>
      <x:c r="C504" t="str">
        <x:v>2026-07-27</x:v>
      </x:c>
      <x:c r="D504" t="str">
        <x:v>2026-08-02</x:v>
      </x:c>
      <x:c r="E504" t="n">
        <x:v>100</x:v>
      </x:c>
      <x:c r="F504" t="n">
        <x:v>521720357</x:v>
      </x:c>
      <x:c r="G504" t="str">
        <x:v>Stay</x:v>
      </x:c>
      <x:c r="H504" t="str">
        <x:v>王俊凯</x:v>
      </x:c>
      <x:c r="I504" t="str">
        <x:v>002TplNQ18uPB9</x:v>
      </x:c>
      <x:c r="J504" t="str">
        <x:v>False</x:v>
      </x:c>
      <x:c r="K504" t="n">
        <x:v>108</x:v>
      </x:c>
      <x:c r="L504" t="n">
        <x:v>4</x:v>
      </x:c>
      <x:c r="M504" t="n">
        <x:v>24</x:v>
      </x:c>
      <x:c r="N504" t="n">
        <x:v>84.95396</x:v>
      </x:c>
      <x:c r="O504" t="n">
        <x:v>68.59</x:v>
      </x:c>
      <x:c r="P504" t="n">
        <x:v>0</x:v>
      </x:c>
      <x:c r="Q504" t="n">
        <x:v>0</x:v>
      </x:c>
      <x:c r="R504" t="n">
        <x:v>30.66</x:v>
      </x:c>
      <x:c r="S504" t="n">
        <x:v>51.07</x:v>
      </x:c>
      <x:c r="T504" t="str">
        <x:v>https://y.qq.com/music/photo_new/T062R500x500M000000yKB6w1WY6fo.jpg</x:v>
      </x:c>
      <x:c r="U504" s="24" t="str">
        <x:f>IFERROR(VLOOKUP(I504,'07_字典与参数'!$G$5:$J$9,2,FALSE),"未入选")</x:f>
        <x:v>未入选</x:v>
      </x:c>
      <x:c r="V504" s="24" t="str">
        <x:f>IFERROR(VLOOKUP(I504,'07_字典与参数'!$G$5:$J$9,3,FALSE),"—")</x:f>
        <x:v>—</x:v>
      </x:c>
      <x:c r="W504" s="24" t="str">
        <x:f>IF(U504="未入选","否","是")</x:f>
        <x:v>否</x:v>
      </x:c>
    </x:row>
    <x:row r="505">
      <x:c r="A505" t="n">
        <x:v>202630</x:v>
      </x:c>
      <x:c r="B505" t="str">
        <x:v>第30期（07.27-08.02）</x:v>
      </x:c>
      <x:c r="C505" t="str">
        <x:v>2026-07-27</x:v>
      </x:c>
      <x:c r="D505" t="str">
        <x:v>2026-08-02</x:v>
      </x:c>
      <x:c r="E505" t="n">
        <x:v>101</x:v>
      </x:c>
      <x:c r="F505" t="n">
        <x:v>515780154</x:v>
      </x:c>
      <x:c r="G505" t="str">
        <x:v>从前</x:v>
      </x:c>
      <x:c r="H505" t="str">
        <x:v>王俊凯</x:v>
      </x:c>
      <x:c r="I505" t="str">
        <x:v>000Ji0xi2WKRll</x:v>
      </x:c>
      <x:c r="J505" t="str">
        <x:v>False</x:v>
      </x:c>
      <x:c r="K505" t="n">
        <x:v>106</x:v>
      </x:c>
      <x:c r="L505" t="n">
        <x:v>0</x:v>
      </x:c>
      <x:c r="M505" t="n">
        <x:v>0</x:v>
      </x:c>
      <x:c r="N505" t="n">
        <x:v>84.94373</x:v>
      </x:c>
      <x:c r="O505" t="n">
        <x:v>68.05</x:v>
      </x:c>
      <x:c r="P505" t="n">
        <x:v>0</x:v>
      </x:c>
      <x:c r="Q505" t="n">
        <x:v>0</x:v>
      </x:c>
      <x:c r="R505" t="n">
        <x:v>30.7</x:v>
      </x:c>
      <x:c r="S505" t="n">
        <x:v>51.39</x:v>
      </x:c>
      <x:c r="T505" t="str">
        <x:v>https://y.qq.com/music/photo_new/T062R500x500M000001q4lBQ4YRSPD.jpg</x:v>
      </x:c>
      <x:c r="U505" s="24" t="str">
        <x:f>IFERROR(VLOOKUP(I505,'07_字典与参数'!$G$5:$J$9,2,FALSE),"未入选")</x:f>
        <x:v>未入选</x:v>
      </x:c>
      <x:c r="V505" s="24" t="str">
        <x:f>IFERROR(VLOOKUP(I505,'07_字典与参数'!$G$5:$J$9,3,FALSE),"—")</x:f>
        <x:v>—</x:v>
      </x:c>
      <x:c r="W505" s="24" t="str">
        <x:f>IF(U505="未入选","否","是")</x:f>
        <x:v>否</x:v>
      </x:c>
    </x:row>
    <x:row r="506">
      <x:c r="A506" t="n">
        <x:v>202630</x:v>
      </x:c>
      <x:c r="B506" t="str">
        <x:v>第30期（07.27-08.02）</x:v>
      </x:c>
      <x:c r="C506" t="str">
        <x:v>2026-07-27</x:v>
      </x:c>
      <x:c r="D506" t="str">
        <x:v>2026-08-02</x:v>
      </x:c>
      <x:c r="E506" t="n">
        <x:v>102</x:v>
      </x:c>
      <x:c r="F506" t="n">
        <x:v>530399437</x:v>
      </x:c>
      <x:c r="G506" t="str">
        <x:v>下一天</x:v>
      </x:c>
      <x:c r="H506" t="str">
        <x:v>王俊凯</x:v>
      </x:c>
      <x:c r="I506" t="str">
        <x:v>002d62eR3BYiWY</x:v>
      </x:c>
      <x:c r="J506" t="str">
        <x:v>False</x:v>
      </x:c>
      <x:c r="K506" t="n">
        <x:v>97</x:v>
      </x:c>
      <x:c r="L506" t="n">
        <x:v>0</x:v>
      </x:c>
      <x:c r="M506" t="n">
        <x:v>0</x:v>
      </x:c>
      <x:c r="N506" t="n">
        <x:v>84.93016</x:v>
      </x:c>
      <x:c r="O506" t="n">
        <x:v>67.77</x:v>
      </x:c>
      <x:c r="P506" t="n">
        <x:v>0</x:v>
      </x:c>
      <x:c r="Q506" t="n">
        <x:v>0</x:v>
      </x:c>
      <x:c r="R506" t="n">
        <x:v>32.1</x:v>
      </x:c>
      <x:c r="S506" t="n">
        <x:v>51.25</x:v>
      </x:c>
      <x:c r="T506" t="str">
        <x:v>https://y.qq.com/music/photo_new/T062R500x500M000000NfJyp11Nuig.jpg</x:v>
      </x:c>
      <x:c r="U506" s="24" t="str">
        <x:f>IFERROR(VLOOKUP(I506,'07_字典与参数'!$G$5:$J$9,2,FALSE),"未入选")</x:f>
        <x:v>未入选</x:v>
      </x:c>
      <x:c r="V506" s="24" t="str">
        <x:f>IFERROR(VLOOKUP(I506,'07_字典与参数'!$G$5:$J$9,3,FALSE),"—")</x:f>
        <x:v>—</x:v>
      </x:c>
      <x:c r="W506" s="24" t="str">
        <x:f>IF(U506="未入选","否","是")</x:f>
        <x:v>否</x:v>
      </x:c>
    </x:row>
    <x:row r="507">
      <x:c r="A507" t="n">
        <x:v>202630</x:v>
      </x:c>
      <x:c r="B507" t="str">
        <x:v>第30期（07.27-08.02）</x:v>
      </x:c>
      <x:c r="C507" t="str">
        <x:v>2026-07-27</x:v>
      </x:c>
      <x:c r="D507" t="str">
        <x:v>2026-08-02</x:v>
      </x:c>
      <x:c r="E507" t="n">
        <x:v>103</x:v>
      </x:c>
      <x:c r="F507" t="n">
        <x:v>515779634</x:v>
      </x:c>
      <x:c r="G507" t="str">
        <x:v>I Love This Life</x:v>
      </x:c>
      <x:c r="H507" t="str">
        <x:v>王俊凯</x:v>
      </x:c>
      <x:c r="I507" t="str">
        <x:v>002snOiL3DNzr2</x:v>
      </x:c>
      <x:c r="J507" t="str">
        <x:v>False</x:v>
      </x:c>
      <x:c r="K507" t="n">
        <x:v>109</x:v>
      </x:c>
      <x:c r="L507" t="n">
        <x:v>0</x:v>
      </x:c>
      <x:c r="M507" t="n">
        <x:v>0</x:v>
      </x:c>
      <x:c r="N507" t="n">
        <x:v>84.87434</x:v>
      </x:c>
      <x:c r="O507" t="n">
        <x:v>67.75</x:v>
      </x:c>
      <x:c r="P507" t="n">
        <x:v>0</x:v>
      </x:c>
      <x:c r="Q507" t="n">
        <x:v>0</x:v>
      </x:c>
      <x:c r="R507" t="n">
        <x:v>30.46</x:v>
      </x:c>
      <x:c r="S507" t="n">
        <x:v>51.5</x:v>
      </x:c>
      <x:c r="T507" t="str">
        <x:v>https://y.qq.com/music/photo_new/T062R500x500M0000033JXxr402Nw0.jpg</x:v>
      </x:c>
      <x:c r="U507" s="24" t="str">
        <x:f>IFERROR(VLOOKUP(I507,'07_字典与参数'!$G$5:$J$9,2,FALSE),"未入选")</x:f>
        <x:v>未入选</x:v>
      </x:c>
      <x:c r="V507" s="24" t="str">
        <x:f>IFERROR(VLOOKUP(I507,'07_字典与参数'!$G$5:$J$9,3,FALSE),"—")</x:f>
        <x:v>—</x:v>
      </x:c>
      <x:c r="W507" s="24" t="str">
        <x:f>IF(U507="未入选","否","是")</x:f>
        <x:v>否</x:v>
      </x:c>
    </x:row>
    <x:row r="508">
      <x:c r="A508" t="n">
        <x:v>202630</x:v>
      </x:c>
      <x:c r="B508" t="str">
        <x:v>第30期（07.27-08.02）</x:v>
      </x:c>
      <x:c r="C508" t="str">
        <x:v>2026-07-27</x:v>
      </x:c>
      <x:c r="D508" t="str">
        <x:v>2026-08-02</x:v>
      </x:c>
      <x:c r="E508" t="n">
        <x:v>104</x:v>
      </x:c>
      <x:c r="F508" t="n">
        <x:v>522467110</x:v>
      </x:c>
      <x:c r="G508" t="str">
        <x:v>休止符</x:v>
      </x:c>
      <x:c r="H508" t="str">
        <x:v>张艺兴</x:v>
      </x:c>
      <x:c r="I508" t="str">
        <x:v>002O5gy93O0q2o</x:v>
      </x:c>
      <x:c r="J508" t="str">
        <x:v>False</x:v>
      </x:c>
      <x:c r="K508" t="n">
        <x:v>0</x:v>
      </x:c>
      <x:c r="L508" t="n">
        <x:v>0</x:v>
      </x:c>
      <x:c r="M508" t="n">
        <x:v>0</x:v>
      </x:c>
      <x:c r="N508" t="n">
        <x:v>84.83152</x:v>
      </x:c>
      <x:c r="O508" t="n">
        <x:v>62.54</x:v>
      </x:c>
      <x:c r="P508" t="n">
        <x:v>0</x:v>
      </x:c>
      <x:c r="Q508" t="n">
        <x:v>0</x:v>
      </x:c>
      <x:c r="R508" t="n">
        <x:v>51.3</x:v>
      </x:c>
      <x:c r="S508" t="n">
        <x:v>45.03</x:v>
      </x:c>
      <x:c r="T508" t="str">
        <x:v>https://y.gtimg.cn/music/photo_new/T002R500x500M000001w138z3PZEcz_1.jpg</x:v>
      </x:c>
      <x:c r="U508" s="24" t="str">
        <x:f>IFERROR(VLOOKUP(I508,'07_字典与参数'!$G$5:$J$9,2,FALSE),"未入选")</x:f>
        <x:v>未入选</x:v>
      </x:c>
      <x:c r="V508" s="24" t="str">
        <x:f>IFERROR(VLOOKUP(I508,'07_字典与参数'!$G$5:$J$9,3,FALSE),"—")</x:f>
        <x:v>—</x:v>
      </x:c>
      <x:c r="W508" s="24" t="str">
        <x:f>IF(U508="未入选","否","是")</x:f>
        <x:v>否</x:v>
      </x:c>
    </x:row>
    <x:row r="509">
      <x:c r="A509" t="n">
        <x:v>202630</x:v>
      </x:c>
      <x:c r="B509" t="str">
        <x:v>第30期（07.27-08.02）</x:v>
      </x:c>
      <x:c r="C509" t="str">
        <x:v>2026-07-27</x:v>
      </x:c>
      <x:c r="D509" t="str">
        <x:v>2026-08-02</x:v>
      </x:c>
      <x:c r="E509" t="n">
        <x:v>105</x:v>
      </x:c>
      <x:c r="F509" t="n">
        <x:v>532547067</x:v>
      </x:c>
      <x:c r="G509" t="str">
        <x:v>如果你也刚好抬头看树</x:v>
      </x:c>
      <x:c r="H509" t="str">
        <x:v>孙天宇</x:v>
      </x:c>
      <x:c r="I509" t="str">
        <x:v>0005HuT83Cze8P</x:v>
      </x:c>
      <x:c r="J509" t="str">
        <x:v>False</x:v>
      </x:c>
      <x:c r="K509" t="n">
        <x:v>99</x:v>
      </x:c>
      <x:c r="L509" t="n">
        <x:v>0</x:v>
      </x:c>
      <x:c r="M509" t="n">
        <x:v>0</x:v>
      </x:c>
      <x:c r="N509" t="n">
        <x:v>84.48259</x:v>
      </x:c>
      <x:c r="O509" t="n">
        <x:v>72.15</x:v>
      </x:c>
      <x:c r="P509" t="n">
        <x:v>0</x:v>
      </x:c>
      <x:c r="Q509" t="n">
        <x:v>0</x:v>
      </x:c>
      <x:c r="R509" t="n">
        <x:v>10.75</x:v>
      </x:c>
      <x:c r="S509" t="n">
        <x:v>43.58</x:v>
      </x:c>
      <x:c r="T509" t="str">
        <x:v>https://y.gtimg.cn/music/photo_new/T002R500x500M000002w4MPC0gdACF_1.jpg</x:v>
      </x:c>
      <x:c r="U509" s="24" t="str">
        <x:f>IFERROR(VLOOKUP(I509,'07_字典与参数'!$G$5:$J$9,2,FALSE),"未入选")</x:f>
        <x:v>未入选</x:v>
      </x:c>
      <x:c r="V509" s="24" t="str">
        <x:f>IFERROR(VLOOKUP(I509,'07_字典与参数'!$G$5:$J$9,3,FALSE),"—")</x:f>
        <x:v>—</x:v>
      </x:c>
      <x:c r="W509" s="24" t="str">
        <x:f>IF(U509="未入选","否","是")</x:f>
        <x:v>否</x:v>
      </x:c>
    </x:row>
    <x:row r="510">
      <x:c r="A510" t="n">
        <x:v>202630</x:v>
      </x:c>
      <x:c r="B510" t="str">
        <x:v>第30期（07.27-08.02）</x:v>
      </x:c>
      <x:c r="C510" t="str">
        <x:v>2026-07-27</x:v>
      </x:c>
      <x:c r="D510" t="str">
        <x:v>2026-08-02</x:v>
      </x:c>
      <x:c r="E510" t="n">
        <x:v>106</x:v>
      </x:c>
      <x:c r="F510" t="n">
        <x:v>532518888</x:v>
      </x:c>
      <x:c r="G510" t="str">
        <x:v>都有这一天</x:v>
      </x:c>
      <x:c r="H510" t="str">
        <x:v>老中青民谣,小巷先生</x:v>
      </x:c>
      <x:c r="I510" t="str">
        <x:v>000hceWt1DIler</x:v>
      </x:c>
      <x:c r="J510" t="str">
        <x:v>False</x:v>
      </x:c>
      <x:c r="K510" t="n">
        <x:v>183</x:v>
      </x:c>
      <x:c r="L510" t="n">
        <x:v>0</x:v>
      </x:c>
      <x:c r="M510" t="n">
        <x:v>0</x:v>
      </x:c>
      <x:c r="N510" t="n">
        <x:v>84.34557</x:v>
      </x:c>
      <x:c r="O510" t="n">
        <x:v>72.22</x:v>
      </x:c>
      <x:c r="P510" t="n">
        <x:v>0</x:v>
      </x:c>
      <x:c r="Q510" t="n">
        <x:v>0</x:v>
      </x:c>
      <x:c r="R510" t="n">
        <x:v>2.17</x:v>
      </x:c>
      <x:c r="S510" t="n">
        <x:v>43.65</x:v>
      </x:c>
      <x:c r="T510" t="str">
        <x:v>https://y.gtimg.cn/music/photo_new/T002R500x500M000002CgPwJ1Sz9aU_1.jpg</x:v>
      </x:c>
      <x:c r="U510" s="24" t="str">
        <x:f>IFERROR(VLOOKUP(I510,'07_字典与参数'!$G$5:$J$9,2,FALSE),"未入选")</x:f>
        <x:v>未入选</x:v>
      </x:c>
      <x:c r="V510" s="24" t="str">
        <x:f>IFERROR(VLOOKUP(I510,'07_字典与参数'!$G$5:$J$9,3,FALSE),"—")</x:f>
        <x:v>—</x:v>
      </x:c>
      <x:c r="W510" s="24" t="str">
        <x:f>IF(U510="未入选","否","是")</x:f>
        <x:v>否</x:v>
      </x:c>
    </x:row>
    <x:row r="511">
      <x:c r="A511" t="n">
        <x:v>202630</x:v>
      </x:c>
      <x:c r="B511" t="str">
        <x:v>第30期（07.27-08.02）</x:v>
      </x:c>
      <x:c r="C511" t="str">
        <x:v>2026-07-27</x:v>
      </x:c>
      <x:c r="D511" t="str">
        <x:v>2026-08-02</x:v>
      </x:c>
      <x:c r="E511" t="n">
        <x:v>107</x:v>
      </x:c>
      <x:c r="F511" t="n">
        <x:v>492295463</x:v>
      </x:c>
      <x:c r="G511" t="str">
        <x:v>隐瞒</x:v>
      </x:c>
      <x:c r="H511" t="str">
        <x:v>TF_ING邓佳鑫</x:v>
      </x:c>
      <x:c r="I511" t="str">
        <x:v>002Bw7Br2V7OZF</x:v>
      </x:c>
      <x:c r="J511" t="str">
        <x:v>False</x:v>
      </x:c>
      <x:c r="K511" t="n">
        <x:v>147</x:v>
      </x:c>
      <x:c r="L511" t="n">
        <x:v>0</x:v>
      </x:c>
      <x:c r="M511" t="n">
        <x:v>0</x:v>
      </x:c>
      <x:c r="N511" t="n">
        <x:v>84.2165</x:v>
      </x:c>
      <x:c r="O511" t="n">
        <x:v>51.52</x:v>
      </x:c>
      <x:c r="P511" t="n">
        <x:v>0</x:v>
      </x:c>
      <x:c r="Q511" t="n">
        <x:v>0</x:v>
      </x:c>
      <x:c r="R511" t="n">
        <x:v>14.12</x:v>
      </x:c>
      <x:c r="S511" t="n">
        <x:v>58.64</x:v>
      </x:c>
      <x:c r="T511" t="str">
        <x:v>https://y.gtimg.cn/music/photo_new/T002R500x500M000004A6rAz2YPGz5_1.jpg</x:v>
      </x:c>
      <x:c r="U511" s="24" t="str">
        <x:f>IFERROR(VLOOKUP(I511,'07_字典与参数'!$G$5:$J$9,2,FALSE),"未入选")</x:f>
        <x:v>未入选</x:v>
      </x:c>
      <x:c r="V511" s="24" t="str">
        <x:f>IFERROR(VLOOKUP(I511,'07_字典与参数'!$G$5:$J$9,3,FALSE),"—")</x:f>
        <x:v>—</x:v>
      </x:c>
      <x:c r="W511" s="24" t="str">
        <x:f>IF(U511="未入选","否","是")</x:f>
        <x:v>否</x:v>
      </x:c>
    </x:row>
    <x:row r="512">
      <x:c r="A512" t="n">
        <x:v>202630</x:v>
      </x:c>
      <x:c r="B512" t="str">
        <x:v>第30期（07.27-08.02）</x:v>
      </x:c>
      <x:c r="C512" t="str">
        <x:v>2026-07-27</x:v>
      </x:c>
      <x:c r="D512" t="str">
        <x:v>2026-08-02</x:v>
      </x:c>
      <x:c r="E512" t="n">
        <x:v>108</x:v>
      </x:c>
      <x:c r="F512" t="n">
        <x:v>512152956</x:v>
      </x:c>
      <x:c r="G512" t="str">
        <x:v>以为有以后</x:v>
      </x:c>
      <x:c r="H512" t="str">
        <x:v>李廷旭</x:v>
      </x:c>
      <x:c r="I512" t="str">
        <x:v>001lkVOI2SdXSS</x:v>
      </x:c>
      <x:c r="J512" t="str">
        <x:v>False</x:v>
      </x:c>
      <x:c r="K512" t="n">
        <x:v>32</x:v>
      </x:c>
      <x:c r="L512" t="n">
        <x:v>0</x:v>
      </x:c>
      <x:c r="M512" t="n">
        <x:v>0</x:v>
      </x:c>
      <x:c r="N512" t="n">
        <x:v>84.10982</x:v>
      </x:c>
      <x:c r="O512" t="n">
        <x:v>73.67</x:v>
      </x:c>
      <x:c r="P512" t="n">
        <x:v>0</x:v>
      </x:c>
      <x:c r="Q512" t="n">
        <x:v>0</x:v>
      </x:c>
      <x:c r="R512" t="n">
        <x:v>2.53</x:v>
      </x:c>
      <x:c r="S512" t="n">
        <x:v>10.4</x:v>
      </x:c>
      <x:c r="T512" t="str">
        <x:v>https://y.gtimg.cn/music/photo_new/T002R500x500M00000364HbC0r03Ed_2.jpg</x:v>
      </x:c>
      <x:c r="U512" s="24" t="str">
        <x:f>IFERROR(VLOOKUP(I512,'07_字典与参数'!$G$5:$J$9,2,FALSE),"未入选")</x:f>
        <x:v>未入选</x:v>
      </x:c>
      <x:c r="V512" s="24" t="str">
        <x:f>IFERROR(VLOOKUP(I512,'07_字典与参数'!$G$5:$J$9,3,FALSE),"—")</x:f>
        <x:v>—</x:v>
      </x:c>
      <x:c r="W512" s="24" t="str">
        <x:f>IF(U512="未入选","否","是")</x:f>
        <x:v>否</x:v>
      </x:c>
    </x:row>
    <x:row r="513">
      <x:c r="A513" t="n">
        <x:v>202630</x:v>
      </x:c>
      <x:c r="B513" t="str">
        <x:v>第30期（07.27-08.02）</x:v>
      </x:c>
      <x:c r="C513" t="str">
        <x:v>2026-07-27</x:v>
      </x:c>
      <x:c r="D513" t="str">
        <x:v>2026-08-02</x:v>
      </x:c>
      <x:c r="E513" t="n">
        <x:v>109</x:v>
      </x:c>
      <x:c r="F513" t="n">
        <x:v>534977256</x:v>
      </x:c>
      <x:c r="G513" t="str">
        <x:v>爱旧爱（怪我曾爱你爱的太深）</x:v>
      </x:c>
      <x:c r="H513" t="str">
        <x:v>恩几</x:v>
      </x:c>
      <x:c r="I513" t="str">
        <x:v>002BW1w04c8Ixz</x:v>
      </x:c>
      <x:c r="J513" t="str">
        <x:v>False</x:v>
      </x:c>
      <x:c r="K513" t="n">
        <x:v>0</x:v>
      </x:c>
      <x:c r="L513" t="n">
        <x:v>0</x:v>
      </x:c>
      <x:c r="M513" t="n">
        <x:v>0</x:v>
      </x:c>
      <x:c r="N513" t="n">
        <x:v>83.97475</x:v>
      </x:c>
      <x:c r="O513" t="n">
        <x:v>73.14</x:v>
      </x:c>
      <x:c r="P513" t="n">
        <x:v>0</x:v>
      </x:c>
      <x:c r="Q513" t="n">
        <x:v>0</x:v>
      </x:c>
      <x:c r="R513" t="n">
        <x:v>5.99</x:v>
      </x:c>
      <x:c r="S513" t="n">
        <x:v>29.17</x:v>
      </x:c>
      <x:c r="T513" t="str">
        <x:v>https://y.gtimg.cn/music/photo_new/T002R500x500M000003SOJ190L6pju_2.jpg</x:v>
      </x:c>
      <x:c r="U513" s="24" t="str">
        <x:f>IFERROR(VLOOKUP(I513,'07_字典与参数'!$G$5:$J$9,2,FALSE),"未入选")</x:f>
        <x:v>未入选</x:v>
      </x:c>
      <x:c r="V513" s="24" t="str">
        <x:f>IFERROR(VLOOKUP(I513,'07_字典与参数'!$G$5:$J$9,3,FALSE),"—")</x:f>
        <x:v>—</x:v>
      </x:c>
      <x:c r="W513" s="24" t="str">
        <x:f>IF(U513="未入选","否","是")</x:f>
        <x:v>否</x:v>
      </x:c>
    </x:row>
    <x:row r="514">
      <x:c r="A514" t="n">
        <x:v>202630</x:v>
      </x:c>
      <x:c r="B514" t="str">
        <x:v>第30期（07.27-08.02）</x:v>
      </x:c>
      <x:c r="C514" t="str">
        <x:v>2026-07-27</x:v>
      </x:c>
      <x:c r="D514" t="str">
        <x:v>2026-08-02</x:v>
      </x:c>
      <x:c r="E514" t="n">
        <x:v>110</x:v>
      </x:c>
      <x:c r="F514" t="n">
        <x:v>517484236</x:v>
      </x:c>
      <x:c r="G514" t="str">
        <x:v>光</x:v>
      </x:c>
      <x:c r="H514" t="str">
        <x:v>陈楚生</x:v>
      </x:c>
      <x:c r="I514" t="str">
        <x:v>004JAWWq0NadAX</x:v>
      </x:c>
      <x:c r="J514" t="str">
        <x:v>False</x:v>
      </x:c>
      <x:c r="K514" t="n">
        <x:v>118</x:v>
      </x:c>
      <x:c r="L514" t="n">
        <x:v>0</x:v>
      </x:c>
      <x:c r="M514" t="n">
        <x:v>0</x:v>
      </x:c>
      <x:c r="N514" t="n">
        <x:v>83.85394</x:v>
      </x:c>
      <x:c r="O514" t="n">
        <x:v>53.19</x:v>
      </x:c>
      <x:c r="P514" t="n">
        <x:v>0</x:v>
      </x:c>
      <x:c r="Q514" t="n">
        <x:v>0</x:v>
      </x:c>
      <x:c r="R514" t="n">
        <x:v>9.57</x:v>
      </x:c>
      <x:c r="S514" t="n">
        <x:v>57.77</x:v>
      </x:c>
      <x:c r="T514" t="str">
        <x:v>https://y.gtimg.cn/music/photo_new/T002R500x500M000002ld9Tt17lb4O_1.jpg</x:v>
      </x:c>
      <x:c r="U514" s="24" t="str">
        <x:f>IFERROR(VLOOKUP(I514,'07_字典与参数'!$G$5:$J$9,2,FALSE),"未入选")</x:f>
        <x:v>未入选</x:v>
      </x:c>
      <x:c r="V514" s="24" t="str">
        <x:f>IFERROR(VLOOKUP(I514,'07_字典与参数'!$G$5:$J$9,3,FALSE),"—")</x:f>
        <x:v>—</x:v>
      </x:c>
      <x:c r="W514" s="24" t="str">
        <x:f>IF(U514="未入选","否","是")</x:f>
        <x:v>否</x:v>
      </x:c>
    </x:row>
    <x:row r="515">
      <x:c r="A515" t="n">
        <x:v>202630</x:v>
      </x:c>
      <x:c r="B515" t="str">
        <x:v>第30期（07.27-08.02）</x:v>
      </x:c>
      <x:c r="C515" t="str">
        <x:v>2026-07-27</x:v>
      </x:c>
      <x:c r="D515" t="str">
        <x:v>2026-08-02</x:v>
      </x:c>
      <x:c r="E515" t="n">
        <x:v>111</x:v>
      </x:c>
      <x:c r="F515" t="n">
        <x:v>522467090</x:v>
      </x:c>
      <x:c r="G515" t="str">
        <x:v>香</x:v>
      </x:c>
      <x:c r="H515" t="str">
        <x:v>张艺兴</x:v>
      </x:c>
      <x:c r="I515" t="str">
        <x:v>001a7UVj0yhPcv</x:v>
      </x:c>
      <x:c r="J515" t="str">
        <x:v>False</x:v>
      </x:c>
      <x:c r="K515" t="n">
        <x:v>35</x:v>
      </x:c>
      <x:c r="L515" t="n">
        <x:v>0</x:v>
      </x:c>
      <x:c r="M515" t="n">
        <x:v>0</x:v>
      </x:c>
      <x:c r="N515" t="n">
        <x:v>83.81792</x:v>
      </x:c>
      <x:c r="O515" t="n">
        <x:v>62.46</x:v>
      </x:c>
      <x:c r="P515" t="n">
        <x:v>0</x:v>
      </x:c>
      <x:c r="Q515" t="n">
        <x:v>0</x:v>
      </x:c>
      <x:c r="R515" t="n">
        <x:v>50.66</x:v>
      </x:c>
      <x:c r="S515" t="n">
        <x:v>42.22</x:v>
      </x:c>
      <x:c r="T515" t="str">
        <x:v>https://y.gtimg.cn/music/photo_new/T002R500x500M000001w138z3PZEcz_1.jpg</x:v>
      </x:c>
      <x:c r="U515" s="24" t="str">
        <x:f>IFERROR(VLOOKUP(I515,'07_字典与参数'!$G$5:$J$9,2,FALSE),"未入选")</x:f>
        <x:v>未入选</x:v>
      </x:c>
      <x:c r="V515" s="24" t="str">
        <x:f>IFERROR(VLOOKUP(I515,'07_字典与参数'!$G$5:$J$9,3,FALSE),"—")</x:f>
        <x:v>—</x:v>
      </x:c>
      <x:c r="W515" s="24" t="str">
        <x:f>IF(U515="未入选","否","是")</x:f>
        <x:v>否</x:v>
      </x:c>
    </x:row>
    <x:row r="516">
      <x:c r="A516" t="n">
        <x:v>202630</x:v>
      </x:c>
      <x:c r="B516" t="str">
        <x:v>第30期（07.27-08.02）</x:v>
      </x:c>
      <x:c r="C516" t="str">
        <x:v>2026-07-27</x:v>
      </x:c>
      <x:c r="D516" t="str">
        <x:v>2026-08-02</x:v>
      </x:c>
      <x:c r="E516" t="n">
        <x:v>112</x:v>
      </x:c>
      <x:c r="F516" t="n">
        <x:v>530772974</x:v>
      </x:c>
      <x:c r="G516" t="str">
        <x:v>Metal Flower</x:v>
      </x:c>
      <x:c r="H516" t="str">
        <x:v>R.E.D</x:v>
      </x:c>
      <x:c r="I516" t="str">
        <x:v>0043j4Cx4XEcBt</x:v>
      </x:c>
      <x:c r="J516" t="str">
        <x:v>False</x:v>
      </x:c>
      <x:c r="K516" t="n">
        <x:v>121</x:v>
      </x:c>
      <x:c r="L516" t="n">
        <x:v>0</x:v>
      </x:c>
      <x:c r="M516" t="n">
        <x:v>0</x:v>
      </x:c>
      <x:c r="N516" t="n">
        <x:v>83.7519</x:v>
      </x:c>
      <x:c r="O516" t="n">
        <x:v>66.27</x:v>
      </x:c>
      <x:c r="P516" t="n">
        <x:v>0</x:v>
      </x:c>
      <x:c r="Q516" t="n">
        <x:v>0</x:v>
      </x:c>
      <x:c r="R516" t="n">
        <x:v>5.15</x:v>
      </x:c>
      <x:c r="S516" t="n">
        <x:v>52.15</x:v>
      </x:c>
      <x:c r="T516" t="str">
        <x:v>https://y.gtimg.cn/music/photo_new/T002R500x500M000000u1Owg2RJzL5_1.jpg</x:v>
      </x:c>
      <x:c r="U516" s="24" t="str">
        <x:f>IFERROR(VLOOKUP(I516,'07_字典与参数'!$G$5:$J$9,2,FALSE),"未入选")</x:f>
        <x:v>未入选</x:v>
      </x:c>
      <x:c r="V516" s="24" t="str">
        <x:f>IFERROR(VLOOKUP(I516,'07_字典与参数'!$G$5:$J$9,3,FALSE),"—")</x:f>
        <x:v>—</x:v>
      </x:c>
      <x:c r="W516" s="24" t="str">
        <x:f>IF(U516="未入选","否","是")</x:f>
        <x:v>否</x:v>
      </x:c>
    </x:row>
    <x:row r="517">
      <x:c r="A517" t="n">
        <x:v>202630</x:v>
      </x:c>
      <x:c r="B517" t="str">
        <x:v>第30期（07.27-08.02）</x:v>
      </x:c>
      <x:c r="C517" t="str">
        <x:v>2026-07-27</x:v>
      </x:c>
      <x:c r="D517" t="str">
        <x:v>2026-08-02</x:v>
      </x:c>
      <x:c r="E517" t="n">
        <x:v>113</x:v>
      </x:c>
      <x:c r="F517" t="n">
        <x:v>484990426</x:v>
      </x:c>
      <x:c r="G517" t="str">
        <x:v>西乌旗99号公路</x:v>
      </x:c>
      <x:c r="H517" t="str">
        <x:v>LunaLiu刘不语,张川海</x:v>
      </x:c>
      <x:c r="I517" t="str">
        <x:v>002n9rPh3tYpOc</x:v>
      </x:c>
      <x:c r="J517" t="str">
        <x:v>False</x:v>
      </x:c>
      <x:c r="K517" t="n">
        <x:v>92</x:v>
      </x:c>
      <x:c r="L517" t="n">
        <x:v>0</x:v>
      </x:c>
      <x:c r="M517" t="n">
        <x:v>0</x:v>
      </x:c>
      <x:c r="N517" t="n">
        <x:v>83.63597</x:v>
      </x:c>
      <x:c r="O517" t="n">
        <x:v>72.09</x:v>
      </x:c>
      <x:c r="P517" t="n">
        <x:v>0</x:v>
      </x:c>
      <x:c r="Q517" t="n">
        <x:v>0</x:v>
      </x:c>
      <x:c r="R517" t="n">
        <x:v>22.97</x:v>
      </x:c>
      <x:c r="S517" t="n">
        <x:v>33.27</x:v>
      </x:c>
      <x:c r="T517" t="str">
        <x:v>https://y.gtimg.cn/music/photo_new/T002R500x500M000003woY5f2sdNs7_2.jpg</x:v>
      </x:c>
      <x:c r="U517" s="24" t="str">
        <x:f>IFERROR(VLOOKUP(I517,'07_字典与参数'!$G$5:$J$9,2,FALSE),"未入选")</x:f>
        <x:v>未入选</x:v>
      </x:c>
      <x:c r="V517" s="24" t="str">
        <x:f>IFERROR(VLOOKUP(I517,'07_字典与参数'!$G$5:$J$9,3,FALSE),"—")</x:f>
        <x:v>—</x:v>
      </x:c>
      <x:c r="W517" s="24" t="str">
        <x:f>IF(U517="未入选","否","是")</x:f>
        <x:v>否</x:v>
      </x:c>
    </x:row>
    <x:row r="518">
      <x:c r="A518" t="n">
        <x:v>202630</x:v>
      </x:c>
      <x:c r="B518" t="str">
        <x:v>第30期（07.27-08.02）</x:v>
      </x:c>
      <x:c r="C518" t="str">
        <x:v>2026-07-27</x:v>
      </x:c>
      <x:c r="D518" t="str">
        <x:v>2026-08-02</x:v>
      </x:c>
      <x:c r="E518" t="n">
        <x:v>114</x:v>
      </x:c>
      <x:c r="F518" t="n">
        <x:v>530838888</x:v>
      </x:c>
      <x:c r="G518" t="str">
        <x:v>窝囊废</x:v>
      </x:c>
      <x:c r="H518" t="str">
        <x:v>刘凤瑶,曾一鸣,张玮,李琦,派克特</x:v>
      </x:c>
      <x:c r="I518" t="str">
        <x:v>002oy5sA18Y1vl</x:v>
      </x:c>
      <x:c r="J518" t="str">
        <x:v>False</x:v>
      </x:c>
      <x:c r="K518" t="n">
        <x:v>104</x:v>
      </x:c>
      <x:c r="L518" t="n">
        <x:v>0</x:v>
      </x:c>
      <x:c r="M518" t="n">
        <x:v>0</x:v>
      </x:c>
      <x:c r="N518" t="n">
        <x:v>83.57263</x:v>
      </x:c>
      <x:c r="O518" t="n">
        <x:v>72.17</x:v>
      </x:c>
      <x:c r="P518" t="n">
        <x:v>0</x:v>
      </x:c>
      <x:c r="Q518" t="n">
        <x:v>0</x:v>
      </x:c>
      <x:c r="R518" t="n">
        <x:v>8.89</x:v>
      </x:c>
      <x:c r="S518" t="n">
        <x:v>40.1</x:v>
      </x:c>
      <x:c r="T518" t="str">
        <x:v>https://y.gtimg.cn/music/photo_new/T002R500x500M000000i2YjH2563cV_1.jpg</x:v>
      </x:c>
      <x:c r="U518" s="24" t="str">
        <x:f>IFERROR(VLOOKUP(I518,'07_字典与参数'!$G$5:$J$9,2,FALSE),"未入选")</x:f>
        <x:v>未入选</x:v>
      </x:c>
      <x:c r="V518" s="24" t="str">
        <x:f>IFERROR(VLOOKUP(I518,'07_字典与参数'!$G$5:$J$9,3,FALSE),"—")</x:f>
        <x:v>—</x:v>
      </x:c>
      <x:c r="W518" s="24" t="str">
        <x:f>IF(U518="未入选","否","是")</x:f>
        <x:v>否</x:v>
      </x:c>
    </x:row>
    <x:row r="519">
      <x:c r="A519" t="n">
        <x:v>202630</x:v>
      </x:c>
      <x:c r="B519" t="str">
        <x:v>第30期（07.27-08.02）</x:v>
      </x:c>
      <x:c r="C519" t="str">
        <x:v>2026-07-27</x:v>
      </x:c>
      <x:c r="D519" t="str">
        <x:v>2026-08-02</x:v>
      </x:c>
      <x:c r="E519" t="n">
        <x:v>115</x:v>
      </x:c>
      <x:c r="F519" t="n">
        <x:v>513296573</x:v>
      </x:c>
      <x:c r="G519" t="str">
        <x:v>街角的晚风1997</x:v>
      </x:c>
      <x:c r="H519" t="str">
        <x:v>曾舜晞</x:v>
      </x:c>
      <x:c r="I519" t="str">
        <x:v>004Ge20S1FuiOF</x:v>
      </x:c>
      <x:c r="J519" t="str">
        <x:v>False</x:v>
      </x:c>
      <x:c r="K519" t="n">
        <x:v>105</x:v>
      </x:c>
      <x:c r="L519" t="n">
        <x:v>0</x:v>
      </x:c>
      <x:c r="M519" t="n">
        <x:v>0</x:v>
      </x:c>
      <x:c r="N519" t="n">
        <x:v>83.49908</x:v>
      </x:c>
      <x:c r="O519" t="n">
        <x:v>71.85</x:v>
      </x:c>
      <x:c r="P519" t="n">
        <x:v>0</x:v>
      </x:c>
      <x:c r="Q519" t="n">
        <x:v>0</x:v>
      </x:c>
      <x:c r="R519" t="n">
        <x:v>12.36</x:v>
      </x:c>
      <x:c r="S519" t="n">
        <x:v>40.7</x:v>
      </x:c>
      <x:c r="T519" t="str">
        <x:v>https://y.gtimg.cn/music/photo_new/T002R500x500M000002eea6O0cudxW_2.jpg</x:v>
      </x:c>
      <x:c r="U519" s="24" t="str">
        <x:f>IFERROR(VLOOKUP(I519,'07_字典与参数'!$G$5:$J$9,2,FALSE),"未入选")</x:f>
        <x:v>未入选</x:v>
      </x:c>
      <x:c r="V519" s="24" t="str">
        <x:f>IFERROR(VLOOKUP(I519,'07_字典与参数'!$G$5:$J$9,3,FALSE),"—")</x:f>
        <x:v>—</x:v>
      </x:c>
      <x:c r="W519" s="24" t="str">
        <x:f>IF(U519="未入选","否","是")</x:f>
        <x:v>否</x:v>
      </x:c>
    </x:row>
    <x:row r="520">
      <x:c r="A520" t="n">
        <x:v>202630</x:v>
      </x:c>
      <x:c r="B520" t="str">
        <x:v>第30期（07.27-08.02）</x:v>
      </x:c>
      <x:c r="C520" t="str">
        <x:v>2026-07-27</x:v>
      </x:c>
      <x:c r="D520" t="str">
        <x:v>2026-08-02</x:v>
      </x:c>
      <x:c r="E520" t="n">
        <x:v>116</x:v>
      </x:c>
      <x:c r="F520" t="n">
        <x:v>517708558</x:v>
      </x:c>
      <x:c r="G520" t="str">
        <x:v>Call My Name</x:v>
      </x:c>
      <x:c r="H520" t="str">
        <x:v>张艺兴</x:v>
      </x:c>
      <x:c r="I520" t="str">
        <x:v>000LnSwg4DkKg2</x:v>
      </x:c>
      <x:c r="J520" t="str">
        <x:v>False</x:v>
      </x:c>
      <x:c r="K520" t="n">
        <x:v>87</x:v>
      </x:c>
      <x:c r="L520" t="n">
        <x:v>0</x:v>
      </x:c>
      <x:c r="M520" t="n">
        <x:v>0</x:v>
      </x:c>
      <x:c r="N520" t="n">
        <x:v>83.26815</x:v>
      </x:c>
      <x:c r="O520" t="n">
        <x:v>61.78</x:v>
      </x:c>
      <x:c r="P520" t="n">
        <x:v>0</x:v>
      </x:c>
      <x:c r="Q520" t="n">
        <x:v>0</x:v>
      </x:c>
      <x:c r="R520" t="n">
        <x:v>48.73</x:v>
      </x:c>
      <x:c r="S520" t="n">
        <x:v>43.09</x:v>
      </x:c>
      <x:c r="T520" t="str">
        <x:v>https://y.gtimg.cn/music/photo_new/T002R500x500M000001w138z3PZEcz_1.jpg</x:v>
      </x:c>
      <x:c r="U520" s="24" t="str">
        <x:f>IFERROR(VLOOKUP(I520,'07_字典与参数'!$G$5:$J$9,2,FALSE),"未入选")</x:f>
        <x:v>未入选</x:v>
      </x:c>
      <x:c r="V520" s="24" t="str">
        <x:f>IFERROR(VLOOKUP(I520,'07_字典与参数'!$G$5:$J$9,3,FALSE),"—")</x:f>
        <x:v>—</x:v>
      </x:c>
      <x:c r="W520" s="24" t="str">
        <x:f>IF(U520="未入选","否","是")</x:f>
        <x:v>否</x:v>
      </x:c>
    </x:row>
    <x:row r="521">
      <x:c r="A521" t="n">
        <x:v>202630</x:v>
      </x:c>
      <x:c r="B521" t="str">
        <x:v>第30期（07.27-08.02）</x:v>
      </x:c>
      <x:c r="C521" t="str">
        <x:v>2026-07-27</x:v>
      </x:c>
      <x:c r="D521" t="str">
        <x:v>2026-08-02</x:v>
      </x:c>
      <x:c r="E521" t="n">
        <x:v>117</x:v>
      </x:c>
      <x:c r="F521" t="n">
        <x:v>530494384</x:v>
      </x:c>
      <x:c r="G521" t="str">
        <x:v>青玉恋</x:v>
      </x:c>
      <x:c r="H521" t="str">
        <x:v>刘宇</x:v>
      </x:c>
      <x:c r="I521" t="str">
        <x:v>001Mlxo70U5jA2</x:v>
      </x:c>
      <x:c r="J521" t="str">
        <x:v>False</x:v>
      </x:c>
      <x:c r="K521" t="n">
        <x:v>101</x:v>
      </x:c>
      <x:c r="L521" t="n">
        <x:v>0</x:v>
      </x:c>
      <x:c r="M521" t="n">
        <x:v>0</x:v>
      </x:c>
      <x:c r="N521" t="n">
        <x:v>83.21933</x:v>
      </x:c>
      <x:c r="O521" t="n">
        <x:v>61.65</x:v>
      </x:c>
      <x:c r="P521" t="n">
        <x:v>0</x:v>
      </x:c>
      <x:c r="Q521" t="n">
        <x:v>0</x:v>
      </x:c>
      <x:c r="R521" t="n">
        <x:v>15.13</x:v>
      </x:c>
      <x:c r="S521" t="n">
        <x:v>53.55</x:v>
      </x:c>
      <x:c r="T521" t="str">
        <x:v>https://y.gtimg.cn/music/photo_new/T002R500x500M000003zREKb4gJGUF_1.jpg</x:v>
      </x:c>
      <x:c r="U521" s="24" t="str">
        <x:f>IFERROR(VLOOKUP(I521,'07_字典与参数'!$G$5:$J$9,2,FALSE),"未入选")</x:f>
        <x:v>未入选</x:v>
      </x:c>
      <x:c r="V521" s="24" t="str">
        <x:f>IFERROR(VLOOKUP(I521,'07_字典与参数'!$G$5:$J$9,3,FALSE),"—")</x:f>
        <x:v>—</x:v>
      </x:c>
      <x:c r="W521" s="24" t="str">
        <x:f>IF(U521="未入选","否","是")</x:f>
        <x:v>否</x:v>
      </x:c>
    </x:row>
    <x:row r="522">
      <x:c r="A522" t="n">
        <x:v>202630</x:v>
      </x:c>
      <x:c r="B522" t="str">
        <x:v>第30期（07.27-08.02）</x:v>
      </x:c>
      <x:c r="C522" t="str">
        <x:v>2026-07-27</x:v>
      </x:c>
      <x:c r="D522" t="str">
        <x:v>2026-08-02</x:v>
      </x:c>
      <x:c r="E522" t="n">
        <x:v>118</x:v>
      </x:c>
      <x:c r="F522" t="n">
        <x:v>532736134</x:v>
      </x:c>
      <x:c r="G522" t="str">
        <x:v>落红</x:v>
      </x:c>
      <x:c r="H522" t="str">
        <x:v>小阿七</x:v>
      </x:c>
      <x:c r="I522" t="str">
        <x:v>0012pg8z0WdFoc</x:v>
      </x:c>
      <x:c r="J522" t="str">
        <x:v>False</x:v>
      </x:c>
      <x:c r="K522" t="n">
        <x:v>0</x:v>
      </x:c>
      <x:c r="L522" t="n">
        <x:v>0</x:v>
      </x:c>
      <x:c r="M522" t="n">
        <x:v>0</x:v>
      </x:c>
      <x:c r="N522" t="n">
        <x:v>83.2093</x:v>
      </x:c>
      <x:c r="O522" t="n">
        <x:v>72.82</x:v>
      </x:c>
      <x:c r="P522" t="n">
        <x:v>0</x:v>
      </x:c>
      <x:c r="Q522" t="n">
        <x:v>0</x:v>
      </x:c>
      <x:c r="R522" t="n">
        <x:v>2.17</x:v>
      </x:c>
      <x:c r="S522" t="n">
        <x:v>5.52</x:v>
      </x:c>
      <x:c r="T522" t="str">
        <x:v>https://y.gtimg.cn/music/photo_new/T002R500x500M0000043Lzzg3QyYdw_1.jpg</x:v>
      </x:c>
      <x:c r="U522" s="24" t="str">
        <x:f>IFERROR(VLOOKUP(I522,'07_字典与参数'!$G$5:$J$9,2,FALSE),"未入选")</x:f>
        <x:v>未入选</x:v>
      </x:c>
      <x:c r="V522" s="24" t="str">
        <x:f>IFERROR(VLOOKUP(I522,'07_字典与参数'!$G$5:$J$9,3,FALSE),"—")</x:f>
        <x:v>—</x:v>
      </x:c>
      <x:c r="W522" s="24" t="str">
        <x:f>IF(U522="未入选","否","是")</x:f>
        <x:v>否</x:v>
      </x:c>
    </x:row>
    <x:row r="523">
      <x:c r="A523" t="n">
        <x:v>202630</x:v>
      </x:c>
      <x:c r="B523" t="str">
        <x:v>第30期（07.27-08.02）</x:v>
      </x:c>
      <x:c r="C523" t="str">
        <x:v>2026-07-27</x:v>
      </x:c>
      <x:c r="D523" t="str">
        <x:v>2026-08-02</x:v>
      </x:c>
      <x:c r="E523" t="n">
        <x:v>119</x:v>
      </x:c>
      <x:c r="F523" t="n">
        <x:v>522467069</x:v>
      </x:c>
      <x:c r="G523" t="str">
        <x:v>太阳</x:v>
      </x:c>
      <x:c r="H523" t="str">
        <x:v>张艺兴</x:v>
      </x:c>
      <x:c r="I523" t="str">
        <x:v>001Uoqxt4SYZNY</x:v>
      </x:c>
      <x:c r="J523" t="str">
        <x:v>False</x:v>
      </x:c>
      <x:c r="K523" t="n">
        <x:v>69</x:v>
      </x:c>
      <x:c r="L523" t="n">
        <x:v>0</x:v>
      </x:c>
      <x:c r="M523" t="n">
        <x:v>0</x:v>
      </x:c>
      <x:c r="N523" t="n">
        <x:v>83.19724</x:v>
      </x:c>
      <x:c r="O523" t="n">
        <x:v>61.98</x:v>
      </x:c>
      <x:c r="P523" t="n">
        <x:v>0</x:v>
      </x:c>
      <x:c r="Q523" t="n">
        <x:v>0</x:v>
      </x:c>
      <x:c r="R523" t="n">
        <x:v>48.64</x:v>
      </x:c>
      <x:c r="S523" t="n">
        <x:v>42.62</x:v>
      </x:c>
      <x:c r="T523" t="str">
        <x:v>https://y.gtimg.cn/music/photo_new/T002R500x500M000001w138z3PZEcz_1.jpg</x:v>
      </x:c>
      <x:c r="U523" s="24" t="str">
        <x:f>IFERROR(VLOOKUP(I523,'07_字典与参数'!$G$5:$J$9,2,FALSE),"未入选")</x:f>
        <x:v>未入选</x:v>
      </x:c>
      <x:c r="V523" s="24" t="str">
        <x:f>IFERROR(VLOOKUP(I523,'07_字典与参数'!$G$5:$J$9,3,FALSE),"—")</x:f>
        <x:v>—</x:v>
      </x:c>
      <x:c r="W523" s="24" t="str">
        <x:f>IF(U523="未入选","否","是")</x:f>
        <x:v>否</x:v>
      </x:c>
    </x:row>
    <x:row r="524">
      <x:c r="A524" t="n">
        <x:v>202630</x:v>
      </x:c>
      <x:c r="B524" t="str">
        <x:v>第30期（07.27-08.02）</x:v>
      </x:c>
      <x:c r="C524" t="str">
        <x:v>2026-07-27</x:v>
      </x:c>
      <x:c r="D524" t="str">
        <x:v>2026-08-02</x:v>
      </x:c>
      <x:c r="E524" t="n">
        <x:v>120</x:v>
      </x:c>
      <x:c r="F524" t="n">
        <x:v>524521641</x:v>
      </x:c>
      <x:c r="G524" t="str">
        <x:v>漫游</x:v>
      </x:c>
      <x:c r="H524" t="str">
        <x:v>黄子弘凡</x:v>
      </x:c>
      <x:c r="I524" t="str">
        <x:v>0009xPxG0R6G9c</x:v>
      </x:c>
      <x:c r="J524" t="str">
        <x:v>False</x:v>
      </x:c>
      <x:c r="K524" t="n">
        <x:v>116</x:v>
      </x:c>
      <x:c r="L524" t="n">
        <x:v>0</x:v>
      </x:c>
      <x:c r="M524" t="n">
        <x:v>0</x:v>
      </x:c>
      <x:c r="N524" t="n">
        <x:v>83.05107</x:v>
      </x:c>
      <x:c r="O524" t="n">
        <x:v>65.27</x:v>
      </x:c>
      <x:c r="P524" t="n">
        <x:v>0</x:v>
      </x:c>
      <x:c r="Q524" t="n">
        <x:v>0</x:v>
      </x:c>
      <x:c r="R524" t="n">
        <x:v>8.66</x:v>
      </x:c>
      <x:c r="S524" t="n">
        <x:v>51.24</x:v>
      </x:c>
      <x:c r="T524" t="str">
        <x:v>https://y.qq.com/music/photo_new/T062R500x500M0000011NdbQ2F154j.jpg</x:v>
      </x:c>
      <x:c r="U524" s="24" t="str">
        <x:f>IFERROR(VLOOKUP(I524,'07_字典与参数'!$G$5:$J$9,2,FALSE),"未入选")</x:f>
        <x:v>未入选</x:v>
      </x:c>
      <x:c r="V524" s="24" t="str">
        <x:f>IFERROR(VLOOKUP(I524,'07_字典与参数'!$G$5:$J$9,3,FALSE),"—")</x:f>
        <x:v>—</x:v>
      </x:c>
      <x:c r="W524" s="24" t="str">
        <x:f>IF(U524="未入选","否","是")</x:f>
        <x:v>否</x:v>
      </x:c>
    </x:row>
    <x:row r="525">
      <x:c r="A525" t="n">
        <x:v>202630</x:v>
      </x:c>
      <x:c r="B525" t="str">
        <x:v>第30期（07.27-08.02）</x:v>
      </x:c>
      <x:c r="C525" t="str">
        <x:v>2026-07-27</x:v>
      </x:c>
      <x:c r="D525" t="str">
        <x:v>2026-08-02</x:v>
      </x:c>
      <x:c r="E525" t="n">
        <x:v>121</x:v>
      </x:c>
      <x:c r="F525" t="n">
        <x:v>491996814</x:v>
      </x:c>
      <x:c r="G525" t="str">
        <x:v>本末</x:v>
      </x:c>
      <x:c r="H525" t="str">
        <x:v>任素汐</x:v>
      </x:c>
      <x:c r="I525" t="str">
        <x:v>001sTnpM1Kw5aa</x:v>
      </x:c>
      <x:c r="J525" t="str">
        <x:v>False</x:v>
      </x:c>
      <x:c r="K525" t="n">
        <x:v>134</x:v>
      </x:c>
      <x:c r="L525" t="n">
        <x:v>0</x:v>
      </x:c>
      <x:c r="M525" t="n">
        <x:v>0</x:v>
      </x:c>
      <x:c r="N525" t="n">
        <x:v>82.91615</x:v>
      </x:c>
      <x:c r="O525" t="n">
        <x:v>71.49</x:v>
      </x:c>
      <x:c r="P525" t="n">
        <x:v>0</x:v>
      </x:c>
      <x:c r="Q525" t="n">
        <x:v>0</x:v>
      </x:c>
      <x:c r="R525" t="n">
        <x:v>8.06</x:v>
      </x:c>
      <x:c r="S525" t="n">
        <x:v>40.25</x:v>
      </x:c>
      <x:c r="T525" t="str">
        <x:v>https://y.gtimg.cn/music/photo_new/T002R500x500M0000033vNiW2uLR2S_1.jpg</x:v>
      </x:c>
      <x:c r="U525" s="24" t="str">
        <x:f>IFERROR(VLOOKUP(I525,'07_字典与参数'!$G$5:$J$9,2,FALSE),"未入选")</x:f>
        <x:v>未入选</x:v>
      </x:c>
      <x:c r="V525" s="24" t="str">
        <x:f>IFERROR(VLOOKUP(I525,'07_字典与参数'!$G$5:$J$9,3,FALSE),"—")</x:f>
        <x:v>—</x:v>
      </x:c>
      <x:c r="W525" s="24" t="str">
        <x:f>IF(U525="未入选","否","是")</x:f>
        <x:v>否</x:v>
      </x:c>
    </x:row>
    <x:row r="526">
      <x:c r="A526" t="n">
        <x:v>202630</x:v>
      </x:c>
      <x:c r="B526" t="str">
        <x:v>第30期（07.27-08.02）</x:v>
      </x:c>
      <x:c r="C526" t="str">
        <x:v>2026-07-27</x:v>
      </x:c>
      <x:c r="D526" t="str">
        <x:v>2026-08-02</x:v>
      </x:c>
      <x:c r="E526" t="n">
        <x:v>122</x:v>
      </x:c>
      <x:c r="F526" t="n">
        <x:v>535934576</x:v>
      </x:c>
      <x:c r="G526" t="str">
        <x:v>奔赴超无限</x:v>
      </x:c>
      <x:c r="H526" t="str">
        <x:v>周深,北京环球度假区</x:v>
      </x:c>
      <x:c r="I526" t="str">
        <x:v>002sjXkp1KKKUX</x:v>
      </x:c>
      <x:c r="J526" t="str">
        <x:v>False</x:v>
      </x:c>
      <x:c r="K526" t="n">
        <x:v>0</x:v>
      </x:c>
      <x:c r="L526" t="n">
        <x:v>0</x:v>
      </x:c>
      <x:c r="M526" t="n">
        <x:v>0</x:v>
      </x:c>
      <x:c r="N526" t="n">
        <x:v>82.76577</x:v>
      </x:c>
      <x:c r="O526" t="n">
        <x:v>61.79</x:v>
      </x:c>
      <x:c r="P526" t="n">
        <x:v>0</x:v>
      </x:c>
      <x:c r="Q526" t="n">
        <x:v>0</x:v>
      </x:c>
      <x:c r="R526" t="n">
        <x:v>0.84</x:v>
      </x:c>
      <x:c r="S526" t="n">
        <x:v>53.31</x:v>
      </x:c>
      <x:c r="T526" t="str">
        <x:v>https://y.gtimg.cn/music/photo_new/T002R500x500M000004T2U7i3TrVFC_2.jpg</x:v>
      </x:c>
      <x:c r="U526" s="24" t="n">
        <x:f>IFERROR(VLOOKUP(I526,'07_字典与参数'!$G$5:$J$9,2,FALSE),"未入选")</x:f>
        <x:v>67</x:v>
      </x:c>
      <x:c r="V526" s="24" t="str">
        <x:f>IFERROR(VLOOKUP(I526,'07_字典与参数'!$G$5:$J$9,3,FALSE),"—")</x:f>
        <x:v>奔赴超无限</x:v>
      </x:c>
      <x:c r="W526" s="24" t="str">
        <x:f>IF(U526="未入选","否","是")</x:f>
        <x:v>是</x:v>
      </x:c>
    </x:row>
    <x:row r="527">
      <x:c r="A527" t="n">
        <x:v>202630</x:v>
      </x:c>
      <x:c r="B527" t="str">
        <x:v>第30期（07.27-08.02）</x:v>
      </x:c>
      <x:c r="C527" t="str">
        <x:v>2026-07-27</x:v>
      </x:c>
      <x:c r="D527" t="str">
        <x:v>2026-08-02</x:v>
      </x:c>
      <x:c r="E527" t="n">
        <x:v>123</x:v>
      </x:c>
      <x:c r="F527" t="n">
        <x:v>516975210</x:v>
      </x:c>
      <x:c r="G527" t="str">
        <x:v>千香</x:v>
      </x:c>
      <x:c r="H527" t="str">
        <x:v>周深</x:v>
      </x:c>
      <x:c r="I527" t="str">
        <x:v>004Uik3G0sMdUW</x:v>
      </x:c>
      <x:c r="J527" t="str">
        <x:v>False</x:v>
      </x:c>
      <x:c r="K527" t="n">
        <x:v>110</x:v>
      </x:c>
      <x:c r="L527" t="n">
        <x:v>0</x:v>
      </x:c>
      <x:c r="M527" t="n">
        <x:v>0</x:v>
      </x:c>
      <x:c r="N527" t="n">
        <x:v>82.52514</x:v>
      </x:c>
      <x:c r="O527" t="n">
        <x:v>66.97</x:v>
      </x:c>
      <x:c r="P527" t="n">
        <x:v>0</x:v>
      </x:c>
      <x:c r="Q527" t="n">
        <x:v>0</x:v>
      </x:c>
      <x:c r="R527" t="n">
        <x:v>11</x:v>
      </x:c>
      <x:c r="S527" t="n">
        <x:v>47.99</x:v>
      </x:c>
      <x:c r="T527" t="str">
        <x:v>https://y.qq.com/music/photo_new/T062R500x500M000001xCpOz3ARHzs.jpg</x:v>
      </x:c>
      <x:c r="U527" s="24" t="str">
        <x:f>IFERROR(VLOOKUP(I527,'07_字典与参数'!$G$5:$J$9,2,FALSE),"未入选")</x:f>
        <x:v>未入选</x:v>
      </x:c>
      <x:c r="V527" s="24" t="str">
        <x:f>IFERROR(VLOOKUP(I527,'07_字典与参数'!$G$5:$J$9,3,FALSE),"—")</x:f>
        <x:v>—</x:v>
      </x:c>
      <x:c r="W527" s="24" t="str">
        <x:f>IF(U527="未入选","否","是")</x:f>
        <x:v>否</x:v>
      </x:c>
    </x:row>
    <x:row r="528">
      <x:c r="A528" t="n">
        <x:v>202630</x:v>
      </x:c>
      <x:c r="B528" t="str">
        <x:v>第30期（07.27-08.02）</x:v>
      </x:c>
      <x:c r="C528" t="str">
        <x:v>2026-07-27</x:v>
      </x:c>
      <x:c r="D528" t="str">
        <x:v>2026-08-02</x:v>
      </x:c>
      <x:c r="E528" t="n">
        <x:v>124</x:v>
      </x:c>
      <x:c r="F528" t="n">
        <x:v>507703039</x:v>
      </x:c>
      <x:c r="G528" t="str">
        <x:v>也许在下雨天 (眼泪才不被看见)</x:v>
      </x:c>
      <x:c r="H528" t="str">
        <x:v>何遇Hayu,Crybird</x:v>
      </x:c>
      <x:c r="I528" t="str">
        <x:v>003hjJ9O4AiBl9</x:v>
      </x:c>
      <x:c r="J528" t="str">
        <x:v>False</x:v>
      </x:c>
      <x:c r="K528" t="n">
        <x:v>131</x:v>
      </x:c>
      <x:c r="L528" t="n">
        <x:v>0</x:v>
      </x:c>
      <x:c r="M528" t="n">
        <x:v>0</x:v>
      </x:c>
      <x:c r="N528" t="n">
        <x:v>82.48393</x:v>
      </x:c>
      <x:c r="O528" t="n">
        <x:v>71.22</x:v>
      </x:c>
      <x:c r="P528" t="n">
        <x:v>0</x:v>
      </x:c>
      <x:c r="Q528" t="n">
        <x:v>0</x:v>
      </x:c>
      <x:c r="R528" t="n">
        <x:v>19.13</x:v>
      </x:c>
      <x:c r="S528" t="n">
        <x:v>30.5</x:v>
      </x:c>
      <x:c r="T528" t="str">
        <x:v>https://y.gtimg.cn/music/photo_new/T002R500x500M000001xNQMK1OvExE_2.jpg</x:v>
      </x:c>
      <x:c r="U528" s="24" t="str">
        <x:f>IFERROR(VLOOKUP(I528,'07_字典与参数'!$G$5:$J$9,2,FALSE),"未入选")</x:f>
        <x:v>未入选</x:v>
      </x:c>
      <x:c r="V528" s="24" t="str">
        <x:f>IFERROR(VLOOKUP(I528,'07_字典与参数'!$G$5:$J$9,3,FALSE),"—")</x:f>
        <x:v>—</x:v>
      </x:c>
      <x:c r="W528" s="24" t="str">
        <x:f>IF(U528="未入选","否","是")</x:f>
        <x:v>否</x:v>
      </x:c>
    </x:row>
    <x:row r="529">
      <x:c r="A529" t="n">
        <x:v>202630</x:v>
      </x:c>
      <x:c r="B529" t="str">
        <x:v>第30期（07.27-08.02）</x:v>
      </x:c>
      <x:c r="C529" t="str">
        <x:v>2026-07-27</x:v>
      </x:c>
      <x:c r="D529" t="str">
        <x:v>2026-08-02</x:v>
      </x:c>
      <x:c r="E529" t="n">
        <x:v>125</x:v>
      </x:c>
      <x:c r="F529" t="n">
        <x:v>522436398</x:v>
      </x:c>
      <x:c r="G529" t="str">
        <x:v>斗战胜佛</x:v>
      </x:c>
      <x:c r="H529" t="str">
        <x:v>张艺兴</x:v>
      </x:c>
      <x:c r="I529" t="str">
        <x:v>0031lecC265Cw1</x:v>
      </x:c>
      <x:c r="J529" t="str">
        <x:v>False</x:v>
      </x:c>
      <x:c r="K529" t="n">
        <x:v>100</x:v>
      </x:c>
      <x:c r="L529" t="n">
        <x:v>0</x:v>
      </x:c>
      <x:c r="M529" t="n">
        <x:v>0</x:v>
      </x:c>
      <x:c r="N529" t="n">
        <x:v>82.48328</x:v>
      </x:c>
      <x:c r="O529" t="n">
        <x:v>61.19</x:v>
      </x:c>
      <x:c r="P529" t="n">
        <x:v>0</x:v>
      </x:c>
      <x:c r="Q529" t="n">
        <x:v>0</x:v>
      </x:c>
      <x:c r="R529" t="n">
        <x:v>46.65</x:v>
      </x:c>
      <x:c r="S529" t="n">
        <x:v>42.49</x:v>
      </x:c>
      <x:c r="T529" t="str">
        <x:v>https://y.gtimg.cn/music/photo_new/T002R500x500M000001w138z3PZEcz_1.jpg</x:v>
      </x:c>
      <x:c r="U529" s="24" t="str">
        <x:f>IFERROR(VLOOKUP(I529,'07_字典与参数'!$G$5:$J$9,2,FALSE),"未入选")</x:f>
        <x:v>未入选</x:v>
      </x:c>
      <x:c r="V529" s="24" t="str">
        <x:f>IFERROR(VLOOKUP(I529,'07_字典与参数'!$G$5:$J$9,3,FALSE),"—")</x:f>
        <x:v>—</x:v>
      </x:c>
      <x:c r="W529" s="24" t="str">
        <x:f>IF(U529="未入选","否","是")</x:f>
        <x:v>否</x:v>
      </x:c>
    </x:row>
    <x:row r="530">
      <x:c r="A530" t="n">
        <x:v>202630</x:v>
      </x:c>
      <x:c r="B530" t="str">
        <x:v>第30期（07.27-08.02）</x:v>
      </x:c>
      <x:c r="C530" t="str">
        <x:v>2026-07-27</x:v>
      </x:c>
      <x:c r="D530" t="str">
        <x:v>2026-08-02</x:v>
      </x:c>
      <x:c r="E530" t="n">
        <x:v>126</x:v>
      </x:c>
      <x:c r="F530" t="n">
        <x:v>513694963</x:v>
      </x:c>
      <x:c r="G530" t="str">
        <x:v>爱你是我的秘密</x:v>
      </x:c>
      <x:c r="H530" t="str">
        <x:v>庄淇玟29</x:v>
      </x:c>
      <x:c r="I530" t="str">
        <x:v>000fQYli0zRiOx</x:v>
      </x:c>
      <x:c r="J530" t="str">
        <x:v>False</x:v>
      </x:c>
      <x:c r="K530" t="n">
        <x:v>154</x:v>
      </x:c>
      <x:c r="L530" t="n">
        <x:v>0</x:v>
      </x:c>
      <x:c r="M530" t="n">
        <x:v>0</x:v>
      </x:c>
      <x:c r="N530" t="n">
        <x:v>82.46911</x:v>
      </x:c>
      <x:c r="O530" t="n">
        <x:v>71.33</x:v>
      </x:c>
      <x:c r="P530" t="n">
        <x:v>0</x:v>
      </x:c>
      <x:c r="Q530" t="n">
        <x:v>0</x:v>
      </x:c>
      <x:c r="R530" t="n">
        <x:v>5.14</x:v>
      </x:c>
      <x:c r="S530" t="n">
        <x:v>36.39</x:v>
      </x:c>
      <x:c r="T530" t="str">
        <x:v>https://y.gtimg.cn/music/photo_new/T002R500x500M000003Wra153uFebP_1.jpg</x:v>
      </x:c>
      <x:c r="U530" s="24" t="str">
        <x:f>IFERROR(VLOOKUP(I530,'07_字典与参数'!$G$5:$J$9,2,FALSE),"未入选")</x:f>
        <x:v>未入选</x:v>
      </x:c>
      <x:c r="V530" s="24" t="str">
        <x:f>IFERROR(VLOOKUP(I530,'07_字典与参数'!$G$5:$J$9,3,FALSE),"—")</x:f>
        <x:v>—</x:v>
      </x:c>
      <x:c r="W530" s="24" t="str">
        <x:f>IF(U530="未入选","否","是")</x:f>
        <x:v>否</x:v>
      </x:c>
    </x:row>
    <x:row r="531">
      <x:c r="A531" t="n">
        <x:v>202630</x:v>
      </x:c>
      <x:c r="B531" t="str">
        <x:v>第30期（07.27-08.02）</x:v>
      </x:c>
      <x:c r="C531" t="str">
        <x:v>2026-07-27</x:v>
      </x:c>
      <x:c r="D531" t="str">
        <x:v>2026-08-02</x:v>
      </x:c>
      <x:c r="E531" t="n">
        <x:v>127</x:v>
      </x:c>
      <x:c r="F531" t="n">
        <x:v>513183119</x:v>
      </x:c>
      <x:c r="G531" t="str">
        <x:v>心安之地</x:v>
      </x:c>
      <x:c r="H531" t="str">
        <x:v>许嵩</x:v>
      </x:c>
      <x:c r="I531" t="str">
        <x:v>000h1psW2HN90S</x:v>
      </x:c>
      <x:c r="J531" t="str">
        <x:v>False</x:v>
      </x:c>
      <x:c r="K531" t="n">
        <x:v>130</x:v>
      </x:c>
      <x:c r="L531" t="n">
        <x:v>0</x:v>
      </x:c>
      <x:c r="M531" t="n">
        <x:v>0</x:v>
      </x:c>
      <x:c r="N531" t="n">
        <x:v>82.38337</x:v>
      </x:c>
      <x:c r="O531" t="n">
        <x:v>70.26</x:v>
      </x:c>
      <x:c r="P531" t="n">
        <x:v>0</x:v>
      </x:c>
      <x:c r="Q531" t="n">
        <x:v>0</x:v>
      </x:c>
      <x:c r="R531" t="n">
        <x:v>10.25</x:v>
      </x:c>
      <x:c r="S531" t="n">
        <x:v>42.62</x:v>
      </x:c>
      <x:c r="T531" t="str">
        <x:v>https://y.gtimg.cn/music/photo_new/T002R500x500M000001Oqn952HAPRk_1.jpg</x:v>
      </x:c>
      <x:c r="U531" s="24" t="str">
        <x:f>IFERROR(VLOOKUP(I531,'07_字典与参数'!$G$5:$J$9,2,FALSE),"未入选")</x:f>
        <x:v>未入选</x:v>
      </x:c>
      <x:c r="V531" s="24" t="str">
        <x:f>IFERROR(VLOOKUP(I531,'07_字典与参数'!$G$5:$J$9,3,FALSE),"—")</x:f>
        <x:v>—</x:v>
      </x:c>
      <x:c r="W531" s="24" t="str">
        <x:f>IF(U531="未入选","否","是")</x:f>
        <x:v>否</x:v>
      </x:c>
    </x:row>
    <x:row r="532">
      <x:c r="A532" t="n">
        <x:v>202630</x:v>
      </x:c>
      <x:c r="B532" t="str">
        <x:v>第30期（07.27-08.02）</x:v>
      </x:c>
      <x:c r="C532" t="str">
        <x:v>2026-07-27</x:v>
      </x:c>
      <x:c r="D532" t="str">
        <x:v>2026-08-02</x:v>
      </x:c>
      <x:c r="E532" t="n">
        <x:v>128</x:v>
      </x:c>
      <x:c r="F532" t="n">
        <x:v>524048324</x:v>
      </x:c>
      <x:c r="G532" t="str">
        <x:v>香烟与吻痕 (我在月光下许过情真)</x:v>
      </x:c>
      <x:c r="H532" t="str">
        <x:v>黄龄</x:v>
      </x:c>
      <x:c r="I532" t="str">
        <x:v>002L0ilt0Sk1xo</x:v>
      </x:c>
      <x:c r="J532" t="str">
        <x:v>False</x:v>
      </x:c>
      <x:c r="K532" t="n">
        <x:v>112</x:v>
      </x:c>
      <x:c r="L532" t="n">
        <x:v>0</x:v>
      </x:c>
      <x:c r="M532" t="n">
        <x:v>0</x:v>
      </x:c>
      <x:c r="N532" t="n">
        <x:v>82.12929</x:v>
      </x:c>
      <x:c r="O532" t="n">
        <x:v>71.56</x:v>
      </x:c>
      <x:c r="P532" t="n">
        <x:v>0</x:v>
      </x:c>
      <x:c r="Q532" t="n">
        <x:v>0</x:v>
      </x:c>
      <x:c r="R532" t="n">
        <x:v>2.94</x:v>
      </x:c>
      <x:c r="S532" t="n">
        <x:v>18.13</x:v>
      </x:c>
      <x:c r="T532" t="str">
        <x:v>https://y.gtimg.cn/music/photo_new/T002R500x500M000001k5VY01qCYXb_1.jpg</x:v>
      </x:c>
      <x:c r="U532" s="24" t="str">
        <x:f>IFERROR(VLOOKUP(I532,'07_字典与参数'!$G$5:$J$9,2,FALSE),"未入选")</x:f>
        <x:v>未入选</x:v>
      </x:c>
      <x:c r="V532" s="24" t="str">
        <x:f>IFERROR(VLOOKUP(I532,'07_字典与参数'!$G$5:$J$9,3,FALSE),"—")</x:f>
        <x:v>—</x:v>
      </x:c>
      <x:c r="W532" s="24" t="str">
        <x:f>IF(U532="未入选","否","是")</x:f>
        <x:v>否</x:v>
      </x:c>
    </x:row>
    <x:row r="533">
      <x:c r="A533" t="n">
        <x:v>202630</x:v>
      </x:c>
      <x:c r="B533" t="str">
        <x:v>第30期（07.27-08.02）</x:v>
      </x:c>
      <x:c r="C533" t="str">
        <x:v>2026-07-27</x:v>
      </x:c>
      <x:c r="D533" t="str">
        <x:v>2026-08-02</x:v>
      </x:c>
      <x:c r="E533" t="n">
        <x:v>129</x:v>
      </x:c>
      <x:c r="F533" t="n">
        <x:v>533456646</x:v>
      </x:c>
      <x:c r="G533" t="str">
        <x:v>Cold Blooded</x:v>
      </x:c>
      <x:c r="H533" t="str">
        <x:v>严浩翔</x:v>
      </x:c>
      <x:c r="I533" t="str">
        <x:v>00061EFa3uGj8q</x:v>
      </x:c>
      <x:c r="J533" t="str">
        <x:v>False</x:v>
      </x:c>
      <x:c r="K533" t="n">
        <x:v>10</x:v>
      </x:c>
      <x:c r="L533" t="n">
        <x:v>0</x:v>
      </x:c>
      <x:c r="M533" t="n">
        <x:v>0</x:v>
      </x:c>
      <x:c r="N533" t="n">
        <x:v>82.11986</x:v>
      </x:c>
      <x:c r="O533" t="n">
        <x:v>62.15</x:v>
      </x:c>
      <x:c r="P533" t="n">
        <x:v>0</x:v>
      </x:c>
      <x:c r="Q533" t="n">
        <x:v>0</x:v>
      </x:c>
      <x:c r="R533" t="n">
        <x:v>38.25</x:v>
      </x:c>
      <x:c r="S533" t="n">
        <x:v>46.11</x:v>
      </x:c>
      <x:c r="T533" t="str">
        <x:v>https://y.qq.com/music/photo_new/T062R500x500M000003A2OO61lP2bU.jpg</x:v>
      </x:c>
      <x:c r="U533" s="24" t="str">
        <x:f>IFERROR(VLOOKUP(I533,'07_字典与参数'!$G$5:$J$9,2,FALSE),"未入选")</x:f>
        <x:v>未入选</x:v>
      </x:c>
      <x:c r="V533" s="24" t="str">
        <x:f>IFERROR(VLOOKUP(I533,'07_字典与参数'!$G$5:$J$9,3,FALSE),"—")</x:f>
        <x:v>—</x:v>
      </x:c>
      <x:c r="W533" s="24" t="str">
        <x:f>IF(U533="未入选","否","是")</x:f>
        <x:v>否</x:v>
      </x:c>
    </x:row>
    <x:row r="534">
      <x:c r="A534" t="n">
        <x:v>202630</x:v>
      </x:c>
      <x:c r="B534" t="str">
        <x:v>第30期（07.27-08.02）</x:v>
      </x:c>
      <x:c r="C534" t="str">
        <x:v>2026-07-27</x:v>
      </x:c>
      <x:c r="D534" t="str">
        <x:v>2026-08-02</x:v>
      </x:c>
      <x:c r="E534" t="n">
        <x:v>130</x:v>
      </x:c>
      <x:c r="F534" t="n">
        <x:v>513183075</x:v>
      </x:c>
      <x:c r="G534" t="str">
        <x:v>一见如故</x:v>
      </x:c>
      <x:c r="H534" t="str">
        <x:v>许嵩</x:v>
      </x:c>
      <x:c r="I534" t="str">
        <x:v>002ioSAK2ftAqy</x:v>
      </x:c>
      <x:c r="J534" t="str">
        <x:v>False</x:v>
      </x:c>
      <x:c r="K534" t="n">
        <x:v>127</x:v>
      </x:c>
      <x:c r="L534" t="n">
        <x:v>0</x:v>
      </x:c>
      <x:c r="M534" t="n">
        <x:v>0</x:v>
      </x:c>
      <x:c r="N534" t="n">
        <x:v>82.06138</x:v>
      </x:c>
      <x:c r="O534" t="n">
        <x:v>70.37</x:v>
      </x:c>
      <x:c r="P534" t="n">
        <x:v>0</x:v>
      </x:c>
      <x:c r="Q534" t="n">
        <x:v>0</x:v>
      </x:c>
      <x:c r="R534" t="n">
        <x:v>7.75</x:v>
      </x:c>
      <x:c r="S534" t="n">
        <x:v>41.2</x:v>
      </x:c>
      <x:c r="T534" t="str">
        <x:v>https://y.gtimg.cn/music/photo_new/T002R500x500M000001Oqn952HAPRk_1.jpg</x:v>
      </x:c>
      <x:c r="U534" s="24" t="str">
        <x:f>IFERROR(VLOOKUP(I534,'07_字典与参数'!$G$5:$J$9,2,FALSE),"未入选")</x:f>
        <x:v>未入选</x:v>
      </x:c>
      <x:c r="V534" s="24" t="str">
        <x:f>IFERROR(VLOOKUP(I534,'07_字典与参数'!$G$5:$J$9,3,FALSE),"—")</x:f>
        <x:v>—</x:v>
      </x:c>
      <x:c r="W534" s="24" t="str">
        <x:f>IF(U534="未入选","否","是")</x:f>
        <x:v>否</x:v>
      </x:c>
    </x:row>
    <x:row r="535">
      <x:c r="A535" t="n">
        <x:v>202630</x:v>
      </x:c>
      <x:c r="B535" t="str">
        <x:v>第30期（07.27-08.02）</x:v>
      </x:c>
      <x:c r="C535" t="str">
        <x:v>2026-07-27</x:v>
      </x:c>
      <x:c r="D535" t="str">
        <x:v>2026-08-02</x:v>
      </x:c>
      <x:c r="E535" t="n">
        <x:v>131</x:v>
      </x:c>
      <x:c r="F535" t="n">
        <x:v>513252814</x:v>
      </x:c>
      <x:c r="G535" t="str">
        <x:v>听风捎来旧时谣</x:v>
      </x:c>
      <x:c r="H535" t="str">
        <x:v>窝窝</x:v>
      </x:c>
      <x:c r="I535" t="str">
        <x:v>003lVp7c31DlFR</x:v>
      </x:c>
      <x:c r="J535" t="str">
        <x:v>False</x:v>
      </x:c>
      <x:c r="K535" t="n">
        <x:v>0</x:v>
      </x:c>
      <x:c r="L535" t="n">
        <x:v>0</x:v>
      </x:c>
      <x:c r="M535" t="n">
        <x:v>0</x:v>
      </x:c>
      <x:c r="N535" t="n">
        <x:v>81.99178</x:v>
      </x:c>
      <x:c r="O535" t="n">
        <x:v>71.11</x:v>
      </x:c>
      <x:c r="P535" t="n">
        <x:v>0</x:v>
      </x:c>
      <x:c r="Q535" t="n">
        <x:v>0</x:v>
      </x:c>
      <x:c r="R535" t="n">
        <x:v>8.05</x:v>
      </x:c>
      <x:c r="S535" t="n">
        <x:v>26.74</x:v>
      </x:c>
      <x:c r="T535" t="str">
        <x:v>https://y.gtimg.cn/music/photo_new/T002R500x500M000003JfOV41U5Mjq_2.jpg</x:v>
      </x:c>
      <x:c r="U535" s="24" t="str">
        <x:f>IFERROR(VLOOKUP(I535,'07_字典与参数'!$G$5:$J$9,2,FALSE),"未入选")</x:f>
        <x:v>未入选</x:v>
      </x:c>
      <x:c r="V535" s="24" t="str">
        <x:f>IFERROR(VLOOKUP(I535,'07_字典与参数'!$G$5:$J$9,3,FALSE),"—")</x:f>
        <x:v>—</x:v>
      </x:c>
      <x:c r="W535" s="24" t="str">
        <x:f>IF(U535="未入选","否","是")</x:f>
        <x:v>否</x:v>
      </x:c>
    </x:row>
    <x:row r="536">
      <x:c r="A536" t="n">
        <x:v>202630</x:v>
      </x:c>
      <x:c r="B536" t="str">
        <x:v>第30期（07.27-08.02）</x:v>
      </x:c>
      <x:c r="C536" t="str">
        <x:v>2026-07-27</x:v>
      </x:c>
      <x:c r="D536" t="str">
        <x:v>2026-08-02</x:v>
      </x:c>
      <x:c r="E536" t="n">
        <x:v>132</x:v>
      </x:c>
      <x:c r="F536" t="n">
        <x:v>535567756</x:v>
      </x:c>
      <x:c r="G536" t="str">
        <x:v>深深浅浅悟人生</x:v>
      </x:c>
      <x:c r="H536" t="str">
        <x:v>河南三妹5233</x:v>
      </x:c>
      <x:c r="I536" t="str">
        <x:v>003dAYN84IsVN0</x:v>
      </x:c>
      <x:c r="J536" t="str">
        <x:v>False</x:v>
      </x:c>
      <x:c r="K536" t="n">
        <x:v>0</x:v>
      </x:c>
      <x:c r="L536" t="n">
        <x:v>0</x:v>
      </x:c>
      <x:c r="M536" t="n">
        <x:v>0</x:v>
      </x:c>
      <x:c r="N536" t="n">
        <x:v>81.9367</x:v>
      </x:c>
      <x:c r="O536" t="n">
        <x:v>70.39</x:v>
      </x:c>
      <x:c r="P536" t="n">
        <x:v>0</x:v>
      </x:c>
      <x:c r="Q536" t="n">
        <x:v>0</x:v>
      </x:c>
      <x:c r="R536" t="n">
        <x:v>18.54</x:v>
      </x:c>
      <x:c r="S536" t="n">
        <x:v>37.09</x:v>
      </x:c>
      <x:c r="T536" t="str">
        <x:v>https://y.gtimg.cn/music/photo_new/T002R500x500M000001sfxDl2IEcbO_1.jpg</x:v>
      </x:c>
      <x:c r="U536" s="24" t="str">
        <x:f>IFERROR(VLOOKUP(I536,'07_字典与参数'!$G$5:$J$9,2,FALSE),"未入选")</x:f>
        <x:v>未入选</x:v>
      </x:c>
      <x:c r="V536" s="24" t="str">
        <x:f>IFERROR(VLOOKUP(I536,'07_字典与参数'!$G$5:$J$9,3,FALSE),"—")</x:f>
        <x:v>—</x:v>
      </x:c>
      <x:c r="W536" s="24" t="str">
        <x:f>IF(U536="未入选","否","是")</x:f>
        <x:v>否</x:v>
      </x:c>
    </x:row>
    <x:row r="537">
      <x:c r="A537" t="n">
        <x:v>202630</x:v>
      </x:c>
      <x:c r="B537" t="str">
        <x:v>第30期（07.27-08.02）</x:v>
      </x:c>
      <x:c r="C537" t="str">
        <x:v>2026-07-27</x:v>
      </x:c>
      <x:c r="D537" t="str">
        <x:v>2026-08-02</x:v>
      </x:c>
      <x:c r="E537" t="n">
        <x:v>133</x:v>
      </x:c>
      <x:c r="F537" t="n">
        <x:v>534818034</x:v>
      </x:c>
      <x:c r="G537" t="str">
        <x:v>You Are</x:v>
      </x:c>
      <x:c r="H537" t="str">
        <x:v>李昊</x:v>
      </x:c>
      <x:c r="I537" t="str">
        <x:v>001N0S822t5ClO</x:v>
      </x:c>
      <x:c r="J537" t="str">
        <x:v>False</x:v>
      </x:c>
      <x:c r="K537" t="n">
        <x:v>0</x:v>
      </x:c>
      <x:c r="L537" t="n">
        <x:v>0</x:v>
      </x:c>
      <x:c r="M537" t="n">
        <x:v>0</x:v>
      </x:c>
      <x:c r="N537" t="n">
        <x:v>81.92546</x:v>
      </x:c>
      <x:c r="O537" t="n">
        <x:v>60.59</x:v>
      </x:c>
      <x:c r="P537" t="n">
        <x:v>0</x:v>
      </x:c>
      <x:c r="Q537" t="n">
        <x:v>0</x:v>
      </x:c>
      <x:c r="R537" t="n">
        <x:v>23.37</x:v>
      </x:c>
      <x:c r="S537" t="n">
        <x:v>51.08</x:v>
      </x:c>
      <x:c r="T537" t="str">
        <x:v>https://y.gtimg.cn/music/photo_new/T002R500x500M000000hBKyy07sdh6_1.jpg</x:v>
      </x:c>
      <x:c r="U537" s="24" t="str">
        <x:f>IFERROR(VLOOKUP(I537,'07_字典与参数'!$G$5:$J$9,2,FALSE),"未入选")</x:f>
        <x:v>未入选</x:v>
      </x:c>
      <x:c r="V537" s="24" t="str">
        <x:f>IFERROR(VLOOKUP(I537,'07_字典与参数'!$G$5:$J$9,3,FALSE),"—")</x:f>
        <x:v>—</x:v>
      </x:c>
      <x:c r="W537" s="24" t="str">
        <x:f>IF(U537="未入选","否","是")</x:f>
        <x:v>否</x:v>
      </x:c>
    </x:row>
    <x:row r="538">
      <x:c r="A538" t="n">
        <x:v>202630</x:v>
      </x:c>
      <x:c r="B538" t="str">
        <x:v>第30期（07.27-08.02）</x:v>
      </x:c>
      <x:c r="C538" t="str">
        <x:v>2026-07-27</x:v>
      </x:c>
      <x:c r="D538" t="str">
        <x:v>2026-08-02</x:v>
      </x:c>
      <x:c r="E538" t="n">
        <x:v>134</x:v>
      </x:c>
      <x:c r="F538" t="n">
        <x:v>514417457</x:v>
      </x:c>
      <x:c r="G538" t="str">
        <x:v>略略略略略</x:v>
      </x:c>
      <x:c r="H538" t="str">
        <x:v>TOP登陆少年组合</x:v>
      </x:c>
      <x:c r="I538" t="str">
        <x:v>000QuvKj4aCfBU</x:v>
      </x:c>
      <x:c r="J538" t="str">
        <x:v>False</x:v>
      </x:c>
      <x:c r="K538" t="n">
        <x:v>128</x:v>
      </x:c>
      <x:c r="L538" t="n">
        <x:v>0</x:v>
      </x:c>
      <x:c r="M538" t="n">
        <x:v>0</x:v>
      </x:c>
      <x:c r="N538" t="n">
        <x:v>81.90924</x:v>
      </x:c>
      <x:c r="O538" t="n">
        <x:v>68.18</x:v>
      </x:c>
      <x:c r="P538" t="n">
        <x:v>0</x:v>
      </x:c>
      <x:c r="Q538" t="n">
        <x:v>0</x:v>
      </x:c>
      <x:c r="R538" t="n">
        <x:v>26.02</x:v>
      </x:c>
      <x:c r="S538" t="n">
        <x:v>41.83</x:v>
      </x:c>
      <x:c r="T538" t="str">
        <x:v>https://y.gtimg.cn/music/photo_new/T002R500x500M000002rYBVh2iOMHZ_2.jpg</x:v>
      </x:c>
      <x:c r="U538" s="24" t="str">
        <x:f>IFERROR(VLOOKUP(I538,'07_字典与参数'!$G$5:$J$9,2,FALSE),"未入选")</x:f>
        <x:v>未入选</x:v>
      </x:c>
      <x:c r="V538" s="24" t="str">
        <x:f>IFERROR(VLOOKUP(I538,'07_字典与参数'!$G$5:$J$9,3,FALSE),"—")</x:f>
        <x:v>—</x:v>
      </x:c>
      <x:c r="W538" s="24" t="str">
        <x:f>IF(U538="未入选","否","是")</x:f>
        <x:v>否</x:v>
      </x:c>
    </x:row>
    <x:row r="539">
      <x:c r="A539" t="n">
        <x:v>202630</x:v>
      </x:c>
      <x:c r="B539" t="str">
        <x:v>第30期（07.27-08.02）</x:v>
      </x:c>
      <x:c r="C539" t="str">
        <x:v>2026-07-27</x:v>
      </x:c>
      <x:c r="D539" t="str">
        <x:v>2026-08-02</x:v>
      </x:c>
      <x:c r="E539" t="n">
        <x:v>135</x:v>
      </x:c>
      <x:c r="F539" t="n">
        <x:v>536548864</x:v>
      </x:c>
      <x:c r="G539" t="str">
        <x:v>LEGEND</x:v>
      </x:c>
      <x:c r="H539" t="str">
        <x:v>沈小婷 (XIAOTING)</x:v>
      </x:c>
      <x:c r="I539" t="str">
        <x:v>0049TgDU1dfaOz</x:v>
      </x:c>
      <x:c r="J539" t="str">
        <x:v>False</x:v>
      </x:c>
      <x:c r="K539" t="n">
        <x:v>0</x:v>
      </x:c>
      <x:c r="L539" t="n">
        <x:v>0</x:v>
      </x:c>
      <x:c r="M539" t="n">
        <x:v>0</x:v>
      </x:c>
      <x:c r="N539" t="n">
        <x:v>81.88904</x:v>
      </x:c>
      <x:c r="O539" t="n">
        <x:v>56.22</x:v>
      </x:c>
      <x:c r="P539" t="n">
        <x:v>0</x:v>
      </x:c>
      <x:c r="Q539" t="n">
        <x:v>0</x:v>
      </x:c>
      <x:c r="R539" t="n">
        <x:v>45.46</x:v>
      </x:c>
      <x:c r="S539" t="n">
        <x:v>44.49</x:v>
      </x:c>
      <x:c r="T539" t="str">
        <x:v>https://y.gtimg.cn/music/photo_new/T002R500x500M000001iy3O214yJmL_1.jpg</x:v>
      </x:c>
      <x:c r="U539" s="24" t="str">
        <x:f>IFERROR(VLOOKUP(I539,'07_字典与参数'!$G$5:$J$9,2,FALSE),"未入选")</x:f>
        <x:v>未入选</x:v>
      </x:c>
      <x:c r="V539" s="24" t="str">
        <x:f>IFERROR(VLOOKUP(I539,'07_字典与参数'!$G$5:$J$9,3,FALSE),"—")</x:f>
        <x:v>—</x:v>
      </x:c>
      <x:c r="W539" s="24" t="str">
        <x:f>IF(U539="未入选","否","是")</x:f>
        <x:v>否</x:v>
      </x:c>
    </x:row>
    <x:row r="540">
      <x:c r="A540" t="n">
        <x:v>202630</x:v>
      </x:c>
      <x:c r="B540" t="str">
        <x:v>第30期（07.27-08.02）</x:v>
      </x:c>
      <x:c r="C540" t="str">
        <x:v>2026-07-27</x:v>
      </x:c>
      <x:c r="D540" t="str">
        <x:v>2026-08-02</x:v>
      </x:c>
      <x:c r="E540" t="n">
        <x:v>136</x:v>
      </x:c>
      <x:c r="F540" t="n">
        <x:v>529851668</x:v>
      </x:c>
      <x:c r="G540" t="str">
        <x:v>全世界陪我出发</x:v>
      </x:c>
      <x:c r="H540" t="str">
        <x:v>TF家族,TF家族-官俊臣,TF家族-张桂源,TF家族-张函瑞,TF家族-王橹杰,TF家族-王烁然,TF家族-左奇函,TF家族-陈奕恒,TF家族-杨博文,TF家族-杨涵博,TF家族-张奕然,TF家族-聂玮辰,TF家族-陈思罕,TF家族-魏子宸,TF家族-李煜东,TF家族-陈浚铭</x:v>
      </x:c>
      <x:c r="I540" t="str">
        <x:v>003RIqye0gr9MB</x:v>
      </x:c>
      <x:c r="J540" t="str">
        <x:v>False</x:v>
      </x:c>
      <x:c r="K540" t="n">
        <x:v>122</x:v>
      </x:c>
      <x:c r="L540" t="n">
        <x:v>0</x:v>
      </x:c>
      <x:c r="M540" t="n">
        <x:v>0</x:v>
      </x:c>
      <x:c r="N540" t="n">
        <x:v>81.80226</x:v>
      </x:c>
      <x:c r="O540" t="n">
        <x:v>69.99</x:v>
      </x:c>
      <x:c r="P540" t="n">
        <x:v>0</x:v>
      </x:c>
      <x:c r="Q540" t="n">
        <x:v>0</x:v>
      </x:c>
      <x:c r="R540" t="n">
        <x:v>9.86</x:v>
      </x:c>
      <x:c r="S540" t="n">
        <x:v>41.4</x:v>
      </x:c>
      <x:c r="T540" t="str">
        <x:v>https://y.gtimg.cn/music/photo_new/T002R500x500M000000dn6vm1EN6ax_1.jpg</x:v>
      </x:c>
      <x:c r="U540" s="24" t="str">
        <x:f>IFERROR(VLOOKUP(I540,'07_字典与参数'!$G$5:$J$9,2,FALSE),"未入选")</x:f>
        <x:v>未入选</x:v>
      </x:c>
      <x:c r="V540" s="24" t="str">
        <x:f>IFERROR(VLOOKUP(I540,'07_字典与参数'!$G$5:$J$9,3,FALSE),"—")</x:f>
        <x:v>—</x:v>
      </x:c>
      <x:c r="W540" s="24" t="str">
        <x:f>IF(U540="未入选","否","是")</x:f>
        <x:v>否</x:v>
      </x:c>
    </x:row>
    <x:row r="541">
      <x:c r="A541" t="n">
        <x:v>202630</x:v>
      </x:c>
      <x:c r="B541" t="str">
        <x:v>第30期（07.27-08.02）</x:v>
      </x:c>
      <x:c r="C541" t="str">
        <x:v>2026-07-27</x:v>
      </x:c>
      <x:c r="D541" t="str">
        <x:v>2026-08-02</x:v>
      </x:c>
      <x:c r="E541" t="n">
        <x:v>137</x:v>
      </x:c>
      <x:c r="F541" t="n">
        <x:v>512975549</x:v>
      </x:c>
      <x:c r="G541" t="str">
        <x:v>洛阳纸</x:v>
      </x:c>
      <x:c r="H541" t="str">
        <x:v>许嵩</x:v>
      </x:c>
      <x:c r="I541" t="str">
        <x:v>000iOs7F4gQ4VR</x:v>
      </x:c>
      <x:c r="J541" t="str">
        <x:v>False</x:v>
      </x:c>
      <x:c r="K541" t="n">
        <x:v>140</x:v>
      </x:c>
      <x:c r="L541" t="n">
        <x:v>0</x:v>
      </x:c>
      <x:c r="M541" t="n">
        <x:v>0</x:v>
      </x:c>
      <x:c r="N541" t="n">
        <x:v>81.61267</x:v>
      </x:c>
      <x:c r="O541" t="n">
        <x:v>69.51</x:v>
      </x:c>
      <x:c r="P541" t="n">
        <x:v>0</x:v>
      </x:c>
      <x:c r="Q541" t="n">
        <x:v>0</x:v>
      </x:c>
      <x:c r="R541" t="n">
        <x:v>5.83</x:v>
      </x:c>
      <x:c r="S541" t="n">
        <x:v>41.69</x:v>
      </x:c>
      <x:c r="T541" t="str">
        <x:v>https://y.gtimg.cn/music/photo_new/T002R500x500M000001Oqn952HAPRk_1.jpg</x:v>
      </x:c>
      <x:c r="U541" s="24" t="str">
        <x:f>IFERROR(VLOOKUP(I541,'07_字典与参数'!$G$5:$J$9,2,FALSE),"未入选")</x:f>
        <x:v>未入选</x:v>
      </x:c>
      <x:c r="V541" s="24" t="str">
        <x:f>IFERROR(VLOOKUP(I541,'07_字典与参数'!$G$5:$J$9,3,FALSE),"—")</x:f>
        <x:v>—</x:v>
      </x:c>
      <x:c r="W541" s="24" t="str">
        <x:f>IF(U541="未入选","否","是")</x:f>
        <x:v>否</x:v>
      </x:c>
    </x:row>
    <x:row r="542">
      <x:c r="A542" t="n">
        <x:v>202630</x:v>
      </x:c>
      <x:c r="B542" t="str">
        <x:v>第30期（07.27-08.02）</x:v>
      </x:c>
      <x:c r="C542" t="str">
        <x:v>2026-07-27</x:v>
      </x:c>
      <x:c r="D542" t="str">
        <x:v>2026-08-02</x:v>
      </x:c>
      <x:c r="E542" t="n">
        <x:v>138</x:v>
      </x:c>
      <x:c r="F542" t="n">
        <x:v>533556213</x:v>
      </x:c>
      <x:c r="G542" t="str">
        <x:v>缠</x:v>
      </x:c>
      <x:c r="H542" t="str">
        <x:v>那英</x:v>
      </x:c>
      <x:c r="I542" t="str">
        <x:v>003XAZLD3KzQ2j</x:v>
      </x:c>
      <x:c r="J542" t="str">
        <x:v>False</x:v>
      </x:c>
      <x:c r="K542" t="n">
        <x:v>61</x:v>
      </x:c>
      <x:c r="L542" t="n">
        <x:v>0</x:v>
      </x:c>
      <x:c r="M542" t="n">
        <x:v>0</x:v>
      </x:c>
      <x:c r="N542" t="n">
        <x:v>81.59758</x:v>
      </x:c>
      <x:c r="O542" t="n">
        <x:v>70.59</x:v>
      </x:c>
      <x:c r="P542" t="n">
        <x:v>0</x:v>
      </x:c>
      <x:c r="Q542" t="n">
        <x:v>0</x:v>
      </x:c>
      <x:c r="R542" t="n">
        <x:v>4.85</x:v>
      </x:c>
      <x:c r="S542" t="n">
        <x:v>33.1</x:v>
      </x:c>
      <x:c r="T542" t="str">
        <x:v>https://y.gtimg.cn/music/photo_new/T002R500x500M000003mTx4M2vjsxl_1.jpg</x:v>
      </x:c>
      <x:c r="U542" s="24" t="str">
        <x:f>IFERROR(VLOOKUP(I542,'07_字典与参数'!$G$5:$J$9,2,FALSE),"未入选")</x:f>
        <x:v>未入选</x:v>
      </x:c>
      <x:c r="V542" s="24" t="str">
        <x:f>IFERROR(VLOOKUP(I542,'07_字典与参数'!$G$5:$J$9,3,FALSE),"—")</x:f>
        <x:v>—</x:v>
      </x:c>
      <x:c r="W542" s="24" t="str">
        <x:f>IF(U542="未入选","否","是")</x:f>
        <x:v>否</x:v>
      </x:c>
    </x:row>
    <x:row r="543">
      <x:c r="A543" t="n">
        <x:v>202630</x:v>
      </x:c>
      <x:c r="B543" t="str">
        <x:v>第30期（07.27-08.02）</x:v>
      </x:c>
      <x:c r="C543" t="str">
        <x:v>2026-07-27</x:v>
      </x:c>
      <x:c r="D543" t="str">
        <x:v>2026-08-02</x:v>
      </x:c>
      <x:c r="E543" t="n">
        <x:v>139</x:v>
      </x:c>
      <x:c r="F543" t="n">
        <x:v>511979926</x:v>
      </x:c>
      <x:c r="G543" t="str">
        <x:v>古风2026</x:v>
      </x:c>
      <x:c r="H543" t="str">
        <x:v>一颗狼星,糯米Nomi,倪浩毅,指尖笑,草帽酱,执素兮,平生不晚,浅影阿</x:v>
      </x:c>
      <x:c r="I543" t="str">
        <x:v>002BNkDq46SfPr</x:v>
      </x:c>
      <x:c r="J543" t="str">
        <x:v>False</x:v>
      </x:c>
      <x:c r="K543" t="n">
        <x:v>135</x:v>
      </x:c>
      <x:c r="L543" t="n">
        <x:v>0</x:v>
      </x:c>
      <x:c r="M543" t="n">
        <x:v>0</x:v>
      </x:c>
      <x:c r="N543" t="n">
        <x:v>81.58032</x:v>
      </x:c>
      <x:c r="O543" t="n">
        <x:v>71.05</x:v>
      </x:c>
      <x:c r="P543" t="n">
        <x:v>0</x:v>
      </x:c>
      <x:c r="Q543" t="n">
        <x:v>0</x:v>
      </x:c>
      <x:c r="R543" t="n">
        <x:v>1.76</x:v>
      </x:c>
      <x:c r="S543" t="n">
        <x:v>16.36</x:v>
      </x:c>
      <x:c r="T543" t="str">
        <x:v>https://y.gtimg.cn/music/photo_new/T002R500x500M000002KRyi405Zmjv_1.jpg</x:v>
      </x:c>
      <x:c r="U543" s="24" t="str">
        <x:f>IFERROR(VLOOKUP(I543,'07_字典与参数'!$G$5:$J$9,2,FALSE),"未入选")</x:f>
        <x:v>未入选</x:v>
      </x:c>
      <x:c r="V543" s="24" t="str">
        <x:f>IFERROR(VLOOKUP(I543,'07_字典与参数'!$G$5:$J$9,3,FALSE),"—")</x:f>
        <x:v>—</x:v>
      </x:c>
      <x:c r="W543" s="24" t="str">
        <x:f>IF(U543="未入选","否","是")</x:f>
        <x:v>否</x:v>
      </x:c>
    </x:row>
    <x:row r="544">
      <x:c r="A544" t="n">
        <x:v>202630</x:v>
      </x:c>
      <x:c r="B544" t="str">
        <x:v>第30期（07.27-08.02）</x:v>
      </x:c>
      <x:c r="C544" t="str">
        <x:v>2026-07-27</x:v>
      </x:c>
      <x:c r="D544" t="str">
        <x:v>2026-08-02</x:v>
      </x:c>
      <x:c r="E544" t="n">
        <x:v>140</x:v>
      </x:c>
      <x:c r="F544" t="n">
        <x:v>536898597</x:v>
      </x:c>
      <x:c r="G544" t="str">
        <x:v>是我做了白日梦</x:v>
      </x:c>
      <x:c r="H544" t="str">
        <x:v>姜添,听潮阁</x:v>
      </x:c>
      <x:c r="I544" t="str">
        <x:v>002q8soi3V9Gm2</x:v>
      </x:c>
      <x:c r="J544" t="str">
        <x:v>False</x:v>
      </x:c>
      <x:c r="K544" t="n">
        <x:v>0</x:v>
      </x:c>
      <x:c r="L544" t="n">
        <x:v>0</x:v>
      </x:c>
      <x:c r="M544" t="n">
        <x:v>0</x:v>
      </x:c>
      <x:c r="N544" t="n">
        <x:v>81.54503</x:v>
      </x:c>
      <x:c r="O544" t="n">
        <x:v>52.41</x:v>
      </x:c>
      <x:c r="P544" t="n">
        <x:v>0</x:v>
      </x:c>
      <x:c r="Q544" t="n">
        <x:v>0</x:v>
      </x:c>
      <x:c r="R544" t="n">
        <x:v>47.14</x:v>
      </x:c>
      <x:c r="S544" t="n">
        <x:v>43.57</x:v>
      </x:c>
      <x:c r="T544" t="str">
        <x:v>https://y.gtimg.cn/music/photo_new/T002R500x500M000000p3bJK2q2iNA_1.jpg</x:v>
      </x:c>
      <x:c r="U544" s="24" t="str">
        <x:f>IFERROR(VLOOKUP(I544,'07_字典与参数'!$G$5:$J$9,2,FALSE),"未入选")</x:f>
        <x:v>未入选</x:v>
      </x:c>
      <x:c r="V544" s="24" t="str">
        <x:f>IFERROR(VLOOKUP(I544,'07_字典与参数'!$G$5:$J$9,3,FALSE),"—")</x:f>
        <x:v>—</x:v>
      </x:c>
      <x:c r="W544" s="24" t="str">
        <x:f>IF(U544="未入选","否","是")</x:f>
        <x:v>否</x:v>
      </x:c>
    </x:row>
    <x:row r="545">
      <x:c r="A545" t="n">
        <x:v>202630</x:v>
      </x:c>
      <x:c r="B545" t="str">
        <x:v>第30期（07.27-08.02）</x:v>
      </x:c>
      <x:c r="C545" t="str">
        <x:v>2026-07-27</x:v>
      </x:c>
      <x:c r="D545" t="str">
        <x:v>2026-08-02</x:v>
      </x:c>
      <x:c r="E545" t="n">
        <x:v>141</x:v>
      </x:c>
      <x:c r="F545" t="n">
        <x:v>531085098</x:v>
      </x:c>
      <x:c r="G545" t="str">
        <x:v>沪上龙王</x:v>
      </x:c>
      <x:c r="H545" t="str">
        <x:v>郭有才</x:v>
      </x:c>
      <x:c r="I545" t="str">
        <x:v>0049xZge3U5SLp</x:v>
      </x:c>
      <x:c r="J545" t="str">
        <x:v>False</x:v>
      </x:c>
      <x:c r="K545" t="n">
        <x:v>124</x:v>
      </x:c>
      <x:c r="L545" t="n">
        <x:v>0</x:v>
      </x:c>
      <x:c r="M545" t="n">
        <x:v>0</x:v>
      </x:c>
      <x:c r="N545" t="n">
        <x:v>81.48699</x:v>
      </x:c>
      <x:c r="O545" t="n">
        <x:v>70.85</x:v>
      </x:c>
      <x:c r="P545" t="n">
        <x:v>0</x:v>
      </x:c>
      <x:c r="Q545" t="n">
        <x:v>0</x:v>
      </x:c>
      <x:c r="R545" t="n">
        <x:v>7.52</x:v>
      </x:c>
      <x:c r="S545" t="n">
        <x:v>11.12</x:v>
      </x:c>
      <x:c r="T545" t="str">
        <x:v>https://y.gtimg.cn/music/photo_new/T002R500x500M000000xjTTE3rd5Df_1.jpg</x:v>
      </x:c>
      <x:c r="U545" s="24" t="str">
        <x:f>IFERROR(VLOOKUP(I545,'07_字典与参数'!$G$5:$J$9,2,FALSE),"未入选")</x:f>
        <x:v>未入选</x:v>
      </x:c>
      <x:c r="V545" s="24" t="str">
        <x:f>IFERROR(VLOOKUP(I545,'07_字典与参数'!$G$5:$J$9,3,FALSE),"—")</x:f>
        <x:v>—</x:v>
      </x:c>
      <x:c r="W545" s="24" t="str">
        <x:f>IF(U545="未入选","否","是")</x:f>
        <x:v>否</x:v>
      </x:c>
    </x:row>
    <x:row r="546">
      <x:c r="A546" t="n">
        <x:v>202630</x:v>
      </x:c>
      <x:c r="B546" t="str">
        <x:v>第30期（07.27-08.02）</x:v>
      </x:c>
      <x:c r="C546" t="str">
        <x:v>2026-07-27</x:v>
      </x:c>
      <x:c r="D546" t="str">
        <x:v>2026-08-02</x:v>
      </x:c>
      <x:c r="E546" t="n">
        <x:v>142</x:v>
      </x:c>
      <x:c r="F546" t="n">
        <x:v>522662100</x:v>
      </x:c>
      <x:c r="G546" t="str">
        <x:v>UP IT</x:v>
      </x:c>
      <x:c r="H546" t="str">
        <x:v>刘耀文</x:v>
      </x:c>
      <x:c r="I546" t="str">
        <x:v>003envMt4H3x7x</x:v>
      </x:c>
      <x:c r="J546" t="str">
        <x:v>False</x:v>
      </x:c>
      <x:c r="K546" t="n">
        <x:v>136</x:v>
      </x:c>
      <x:c r="L546" t="n">
        <x:v>0</x:v>
      </x:c>
      <x:c r="M546" t="n">
        <x:v>0</x:v>
      </x:c>
      <x:c r="N546" t="n">
        <x:v>81.42743</x:v>
      </x:c>
      <x:c r="O546" t="n">
        <x:v>61.15</x:v>
      </x:c>
      <x:c r="P546" t="n">
        <x:v>0</x:v>
      </x:c>
      <x:c r="Q546" t="n">
        <x:v>0</x:v>
      </x:c>
      <x:c r="R546" t="n">
        <x:v>25.02</x:v>
      </x:c>
      <x:c r="S546" t="n">
        <x:v>49.15</x:v>
      </x:c>
      <x:c r="T546" t="str">
        <x:v>https://y.gtimg.cn/music/photo_new/T002R500x500M000003Q3flT1zkBX3_1.jpg</x:v>
      </x:c>
      <x:c r="U546" s="24" t="str">
        <x:f>IFERROR(VLOOKUP(I546,'07_字典与参数'!$G$5:$J$9,2,FALSE),"未入选")</x:f>
        <x:v>未入选</x:v>
      </x:c>
      <x:c r="V546" s="24" t="str">
        <x:f>IFERROR(VLOOKUP(I546,'07_字典与参数'!$G$5:$J$9,3,FALSE),"—")</x:f>
        <x:v>—</x:v>
      </x:c>
      <x:c r="W546" s="24" t="str">
        <x:f>IF(U546="未入选","否","是")</x:f>
        <x:v>否</x:v>
      </x:c>
    </x:row>
    <x:row r="547">
      <x:c r="A547" t="n">
        <x:v>202630</x:v>
      </x:c>
      <x:c r="B547" t="str">
        <x:v>第30期（07.27-08.02）</x:v>
      </x:c>
      <x:c r="C547" t="str">
        <x:v>2026-07-27</x:v>
      </x:c>
      <x:c r="D547" t="str">
        <x:v>2026-08-02</x:v>
      </x:c>
      <x:c r="E547" t="n">
        <x:v>143</x:v>
      </x:c>
      <x:c r="F547" t="n">
        <x:v>531181249</x:v>
      </x:c>
      <x:c r="G547" t="str">
        <x:v>玄翎谣</x:v>
      </x:c>
      <x:c r="H547" t="str">
        <x:v>鸣潮先约电台,jkinss,薄荷_Miint</x:v>
      </x:c>
      <x:c r="I547" t="str">
        <x:v>000rB2Ck1bZTZW</x:v>
      </x:c>
      <x:c r="J547" t="str">
        <x:v>False</x:v>
      </x:c>
      <x:c r="K547" t="n">
        <x:v>159</x:v>
      </x:c>
      <x:c r="L547" t="n">
        <x:v>0</x:v>
      </x:c>
      <x:c r="M547" t="n">
        <x:v>0</x:v>
      </x:c>
      <x:c r="N547" t="n">
        <x:v>81.34571</x:v>
      </x:c>
      <x:c r="O547" t="n">
        <x:v>63.71</x:v>
      </x:c>
      <x:c r="P547" t="n">
        <x:v>0</x:v>
      </x:c>
      <x:c r="Q547" t="n">
        <x:v>0</x:v>
      </x:c>
      <x:c r="R547" t="n">
        <x:v>1.3</x:v>
      </x:c>
      <x:c r="S547" t="n">
        <x:v>48.54</x:v>
      </x:c>
      <x:c r="T547" t="str">
        <x:v>https://y.gtimg.cn/music/photo_new/T002R500x500M000001rovrt1tUywT_1.jpg</x:v>
      </x:c>
      <x:c r="U547" s="24" t="str">
        <x:f>IFERROR(VLOOKUP(I547,'07_字典与参数'!$G$5:$J$9,2,FALSE),"未入选")</x:f>
        <x:v>未入选</x:v>
      </x:c>
      <x:c r="V547" s="24" t="str">
        <x:f>IFERROR(VLOOKUP(I547,'07_字典与参数'!$G$5:$J$9,3,FALSE),"—")</x:f>
        <x:v>—</x:v>
      </x:c>
      <x:c r="W547" s="24" t="str">
        <x:f>IF(U547="未入选","否","是")</x:f>
        <x:v>否</x:v>
      </x:c>
    </x:row>
    <x:row r="548">
      <x:c r="A548" t="n">
        <x:v>202630</x:v>
      </x:c>
      <x:c r="B548" t="str">
        <x:v>第30期（07.27-08.02）</x:v>
      </x:c>
      <x:c r="C548" t="str">
        <x:v>2026-07-27</x:v>
      </x:c>
      <x:c r="D548" t="str">
        <x:v>2026-08-02</x:v>
      </x:c>
      <x:c r="E548" t="n">
        <x:v>144</x:v>
      </x:c>
      <x:c r="F548" t="n">
        <x:v>535236021</x:v>
      </x:c>
      <x:c r="G548" t="str">
        <x:v>Two to Tango 交缠舞步</x:v>
      </x:c>
      <x:c r="H548" t="str">
        <x:v>三Z-STUDIO,HOYO-MiX</x:v>
      </x:c>
      <x:c r="I548" t="str">
        <x:v>00396GoY3MKBsV</x:v>
      </x:c>
      <x:c r="J548" t="str">
        <x:v>False</x:v>
      </x:c>
      <x:c r="K548" t="n">
        <x:v>0</x:v>
      </x:c>
      <x:c r="L548" t="n">
        <x:v>0</x:v>
      </x:c>
      <x:c r="M548" t="n">
        <x:v>0</x:v>
      </x:c>
      <x:c r="N548" t="n">
        <x:v>81.33325</x:v>
      </x:c>
      <x:c r="O548" t="n">
        <x:v>70.22</x:v>
      </x:c>
      <x:c r="P548" t="n">
        <x:v>0</x:v>
      </x:c>
      <x:c r="Q548" t="n">
        <x:v>0</x:v>
      </x:c>
      <x:c r="R548" t="n">
        <x:v>1.21</x:v>
      </x:c>
      <x:c r="S548" t="n">
        <x:v>37.66</x:v>
      </x:c>
      <x:c r="T548" t="str">
        <x:v>https://y.gtimg.cn/music/photo_new/T002R500x500M000003R8bnn0Pc7G5_1.jpg</x:v>
      </x:c>
      <x:c r="U548" s="24" t="str">
        <x:f>IFERROR(VLOOKUP(I548,'07_字典与参数'!$G$5:$J$9,2,FALSE),"未入选")</x:f>
        <x:v>未入选</x:v>
      </x:c>
      <x:c r="V548" s="24" t="str">
        <x:f>IFERROR(VLOOKUP(I548,'07_字典与参数'!$G$5:$J$9,3,FALSE),"—")</x:f>
        <x:v>—</x:v>
      </x:c>
      <x:c r="W548" s="24" t="str">
        <x:f>IF(U548="未入选","否","是")</x:f>
        <x:v>否</x:v>
      </x:c>
    </x:row>
    <x:row r="549">
      <x:c r="A549" t="n">
        <x:v>202630</x:v>
      </x:c>
      <x:c r="B549" t="str">
        <x:v>第30期（07.27-08.02）</x:v>
      </x:c>
      <x:c r="C549" t="str">
        <x:v>2026-07-27</x:v>
      </x:c>
      <x:c r="D549" t="str">
        <x:v>2026-08-02</x:v>
      </x:c>
      <x:c r="E549" t="n">
        <x:v>145</x:v>
      </x:c>
      <x:c r="F549" t="n">
        <x:v>480650223</x:v>
      </x:c>
      <x:c r="G549" t="str">
        <x:v>昨晚我环游了地球</x:v>
      </x:c>
      <x:c r="H549" t="str">
        <x:v>汪苏泷</x:v>
      </x:c>
      <x:c r="I549" t="str">
        <x:v>003RhiFk16EeF7</x:v>
      </x:c>
      <x:c r="J549" t="str">
        <x:v>False</x:v>
      </x:c>
      <x:c r="K549" t="n">
        <x:v>138</x:v>
      </x:c>
      <x:c r="L549" t="n">
        <x:v>0</x:v>
      </x:c>
      <x:c r="M549" t="n">
        <x:v>0</x:v>
      </x:c>
      <x:c r="N549" t="n">
        <x:v>81.30967</x:v>
      </x:c>
      <x:c r="O549" t="n">
        <x:v>66.46</x:v>
      </x:c>
      <x:c r="P549" t="n">
        <x:v>0</x:v>
      </x:c>
      <x:c r="Q549" t="n">
        <x:v>0</x:v>
      </x:c>
      <x:c r="R549" t="n">
        <x:v>9.37</x:v>
      </x:c>
      <x:c r="S549" t="n">
        <x:v>44.04</x:v>
      </x:c>
      <x:c r="T549" t="str">
        <x:v>https://y.gtimg.cn/music/photo_new/T002R500x500M000000A1M903iHvyT_4.jpg</x:v>
      </x:c>
      <x:c r="U549" s="24" t="str">
        <x:f>IFERROR(VLOOKUP(I549,'07_字典与参数'!$G$5:$J$9,2,FALSE),"未入选")</x:f>
        <x:v>未入选</x:v>
      </x:c>
      <x:c r="V549" s="24" t="str">
        <x:f>IFERROR(VLOOKUP(I549,'07_字典与参数'!$G$5:$J$9,3,FALSE),"—")</x:f>
        <x:v>—</x:v>
      </x:c>
      <x:c r="W549" s="24" t="str">
        <x:f>IF(U549="未入选","否","是")</x:f>
        <x:v>否</x:v>
      </x:c>
    </x:row>
    <x:row r="550">
      <x:c r="A550" t="n">
        <x:v>202630</x:v>
      </x:c>
      <x:c r="B550" t="str">
        <x:v>第30期（07.27-08.02）</x:v>
      </x:c>
      <x:c r="C550" t="str">
        <x:v>2026-07-27</x:v>
      </x:c>
      <x:c r="D550" t="str">
        <x:v>2026-08-02</x:v>
      </x:c>
      <x:c r="E550" t="n">
        <x:v>146</x:v>
      </x:c>
      <x:c r="F550" t="n">
        <x:v>503612889</x:v>
      </x:c>
      <x:c r="G550" t="str">
        <x:v>渡</x:v>
      </x:c>
      <x:c r="H550" t="str">
        <x:v>周深</x:v>
      </x:c>
      <x:c r="I550" t="str">
        <x:v>004XNL6L36CrFC</x:v>
      </x:c>
      <x:c r="J550" t="str">
        <x:v>False</x:v>
      </x:c>
      <x:c r="K550" t="n">
        <x:v>144</x:v>
      </x:c>
      <x:c r="L550" t="n">
        <x:v>0</x:v>
      </x:c>
      <x:c r="M550" t="n">
        <x:v>0</x:v>
      </x:c>
      <x:c r="N550" t="n">
        <x:v>81.29582</x:v>
      </x:c>
      <x:c r="O550" t="n">
        <x:v>62.85</x:v>
      </x:c>
      <x:c r="P550" t="n">
        <x:v>0</x:v>
      </x:c>
      <x:c r="Q550" t="n">
        <x:v>0</x:v>
      </x:c>
      <x:c r="R550" t="n">
        <x:v>4.59</x:v>
      </x:c>
      <x:c r="S550" t="n">
        <x:v>49.11</x:v>
      </x:c>
      <x:c r="T550" t="str">
        <x:v>https://y.gtimg.cn/music/photo_new/T002R500x500M000000QqmQq1hKTuB_1.jpg</x:v>
      </x:c>
      <x:c r="U550" s="24" t="str">
        <x:f>IFERROR(VLOOKUP(I550,'07_字典与参数'!$G$5:$J$9,2,FALSE),"未入选")</x:f>
        <x:v>未入选</x:v>
      </x:c>
      <x:c r="V550" s="24" t="str">
        <x:f>IFERROR(VLOOKUP(I550,'07_字典与参数'!$G$5:$J$9,3,FALSE),"—")</x:f>
        <x:v>—</x:v>
      </x:c>
      <x:c r="W550" s="24" t="str">
        <x:f>IF(U550="未入选","否","是")</x:f>
        <x:v>否</x:v>
      </x:c>
    </x:row>
    <x:row r="551">
      <x:c r="A551" t="n">
        <x:v>202630</x:v>
      </x:c>
      <x:c r="B551" t="str">
        <x:v>第30期（07.27-08.02）</x:v>
      </x:c>
      <x:c r="C551" t="str">
        <x:v>2026-07-27</x:v>
      </x:c>
      <x:c r="D551" t="str">
        <x:v>2026-08-02</x:v>
      </x:c>
      <x:c r="E551" t="n">
        <x:v>147</x:v>
      </x:c>
      <x:c r="F551" t="n">
        <x:v>522467100</x:v>
      </x:c>
      <x:c r="G551" t="str">
        <x:v>But You Don't Know Me</x:v>
      </x:c>
      <x:c r="H551" t="str">
        <x:v>张艺兴</x:v>
      </x:c>
      <x:c r="I551" t="str">
        <x:v>001rQmh14T0kgP</x:v>
      </x:c>
      <x:c r="J551" t="str">
        <x:v>False</x:v>
      </x:c>
      <x:c r="K551" t="n">
        <x:v>0</x:v>
      </x:c>
      <x:c r="L551" t="n">
        <x:v>0</x:v>
      </x:c>
      <x:c r="M551" t="n">
        <x:v>0</x:v>
      </x:c>
      <x:c r="N551" t="n">
        <x:v>81.26155</x:v>
      </x:c>
      <x:c r="O551" t="n">
        <x:v>59.98</x:v>
      </x:c>
      <x:c r="P551" t="n">
        <x:v>0</x:v>
      </x:c>
      <x:c r="Q551" t="n">
        <x:v>0</x:v>
      </x:c>
      <x:c r="R551" t="n">
        <x:v>45.36</x:v>
      </x:c>
      <x:c r="S551" t="n">
        <x:v>40.31</x:v>
      </x:c>
      <x:c r="T551" t="str">
        <x:v>https://y.gtimg.cn/music/photo_new/T002R500x500M000001w138z3PZEcz_1.jpg</x:v>
      </x:c>
      <x:c r="U551" s="24" t="str">
        <x:f>IFERROR(VLOOKUP(I551,'07_字典与参数'!$G$5:$J$9,2,FALSE),"未入选")</x:f>
        <x:v>未入选</x:v>
      </x:c>
      <x:c r="V551" s="24" t="str">
        <x:f>IFERROR(VLOOKUP(I551,'07_字典与参数'!$G$5:$J$9,3,FALSE),"—")</x:f>
        <x:v>—</x:v>
      </x:c>
      <x:c r="W551" s="24" t="str">
        <x:f>IF(U551="未入选","否","是")</x:f>
        <x:v>否</x:v>
      </x:c>
    </x:row>
    <x:row r="552">
      <x:c r="A552" t="n">
        <x:v>202630</x:v>
      </x:c>
      <x:c r="B552" t="str">
        <x:v>第30期（07.27-08.02）</x:v>
      </x:c>
      <x:c r="C552" t="str">
        <x:v>2026-07-27</x:v>
      </x:c>
      <x:c r="D552" t="str">
        <x:v>2026-08-02</x:v>
      </x:c>
      <x:c r="E552" t="n">
        <x:v>148</x:v>
      </x:c>
      <x:c r="F552" t="n">
        <x:v>537334045</x:v>
      </x:c>
      <x:c r="G552" t="str">
        <x:v>哪怕我们</x:v>
      </x:c>
      <x:c r="H552" t="str">
        <x:v>陈伟霆</x:v>
      </x:c>
      <x:c r="I552" t="str">
        <x:v>004NHXAV1JRAZw</x:v>
      </x:c>
      <x:c r="J552" t="str">
        <x:v>False</x:v>
      </x:c>
      <x:c r="K552" t="n">
        <x:v>0</x:v>
      </x:c>
      <x:c r="L552" t="n">
        <x:v>0</x:v>
      </x:c>
      <x:c r="M552" t="n">
        <x:v>0</x:v>
      </x:c>
      <x:c r="N552" t="n">
        <x:v>80.99564</x:v>
      </x:c>
      <x:c r="O552" t="n">
        <x:v>40.58</x:v>
      </x:c>
      <x:c r="P552" t="n">
        <x:v>0</x:v>
      </x:c>
      <x:c r="Q552" t="n">
        <x:v>0</x:v>
      </x:c>
      <x:c r="R552" t="n">
        <x:v>11.03</x:v>
      </x:c>
      <x:c r="S552" t="n">
        <x:v>53.42</x:v>
      </x:c>
      <x:c r="T552" t="str">
        <x:v>https://y.gtimg.cn/music/photo_new/T002R500x500M000004PyZaJ44twaR_1.jpg</x:v>
      </x:c>
      <x:c r="U552" s="24" t="str">
        <x:f>IFERROR(VLOOKUP(I552,'07_字典与参数'!$G$5:$J$9,2,FALSE),"未入选")</x:f>
        <x:v>未入选</x:v>
      </x:c>
      <x:c r="V552" s="24" t="str">
        <x:f>IFERROR(VLOOKUP(I552,'07_字典与参数'!$G$5:$J$9,3,FALSE),"—")</x:f>
        <x:v>—</x:v>
      </x:c>
      <x:c r="W552" s="24" t="str">
        <x:f>IF(U552="未入选","否","是")</x:f>
        <x:v>否</x:v>
      </x:c>
    </x:row>
    <x:row r="553">
      <x:c r="A553" t="n">
        <x:v>202630</x:v>
      </x:c>
      <x:c r="B553" t="str">
        <x:v>第30期（07.27-08.02）</x:v>
      </x:c>
      <x:c r="C553" t="str">
        <x:v>2026-07-27</x:v>
      </x:c>
      <x:c r="D553" t="str">
        <x:v>2026-08-02</x:v>
      </x:c>
      <x:c r="E553" t="n">
        <x:v>149</x:v>
      </x:c>
      <x:c r="F553" t="n">
        <x:v>534962097</x:v>
      </x:c>
      <x:c r="G553" t="str">
        <x:v>落笔匆匆</x:v>
      </x:c>
      <x:c r="H553" t="str">
        <x:v>余佳运,井迪</x:v>
      </x:c>
      <x:c r="I553" t="str">
        <x:v>000Gtcjp0V8Jg5</x:v>
      </x:c>
      <x:c r="J553" t="str">
        <x:v>False</x:v>
      </x:c>
      <x:c r="K553" t="n">
        <x:v>0</x:v>
      </x:c>
      <x:c r="L553" t="n">
        <x:v>0</x:v>
      </x:c>
      <x:c r="M553" t="n">
        <x:v>0</x:v>
      </x:c>
      <x:c r="N553" t="n">
        <x:v>80.84417</x:v>
      </x:c>
      <x:c r="O553" t="n">
        <x:v>70.34</x:v>
      </x:c>
      <x:c r="P553" t="n">
        <x:v>0</x:v>
      </x:c>
      <x:c r="Q553" t="n">
        <x:v>0</x:v>
      </x:c>
      <x:c r="R553" t="n">
        <x:v>0.53</x:v>
      </x:c>
      <x:c r="S553" t="n">
        <x:v>15.4</x:v>
      </x:c>
      <x:c r="T553" t="str">
        <x:v>https://y.gtimg.cn/music/photo_new/T002R500x500M000002j5Ypy3zIa5E_1.jpg</x:v>
      </x:c>
      <x:c r="U553" s="24" t="str">
        <x:f>IFERROR(VLOOKUP(I553,'07_字典与参数'!$G$5:$J$9,2,FALSE),"未入选")</x:f>
        <x:v>未入选</x:v>
      </x:c>
      <x:c r="V553" s="24" t="str">
        <x:f>IFERROR(VLOOKUP(I553,'07_字典与参数'!$G$5:$J$9,3,FALSE),"—")</x:f>
        <x:v>—</x:v>
      </x:c>
      <x:c r="W553" s="24" t="str">
        <x:f>IF(U553="未入选","否","是")</x:f>
        <x:v>否</x:v>
      </x:c>
    </x:row>
    <x:row r="554">
      <x:c r="A554" t="n">
        <x:v>202630</x:v>
      </x:c>
      <x:c r="B554" t="str">
        <x:v>第30期（07.27-08.02）</x:v>
      </x:c>
      <x:c r="C554" t="str">
        <x:v>2026-07-27</x:v>
      </x:c>
      <x:c r="D554" t="str">
        <x:v>2026-08-02</x:v>
      </x:c>
      <x:c r="E554" t="n">
        <x:v>150</x:v>
      </x:c>
      <x:c r="F554" t="n">
        <x:v>534156472</x:v>
      </x:c>
      <x:c r="G554" t="str">
        <x:v>耳朵</x:v>
      </x:c>
      <x:c r="H554" t="str">
        <x:v>JOSHUA</x:v>
      </x:c>
      <x:c r="I554" t="str">
        <x:v>002j3L464CkhrE</x:v>
      </x:c>
      <x:c r="J554" t="str">
        <x:v>False</x:v>
      </x:c>
      <x:c r="K554" t="n">
        <x:v>22</x:v>
      </x:c>
      <x:c r="L554" t="n">
        <x:v>0</x:v>
      </x:c>
      <x:c r="M554" t="n">
        <x:v>0</x:v>
      </x:c>
      <x:c r="N554" t="n">
        <x:v>80.82031</x:v>
      </x:c>
      <x:c r="O554" t="n">
        <x:v>65.72</x:v>
      </x:c>
      <x:c r="P554" t="n">
        <x:v>0</x:v>
      </x:c>
      <x:c r="Q554" t="n">
        <x:v>0</x:v>
      </x:c>
      <x:c r="R554" t="n">
        <x:v>9.87</x:v>
      </x:c>
      <x:c r="S554" t="n">
        <x:v>43.02</x:v>
      </x:c>
      <x:c r="T554" t="str">
        <x:v>https://y.gtimg.cn/music/photo_new/T002R500x500M000002PtA2u0hqulV_1.jpg</x:v>
      </x:c>
      <x:c r="U554" s="24" t="str">
        <x:f>IFERROR(VLOOKUP(I554,'07_字典与参数'!$G$5:$J$9,2,FALSE),"未入选")</x:f>
        <x:v>未入选</x:v>
      </x:c>
      <x:c r="V554" s="24" t="str">
        <x:f>IFERROR(VLOOKUP(I554,'07_字典与参数'!$G$5:$J$9,3,FALSE),"—")</x:f>
        <x:v>—</x:v>
      </x:c>
      <x:c r="W554" s="24" t="str">
        <x:f>IF(U554="未入选","否","是")</x:f>
        <x:v>否</x:v>
      </x:c>
    </x:row>
    <x:row r="555">
      <x:c r="A555" t="n">
        <x:v>202630</x:v>
      </x:c>
      <x:c r="B555" t="str">
        <x:v>第30期（07.27-08.02）</x:v>
      </x:c>
      <x:c r="C555" t="str">
        <x:v>2026-07-27</x:v>
      </x:c>
      <x:c r="D555" t="str">
        <x:v>2026-08-02</x:v>
      </x:c>
      <x:c r="E555" t="n">
        <x:v>151</x:v>
      </x:c>
      <x:c r="F555" t="n">
        <x:v>513183074</x:v>
      </x:c>
      <x:c r="G555" t="str">
        <x:v>老歌</x:v>
      </x:c>
      <x:c r="H555" t="str">
        <x:v>许嵩</x:v>
      </x:c>
      <x:c r="I555" t="str">
        <x:v>001dHWRw44FBP3</x:v>
      </x:c>
      <x:c r="J555" t="str">
        <x:v>False</x:v>
      </x:c>
      <x:c r="K555" t="n">
        <x:v>148</x:v>
      </x:c>
      <x:c r="L555" t="n">
        <x:v>0</x:v>
      </x:c>
      <x:c r="M555" t="n">
        <x:v>0</x:v>
      </x:c>
      <x:c r="N555" t="n">
        <x:v>80.72269</x:v>
      </x:c>
      <x:c r="O555" t="n">
        <x:v>68.05</x:v>
      </x:c>
      <x:c r="P555" t="n">
        <x:v>0</x:v>
      </x:c>
      <x:c r="Q555" t="n">
        <x:v>0</x:v>
      </x:c>
      <x:c r="R555" t="n">
        <x:v>3.48</x:v>
      </x:c>
      <x:c r="S555" t="n">
        <x:v>40.31</x:v>
      </x:c>
      <x:c r="T555" t="str">
        <x:v>https://y.gtimg.cn/music/photo_new/T002R500x500M000001Oqn952HAPRk_1.jpg</x:v>
      </x:c>
      <x:c r="U555" s="24" t="str">
        <x:f>IFERROR(VLOOKUP(I555,'07_字典与参数'!$G$5:$J$9,2,FALSE),"未入选")</x:f>
        <x:v>未入选</x:v>
      </x:c>
      <x:c r="V555" s="24" t="str">
        <x:f>IFERROR(VLOOKUP(I555,'07_字典与参数'!$G$5:$J$9,3,FALSE),"—")</x:f>
        <x:v>—</x:v>
      </x:c>
      <x:c r="W555" s="24" t="str">
        <x:f>IF(U555="未入选","否","是")</x:f>
        <x:v>否</x:v>
      </x:c>
    </x:row>
    <x:row r="556">
      <x:c r="A556" t="n">
        <x:v>202630</x:v>
      </x:c>
      <x:c r="B556" t="str">
        <x:v>第30期（07.27-08.02）</x:v>
      </x:c>
      <x:c r="C556" t="str">
        <x:v>2026-07-27</x:v>
      </x:c>
      <x:c r="D556" t="str">
        <x:v>2026-08-02</x:v>
      </x:c>
      <x:c r="E556" t="n">
        <x:v>152</x:v>
      </x:c>
      <x:c r="F556" t="n">
        <x:v>524671893</x:v>
      </x:c>
      <x:c r="G556" t="str">
        <x:v>依兰爱情故事</x:v>
      </x:c>
      <x:c r="H556" t="str">
        <x:v>金志文</x:v>
      </x:c>
      <x:c r="I556" t="str">
        <x:v>003wJze11ABhHl</x:v>
      </x:c>
      <x:c r="J556" t="str">
        <x:v>False</x:v>
      </x:c>
      <x:c r="K556" t="n">
        <x:v>132</x:v>
      </x:c>
      <x:c r="L556" t="n">
        <x:v>0</x:v>
      </x:c>
      <x:c r="M556" t="n">
        <x:v>0</x:v>
      </x:c>
      <x:c r="N556" t="n">
        <x:v>80.67453</x:v>
      </x:c>
      <x:c r="O556" t="n">
        <x:v>69.61</x:v>
      </x:c>
      <x:c r="P556" t="n">
        <x:v>0</x:v>
      </x:c>
      <x:c r="Q556" t="n">
        <x:v>0</x:v>
      </x:c>
      <x:c r="R556" t="n">
        <x:v>4.72</x:v>
      </x:c>
      <x:c r="S556" t="n">
        <x:v>26.1</x:v>
      </x:c>
      <x:c r="T556" t="str">
        <x:v>https://y.gtimg.cn/music/photo_new/T002R500x500M000003kMWUy2EinCC_2.jpg</x:v>
      </x:c>
      <x:c r="U556" s="24" t="str">
        <x:f>IFERROR(VLOOKUP(I556,'07_字典与参数'!$G$5:$J$9,2,FALSE),"未入选")</x:f>
        <x:v>未入选</x:v>
      </x:c>
      <x:c r="V556" s="24" t="str">
        <x:f>IFERROR(VLOOKUP(I556,'07_字典与参数'!$G$5:$J$9,3,FALSE),"—")</x:f>
        <x:v>—</x:v>
      </x:c>
      <x:c r="W556" s="24" t="str">
        <x:f>IF(U556="未入选","否","是")</x:f>
        <x:v>否</x:v>
      </x:c>
    </x:row>
    <x:row r="557">
      <x:c r="A557" t="n">
        <x:v>202630</x:v>
      </x:c>
      <x:c r="B557" t="str">
        <x:v>第30期（07.27-08.02）</x:v>
      </x:c>
      <x:c r="C557" t="str">
        <x:v>2026-07-27</x:v>
      </x:c>
      <x:c r="D557" t="str">
        <x:v>2026-08-02</x:v>
      </x:c>
      <x:c r="E557" t="n">
        <x:v>153</x:v>
      </x:c>
      <x:c r="F557" t="n">
        <x:v>493990931</x:v>
      </x:c>
      <x:c r="G557" t="str">
        <x:v>Alive</x:v>
      </x:c>
      <x:c r="H557" t="str">
        <x:v>王嘉尔,五月天 阿信</x:v>
      </x:c>
      <x:c r="I557" t="str">
        <x:v>0013X2Uy17E28w</x:v>
      </x:c>
      <x:c r="J557" t="str">
        <x:v>False</x:v>
      </x:c>
      <x:c r="K557" t="n">
        <x:v>115</x:v>
      </x:c>
      <x:c r="L557" t="n">
        <x:v>0</x:v>
      </x:c>
      <x:c r="M557" t="n">
        <x:v>0</x:v>
      </x:c>
      <x:c r="N557" t="n">
        <x:v>80.63465</x:v>
      </x:c>
      <x:c r="O557" t="n">
        <x:v>70.08</x:v>
      </x:c>
      <x:c r="P557" t="n">
        <x:v>0</x:v>
      </x:c>
      <x:c r="Q557" t="n">
        <x:v>0</x:v>
      </x:c>
      <x:c r="R557" t="n">
        <x:v>1.74</x:v>
      </x:c>
      <x:c r="S557" t="n">
        <x:v>16.76</x:v>
      </x:c>
      <x:c r="T557" t="str">
        <x:v>https://y.gtimg.cn/music/photo_new/T002R500x500M000001PC3JU3e688L_2.jpg</x:v>
      </x:c>
      <x:c r="U557" s="24" t="str">
        <x:f>IFERROR(VLOOKUP(I557,'07_字典与参数'!$G$5:$J$9,2,FALSE),"未入选")</x:f>
        <x:v>未入选</x:v>
      </x:c>
      <x:c r="V557" s="24" t="str">
        <x:f>IFERROR(VLOOKUP(I557,'07_字典与参数'!$G$5:$J$9,3,FALSE),"—")</x:f>
        <x:v>—</x:v>
      </x:c>
      <x:c r="W557" s="24" t="str">
        <x:f>IF(U557="未入选","否","是")</x:f>
        <x:v>否</x:v>
      </x:c>
    </x:row>
    <x:row r="558">
      <x:c r="A558" t="n">
        <x:v>202630</x:v>
      </x:c>
      <x:c r="B558" t="str">
        <x:v>第30期（07.27-08.02）</x:v>
      </x:c>
      <x:c r="C558" t="str">
        <x:v>2026-07-27</x:v>
      </x:c>
      <x:c r="D558" t="str">
        <x:v>2026-08-02</x:v>
      </x:c>
      <x:c r="E558" t="n">
        <x:v>154</x:v>
      </x:c>
      <x:c r="F558" t="n">
        <x:v>495396282</x:v>
      </x:c>
      <x:c r="G558" t="str">
        <x:v>一曲相思(欲问青天这人生有几何)</x:v>
      </x:c>
      <x:c r="H558" t="str">
        <x:v>海来阿木</x:v>
      </x:c>
      <x:c r="I558" t="str">
        <x:v>0029SPEq1UThNj</x:v>
      </x:c>
      <x:c r="J558" t="str">
        <x:v>False</x:v>
      </x:c>
      <x:c r="K558" t="n">
        <x:v>146</x:v>
      </x:c>
      <x:c r="L558" t="n">
        <x:v>0</x:v>
      </x:c>
      <x:c r="M558" t="n">
        <x:v>0</x:v>
      </x:c>
      <x:c r="N558" t="n">
        <x:v>80.56978</x:v>
      </x:c>
      <x:c r="O558" t="n">
        <x:v>69.15</x:v>
      </x:c>
      <x:c r="P558" t="n">
        <x:v>0</x:v>
      </x:c>
      <x:c r="Q558" t="n">
        <x:v>0</x:v>
      </x:c>
      <x:c r="R558" t="n">
        <x:v>11.38</x:v>
      </x:c>
      <x:c r="S558" t="n">
        <x:v>19.54</x:v>
      </x:c>
      <x:c r="T558" t="str">
        <x:v>https://y.gtimg.cn/music/photo_new/T002R500x500M0000034yzah0TRjti_1.jpg</x:v>
      </x:c>
      <x:c r="U558" s="24" t="str">
        <x:f>IFERROR(VLOOKUP(I558,'07_字典与参数'!$G$5:$J$9,2,FALSE),"未入选")</x:f>
        <x:v>未入选</x:v>
      </x:c>
      <x:c r="V558" s="24" t="str">
        <x:f>IFERROR(VLOOKUP(I558,'07_字典与参数'!$G$5:$J$9,3,FALSE),"—")</x:f>
        <x:v>—</x:v>
      </x:c>
      <x:c r="W558" s="24" t="str">
        <x:f>IF(U558="未入选","否","是")</x:f>
        <x:v>否</x:v>
      </x:c>
    </x:row>
    <x:row r="559">
      <x:c r="A559" t="n">
        <x:v>202630</x:v>
      </x:c>
      <x:c r="B559" t="str">
        <x:v>第30期（07.27-08.02）</x:v>
      </x:c>
      <x:c r="C559" t="str">
        <x:v>2026-07-27</x:v>
      </x:c>
      <x:c r="D559" t="str">
        <x:v>2026-08-02</x:v>
      </x:c>
      <x:c r="E559" t="n">
        <x:v>155</x:v>
      </x:c>
      <x:c r="F559" t="n">
        <x:v>511809673</x:v>
      </x:c>
      <x:c r="G559" t="str">
        <x:v>人间</x:v>
      </x:c>
      <x:c r="H559" t="str">
        <x:v>刘宇宁</x:v>
      </x:c>
      <x:c r="I559" t="str">
        <x:v>002dyLPw3kRsuA</x:v>
      </x:c>
      <x:c r="J559" t="str">
        <x:v>False</x:v>
      </x:c>
      <x:c r="K559" t="n">
        <x:v>143</x:v>
      </x:c>
      <x:c r="L559" t="n">
        <x:v>0</x:v>
      </x:c>
      <x:c r="M559" t="n">
        <x:v>0</x:v>
      </x:c>
      <x:c r="N559" t="n">
        <x:v>80.53199</x:v>
      </x:c>
      <x:c r="O559" t="n">
        <x:v>64.39</x:v>
      </x:c>
      <x:c r="P559" t="n">
        <x:v>0</x:v>
      </x:c>
      <x:c r="Q559" t="n">
        <x:v>0</x:v>
      </x:c>
      <x:c r="R559" t="n">
        <x:v>7.54</x:v>
      </x:c>
      <x:c r="S559" t="n">
        <x:v>43.82</x:v>
      </x:c>
      <x:c r="T559" t="str">
        <x:v>https://y.qq.com/music/photo_new/T062R500x500M000001Plf3T3zraRt.jpg</x:v>
      </x:c>
      <x:c r="U559" s="24" t="str">
        <x:f>IFERROR(VLOOKUP(I559,'07_字典与参数'!$G$5:$J$9,2,FALSE),"未入选")</x:f>
        <x:v>未入选</x:v>
      </x:c>
      <x:c r="V559" s="24" t="str">
        <x:f>IFERROR(VLOOKUP(I559,'07_字典与参数'!$G$5:$J$9,3,FALSE),"—")</x:f>
        <x:v>—</x:v>
      </x:c>
      <x:c r="W559" s="24" t="str">
        <x:f>IF(U559="未入选","否","是")</x:f>
        <x:v>否</x:v>
      </x:c>
    </x:row>
    <x:row r="560">
      <x:c r="A560" t="n">
        <x:v>202630</x:v>
      </x:c>
      <x:c r="B560" t="str">
        <x:v>第30期（07.27-08.02）</x:v>
      </x:c>
      <x:c r="C560" t="str">
        <x:v>2026-07-27</x:v>
      </x:c>
      <x:c r="D560" t="str">
        <x:v>2026-08-02</x:v>
      </x:c>
      <x:c r="E560" t="n">
        <x:v>156</x:v>
      </x:c>
      <x:c r="F560" t="n">
        <x:v>533504872</x:v>
      </x:c>
      <x:c r="G560" t="str">
        <x:v>怪我们缘分太浅（别难过）</x:v>
      </x:c>
      <x:c r="H560" t="str">
        <x:v>刘纯</x:v>
      </x:c>
      <x:c r="I560" t="str">
        <x:v>001g7QR32QGitR</x:v>
      </x:c>
      <x:c r="J560" t="str">
        <x:v>False</x:v>
      </x:c>
      <x:c r="K560" t="n">
        <x:v>0</x:v>
      </x:c>
      <x:c r="L560" t="n">
        <x:v>0</x:v>
      </x:c>
      <x:c r="M560" t="n">
        <x:v>0</x:v>
      </x:c>
      <x:c r="N560" t="n">
        <x:v>80.49</x:v>
      </x:c>
      <x:c r="O560" t="n">
        <x:v>69.21</x:v>
      </x:c>
      <x:c r="P560" t="n">
        <x:v>0</x:v>
      </x:c>
      <x:c r="Q560" t="n">
        <x:v>0</x:v>
      </x:c>
      <x:c r="R560" t="n">
        <x:v>2.84</x:v>
      </x:c>
      <x:c r="S560" t="n">
        <x:v>25.77</x:v>
      </x:c>
      <x:c r="T560" t="str">
        <x:v>https://y.gtimg.cn/music/photo_new/T002R500x500M000000c7mGD1sZo7M_1.jpg</x:v>
      </x:c>
      <x:c r="U560" s="24" t="str">
        <x:f>IFERROR(VLOOKUP(I560,'07_字典与参数'!$G$5:$J$9,2,FALSE),"未入选")</x:f>
        <x:v>未入选</x:v>
      </x:c>
      <x:c r="V560" s="24" t="str">
        <x:f>IFERROR(VLOOKUP(I560,'07_字典与参数'!$G$5:$J$9,3,FALSE),"—")</x:f>
        <x:v>—</x:v>
      </x:c>
      <x:c r="W560" s="24" t="str">
        <x:f>IF(U560="未入选","否","是")</x:f>
        <x:v>否</x:v>
      </x:c>
    </x:row>
    <x:row r="561">
      <x:c r="A561" t="n">
        <x:v>202630</x:v>
      </x:c>
      <x:c r="B561" t="str">
        <x:v>第30期（07.27-08.02）</x:v>
      </x:c>
      <x:c r="C561" t="str">
        <x:v>2026-07-27</x:v>
      </x:c>
      <x:c r="D561" t="str">
        <x:v>2026-08-02</x:v>
      </x:c>
      <x:c r="E561" t="n">
        <x:v>157</x:v>
      </x:c>
      <x:c r="F561" t="n">
        <x:v>536626031</x:v>
      </x:c>
      <x:c r="G561" t="str">
        <x:v>飞行少年团 (空军招飞主题歌曲)</x:v>
      </x:c>
      <x:c r="H561" t="str">
        <x:v>易烊千玺</x:v>
      </x:c>
      <x:c r="I561" t="str">
        <x:v>000JiFHO13xTnP</x:v>
      </x:c>
      <x:c r="J561" t="str">
        <x:v>False</x:v>
      </x:c>
      <x:c r="K561" t="n">
        <x:v>0</x:v>
      </x:c>
      <x:c r="L561" t="n">
        <x:v>0</x:v>
      </x:c>
      <x:c r="M561" t="n">
        <x:v>0</x:v>
      </x:c>
      <x:c r="N561" t="n">
        <x:v>80.48522</x:v>
      </x:c>
      <x:c r="O561" t="n">
        <x:v>66.9</x:v>
      </x:c>
      <x:c r="P561" t="n">
        <x:v>0</x:v>
      </x:c>
      <x:c r="Q561" t="n">
        <x:v>0</x:v>
      </x:c>
      <x:c r="R561" t="n">
        <x:v>7.14</x:v>
      </x:c>
      <x:c r="S561" t="n">
        <x:v>40.47</x:v>
      </x:c>
      <x:c r="T561" t="str">
        <x:v>https://y.gtimg.cn/music/photo_new/T002R500x500M000000PqKbK3XBjFN_1.jpg</x:v>
      </x:c>
      <x:c r="U561" s="24" t="str">
        <x:f>IFERROR(VLOOKUP(I561,'07_字典与参数'!$G$5:$J$9,2,FALSE),"未入选")</x:f>
        <x:v>未入选</x:v>
      </x:c>
      <x:c r="V561" s="24" t="str">
        <x:f>IFERROR(VLOOKUP(I561,'07_字典与参数'!$G$5:$J$9,3,FALSE),"—")</x:f>
        <x:v>—</x:v>
      </x:c>
      <x:c r="W561" s="24" t="str">
        <x:f>IF(U561="未入选","否","是")</x:f>
        <x:v>否</x:v>
      </x:c>
    </x:row>
    <x:row r="562">
      <x:c r="A562" t="n">
        <x:v>202630</x:v>
      </x:c>
      <x:c r="B562" t="str">
        <x:v>第30期（07.27-08.02）</x:v>
      </x:c>
      <x:c r="C562" t="str">
        <x:v>2026-07-27</x:v>
      </x:c>
      <x:c r="D562" t="str">
        <x:v>2026-08-02</x:v>
      </x:c>
      <x:c r="E562" t="n">
        <x:v>158</x:v>
      </x:c>
      <x:c r="F562" t="n">
        <x:v>512967685</x:v>
      </x:c>
      <x:c r="G562" t="str">
        <x:v>赤子</x:v>
      </x:c>
      <x:c r="H562" t="str">
        <x:v>周深</x:v>
      </x:c>
      <x:c r="I562" t="str">
        <x:v>0010pjD24VRte6</x:v>
      </x:c>
      <x:c r="J562" t="str">
        <x:v>False</x:v>
      </x:c>
      <x:c r="K562" t="n">
        <x:v>153</x:v>
      </x:c>
      <x:c r="L562" t="n">
        <x:v>0</x:v>
      </x:c>
      <x:c r="M562" t="n">
        <x:v>0</x:v>
      </x:c>
      <x:c r="N562" t="n">
        <x:v>80.42642</x:v>
      </x:c>
      <x:c r="O562" t="n">
        <x:v>62.64</x:v>
      </x:c>
      <x:c r="P562" t="n">
        <x:v>0</x:v>
      </x:c>
      <x:c r="Q562" t="n">
        <x:v>0</x:v>
      </x:c>
      <x:c r="R562" t="n">
        <x:v>7.88</x:v>
      </x:c>
      <x:c r="S562" t="n">
        <x:v>45.62</x:v>
      </x:c>
      <x:c r="T562" t="str">
        <x:v>https://y.qq.com/music/photo_new/T062R500x500M0000015O72c2P9HAO.jpg</x:v>
      </x:c>
      <x:c r="U562" s="24" t="str">
        <x:f>IFERROR(VLOOKUP(I562,'07_字典与参数'!$G$5:$J$9,2,FALSE),"未入选")</x:f>
        <x:v>未入选</x:v>
      </x:c>
      <x:c r="V562" s="24" t="str">
        <x:f>IFERROR(VLOOKUP(I562,'07_字典与参数'!$G$5:$J$9,3,FALSE),"—")</x:f>
        <x:v>—</x:v>
      </x:c>
      <x:c r="W562" s="24" t="str">
        <x:f>IF(U562="未入选","否","是")</x:f>
        <x:v>否</x:v>
      </x:c>
    </x:row>
    <x:row r="563">
      <x:c r="A563" t="n">
        <x:v>202630</x:v>
      </x:c>
      <x:c r="B563" t="str">
        <x:v>第30期（07.27-08.02）</x:v>
      </x:c>
      <x:c r="C563" t="str">
        <x:v>2026-07-27</x:v>
      </x:c>
      <x:c r="D563" t="str">
        <x:v>2026-08-02</x:v>
      </x:c>
      <x:c r="E563" t="n">
        <x:v>159</x:v>
      </x:c>
      <x:c r="F563" t="n">
        <x:v>521535510</x:v>
      </x:c>
      <x:c r="G563" t="str">
        <x:v>如果他真的温柔</x:v>
      </x:c>
      <x:c r="H563" t="str">
        <x:v>郑大钱</x:v>
      </x:c>
      <x:c r="I563" t="str">
        <x:v>0025Atda0RmmVT</x:v>
      </x:c>
      <x:c r="J563" t="str">
        <x:v>False</x:v>
      </x:c>
      <x:c r="K563" t="n">
        <x:v>0</x:v>
      </x:c>
      <x:c r="L563" t="n">
        <x:v>0</x:v>
      </x:c>
      <x:c r="M563" t="n">
        <x:v>0</x:v>
      </x:c>
      <x:c r="N563" t="n">
        <x:v>80.37446</x:v>
      </x:c>
      <x:c r="O563" t="n">
        <x:v>69.8</x:v>
      </x:c>
      <x:c r="P563" t="n">
        <x:v>0</x:v>
      </x:c>
      <x:c r="Q563" t="n">
        <x:v>0</x:v>
      </x:c>
      <x:c r="R563" t="n">
        <x:v>2.51</x:v>
      </x:c>
      <x:c r="S563" t="n">
        <x:v>3.42</x:v>
      </x:c>
      <x:c r="T563" t="str">
        <x:v>https://y.gtimg.cn/music/photo_new/T002R500x500M000000hz6RF2BHIwB_1.jpg</x:v>
      </x:c>
      <x:c r="U563" s="24" t="str">
        <x:f>IFERROR(VLOOKUP(I563,'07_字典与参数'!$G$5:$J$9,2,FALSE),"未入选")</x:f>
        <x:v>未入选</x:v>
      </x:c>
      <x:c r="V563" s="24" t="str">
        <x:f>IFERROR(VLOOKUP(I563,'07_字典与参数'!$G$5:$J$9,3,FALSE),"—")</x:f>
        <x:v>—</x:v>
      </x:c>
      <x:c r="W563" s="24" t="str">
        <x:f>IF(U563="未入选","否","是")</x:f>
        <x:v>否</x:v>
      </x:c>
    </x:row>
    <x:row r="564">
      <x:c r="A564" t="n">
        <x:v>202630</x:v>
      </x:c>
      <x:c r="B564" t="str">
        <x:v>第30期（07.27-08.02）</x:v>
      </x:c>
      <x:c r="C564" t="str">
        <x:v>2026-07-27</x:v>
      </x:c>
      <x:c r="D564" t="str">
        <x:v>2026-08-02</x:v>
      </x:c>
      <x:c r="E564" t="n">
        <x:v>160</x:v>
      </x:c>
      <x:c r="F564" t="n">
        <x:v>517370193</x:v>
      </x:c>
      <x:c r="G564" t="str">
        <x:v>怎么能</x:v>
      </x:c>
      <x:c r="H564" t="str">
        <x:v>侯明昊</x:v>
      </x:c>
      <x:c r="I564" t="str">
        <x:v>003NyZSD2d3zPD</x:v>
      </x:c>
      <x:c r="J564" t="str">
        <x:v>False</x:v>
      </x:c>
      <x:c r="K564" t="n">
        <x:v>164</x:v>
      </x:c>
      <x:c r="L564" t="n">
        <x:v>0</x:v>
      </x:c>
      <x:c r="M564" t="n">
        <x:v>0</x:v>
      </x:c>
      <x:c r="N564" t="n">
        <x:v>80.18216</x:v>
      </x:c>
      <x:c r="O564" t="n">
        <x:v>60.8</x:v>
      </x:c>
      <x:c r="P564" t="n">
        <x:v>0</x:v>
      </x:c>
      <x:c r="Q564" t="n">
        <x:v>0</x:v>
      </x:c>
      <x:c r="R564" t="n">
        <x:v>8.96</x:v>
      </x:c>
      <x:c r="S564" t="n">
        <x:v>46.9</x:v>
      </x:c>
      <x:c r="T564" t="str">
        <x:v>https://y.gtimg.cn/music/photo_new/T002R500x500M000000SnDwr12zILh_2.jpg</x:v>
      </x:c>
      <x:c r="U564" s="24" t="str">
        <x:f>IFERROR(VLOOKUP(I564,'07_字典与参数'!$G$5:$J$9,2,FALSE),"未入选")</x:f>
        <x:v>未入选</x:v>
      </x:c>
      <x:c r="V564" s="24" t="str">
        <x:f>IFERROR(VLOOKUP(I564,'07_字典与参数'!$G$5:$J$9,3,FALSE),"—")</x:f>
        <x:v>—</x:v>
      </x:c>
      <x:c r="W564" s="24" t="str">
        <x:f>IF(U564="未入选","否","是")</x:f>
        <x:v>否</x:v>
      </x:c>
    </x:row>
    <x:row r="565">
      <x:c r="A565" t="n">
        <x:v>202630</x:v>
      </x:c>
      <x:c r="B565" t="str">
        <x:v>第30期（07.27-08.02）</x:v>
      </x:c>
      <x:c r="C565" t="str">
        <x:v>2026-07-27</x:v>
      </x:c>
      <x:c r="D565" t="str">
        <x:v>2026-08-02</x:v>
      </x:c>
      <x:c r="E565" t="n">
        <x:v>161</x:v>
      </x:c>
      <x:c r="F565" t="n">
        <x:v>513759558</x:v>
      </x:c>
      <x:c r="G565" t="str">
        <x:v>浮生若梦</x:v>
      </x:c>
      <x:c r="H565" t="str">
        <x:v>周深</x:v>
      </x:c>
      <x:c r="I565" t="str">
        <x:v>002ElBqW0fEWXI</x:v>
      </x:c>
      <x:c r="J565" t="str">
        <x:v>False</x:v>
      </x:c>
      <x:c r="K565" t="n">
        <x:v>139</x:v>
      </x:c>
      <x:c r="L565" t="n">
        <x:v>0</x:v>
      </x:c>
      <x:c r="M565" t="n">
        <x:v>0</x:v>
      </x:c>
      <x:c r="N565" t="n">
        <x:v>80.13676</x:v>
      </x:c>
      <x:c r="O565" t="n">
        <x:v>61.18</x:v>
      </x:c>
      <x:c r="P565" t="n">
        <x:v>0</x:v>
      </x:c>
      <x:c r="Q565" t="n">
        <x:v>0</x:v>
      </x:c>
      <x:c r="R565" t="n">
        <x:v>9.93</x:v>
      </x:c>
      <x:c r="S565" t="n">
        <x:v>46.14</x:v>
      </x:c>
      <x:c r="T565" t="str">
        <x:v>https://y.qq.com/music/photo_new/T062R500x500M000003O2ogG11M5da.jpg</x:v>
      </x:c>
      <x:c r="U565" s="24" t="str">
        <x:f>IFERROR(VLOOKUP(I565,'07_字典与参数'!$G$5:$J$9,2,FALSE),"未入选")</x:f>
        <x:v>未入选</x:v>
      </x:c>
      <x:c r="V565" s="24" t="str">
        <x:f>IFERROR(VLOOKUP(I565,'07_字典与参数'!$G$5:$J$9,3,FALSE),"—")</x:f>
        <x:v>—</x:v>
      </x:c>
      <x:c r="W565" s="24" t="str">
        <x:f>IF(U565="未入选","否","是")</x:f>
        <x:v>否</x:v>
      </x:c>
    </x:row>
    <x:row r="566">
      <x:c r="A566" t="n">
        <x:v>202630</x:v>
      </x:c>
      <x:c r="B566" t="str">
        <x:v>第30期（07.27-08.02）</x:v>
      </x:c>
      <x:c r="C566" t="str">
        <x:v>2026-07-27</x:v>
      </x:c>
      <x:c r="D566" t="str">
        <x:v>2026-08-02</x:v>
      </x:c>
      <x:c r="E566" t="n">
        <x:v>162</x:v>
      </x:c>
      <x:c r="F566" t="n">
        <x:v>522467071</x:v>
      </x:c>
      <x:c r="G566" t="str">
        <x:v>Stutter Love</x:v>
      </x:c>
      <x:c r="H566" t="str">
        <x:v>张艺兴</x:v>
      </x:c>
      <x:c r="I566" t="str">
        <x:v>001yHHuv27IjyT</x:v>
      </x:c>
      <x:c r="J566" t="str">
        <x:v>False</x:v>
      </x:c>
      <x:c r="K566" t="n">
        <x:v>0</x:v>
      </x:c>
      <x:c r="L566" t="n">
        <x:v>0</x:v>
      </x:c>
      <x:c r="M566" t="n">
        <x:v>0</x:v>
      </x:c>
      <x:c r="N566" t="n">
        <x:v>80.08881</x:v>
      </x:c>
      <x:c r="O566" t="n">
        <x:v>57.72</x:v>
      </x:c>
      <x:c r="P566" t="n">
        <x:v>0</x:v>
      </x:c>
      <x:c r="Q566" t="n">
        <x:v>0</x:v>
      </x:c>
      <x:c r="R566" t="n">
        <x:v>42.33</x:v>
      </x:c>
      <x:c r="S566" t="n">
        <x:v>35.88</x:v>
      </x:c>
      <x:c r="T566" t="str">
        <x:v>https://y.gtimg.cn/music/photo_new/T002R500x500M000001w138z3PZEcz_1.jpg</x:v>
      </x:c>
      <x:c r="U566" s="24" t="str">
        <x:f>IFERROR(VLOOKUP(I566,'07_字典与参数'!$G$5:$J$9,2,FALSE),"未入选")</x:f>
        <x:v>未入选</x:v>
      </x:c>
      <x:c r="V566" s="24" t="str">
        <x:f>IFERROR(VLOOKUP(I566,'07_字典与参数'!$G$5:$J$9,3,FALSE),"—")</x:f>
        <x:v>—</x:v>
      </x:c>
      <x:c r="W566" s="24" t="str">
        <x:f>IF(U566="未入选","否","是")</x:f>
        <x:v>否</x:v>
      </x:c>
    </x:row>
    <x:row r="567">
      <x:c r="A567" t="n">
        <x:v>202630</x:v>
      </x:c>
      <x:c r="B567" t="str">
        <x:v>第30期（07.27-08.02）</x:v>
      </x:c>
      <x:c r="C567" t="str">
        <x:v>2026-07-27</x:v>
      </x:c>
      <x:c r="D567" t="str">
        <x:v>2026-08-02</x:v>
      </x:c>
      <x:c r="E567" t="n">
        <x:v>163</x:v>
      </x:c>
      <x:c r="F567" t="n">
        <x:v>490409162</x:v>
      </x:c>
      <x:c r="G567" t="str">
        <x:v>满心愧疚 </x:v>
      </x:c>
      <x:c r="H567" t="str">
        <x:v>金润吉</x:v>
      </x:c>
      <x:c r="I567" t="str">
        <x:v>003ht8Pb1OsDla</x:v>
      </x:c>
      <x:c r="J567" t="str">
        <x:v>False</x:v>
      </x:c>
      <x:c r="K567" t="n">
        <x:v>166</x:v>
      </x:c>
      <x:c r="L567" t="n">
        <x:v>0</x:v>
      </x:c>
      <x:c r="M567" t="n">
        <x:v>0</x:v>
      </x:c>
      <x:c r="N567" t="n">
        <x:v>80.08777</x:v>
      </x:c>
      <x:c r="O567" t="n">
        <x:v>67.98</x:v>
      </x:c>
      <x:c r="P567" t="n">
        <x:v>0</x:v>
      </x:c>
      <x:c r="Q567" t="n">
        <x:v>0</x:v>
      </x:c>
      <x:c r="R567" t="n">
        <x:v>8.62</x:v>
      </x:c>
      <x:c r="S567" t="n">
        <x:v>17.1</x:v>
      </x:c>
      <x:c r="T567" t="str">
        <x:v>https://y.gtimg.cn/music/photo_new/T002R500x500M000000cpsDu4LdGQl_1.jpg</x:v>
      </x:c>
      <x:c r="U567" s="24" t="str">
        <x:f>IFERROR(VLOOKUP(I567,'07_字典与参数'!$G$5:$J$9,2,FALSE),"未入选")</x:f>
        <x:v>未入选</x:v>
      </x:c>
      <x:c r="V567" s="24" t="str">
        <x:f>IFERROR(VLOOKUP(I567,'07_字典与参数'!$G$5:$J$9,3,FALSE),"—")</x:f>
        <x:v>—</x:v>
      </x:c>
      <x:c r="W567" s="24" t="str">
        <x:f>IF(U567="未入选","否","是")</x:f>
        <x:v>否</x:v>
      </x:c>
    </x:row>
    <x:row r="568">
      <x:c r="A568" t="n">
        <x:v>202630</x:v>
      </x:c>
      <x:c r="B568" t="str">
        <x:v>第30期（07.27-08.02）</x:v>
      </x:c>
      <x:c r="C568" t="str">
        <x:v>2026-07-27</x:v>
      </x:c>
      <x:c r="D568" t="str">
        <x:v>2026-08-02</x:v>
      </x:c>
      <x:c r="E568" t="n">
        <x:v>164</x:v>
      </x:c>
      <x:c r="F568" t="n">
        <x:v>532871828</x:v>
      </x:c>
      <x:c r="G568" t="str">
        <x:v>Knows The Sky All</x:v>
      </x:c>
      <x:c r="H568" t="str">
        <x:v>小困困</x:v>
      </x:c>
      <x:c r="I568" t="str">
        <x:v>004FbcFV1FwpLq</x:v>
      </x:c>
      <x:c r="J568" t="str">
        <x:v>False</x:v>
      </x:c>
      <x:c r="K568" t="n">
        <x:v>0</x:v>
      </x:c>
      <x:c r="L568" t="n">
        <x:v>0</x:v>
      </x:c>
      <x:c r="M568" t="n">
        <x:v>0</x:v>
      </x:c>
      <x:c r="N568" t="n">
        <x:v>80.06336</x:v>
      </x:c>
      <x:c r="O568" t="n">
        <x:v>68.83</x:v>
      </x:c>
      <x:c r="P568" t="n">
        <x:v>0</x:v>
      </x:c>
      <x:c r="Q568" t="n">
        <x:v>0</x:v>
      </x:c>
      <x:c r="R568" t="n">
        <x:v>2.4</x:v>
      </x:c>
      <x:c r="S568" t="n">
        <x:v>4.39</x:v>
      </x:c>
      <x:c r="T568" t="str">
        <x:v>https://y.gtimg.cn/music/photo_new/T002R500x500M0000033522S4LccuW_1.jpg</x:v>
      </x:c>
      <x:c r="U568" s="24" t="str">
        <x:f>IFERROR(VLOOKUP(I568,'07_字典与参数'!$G$5:$J$9,2,FALSE),"未入选")</x:f>
        <x:v>未入选</x:v>
      </x:c>
      <x:c r="V568" s="24" t="str">
        <x:f>IFERROR(VLOOKUP(I568,'07_字典与参数'!$G$5:$J$9,3,FALSE),"—")</x:f>
        <x:v>—</x:v>
      </x:c>
      <x:c r="W568" s="24" t="str">
        <x:f>IF(U568="未入选","否","是")</x:f>
        <x:v>否</x:v>
      </x:c>
    </x:row>
    <x:row r="569">
      <x:c r="A569" t="n">
        <x:v>202630</x:v>
      </x:c>
      <x:c r="B569" t="str">
        <x:v>第30期（07.27-08.02）</x:v>
      </x:c>
      <x:c r="C569" t="str">
        <x:v>2026-07-27</x:v>
      </x:c>
      <x:c r="D569" t="str">
        <x:v>2026-08-02</x:v>
      </x:c>
      <x:c r="E569" t="n">
        <x:v>165</x:v>
      </x:c>
      <x:c r="F569" t="n">
        <x:v>513156090</x:v>
      </x:c>
      <x:c r="G569" t="str">
        <x:v>66传奇</x:v>
      </x:c>
      <x:c r="H569" t="str">
        <x:v>阿酣</x:v>
      </x:c>
      <x:c r="I569" t="str">
        <x:v>002hhopl4bGgR8</x:v>
      </x:c>
      <x:c r="J569" t="str">
        <x:v>False</x:v>
      </x:c>
      <x:c r="K569" t="n">
        <x:v>0</x:v>
      </x:c>
      <x:c r="L569" t="n">
        <x:v>0</x:v>
      </x:c>
      <x:c r="M569" t="n">
        <x:v>0</x:v>
      </x:c>
      <x:c r="N569" t="n">
        <x:v>80.05112</x:v>
      </x:c>
      <x:c r="O569" t="n">
        <x:v>68.87</x:v>
      </x:c>
      <x:c r="P569" t="n">
        <x:v>0</x:v>
      </x:c>
      <x:c r="Q569" t="n">
        <x:v>0</x:v>
      </x:c>
      <x:c r="R569" t="n">
        <x:v>0.51</x:v>
      </x:c>
      <x:c r="S569" t="n">
        <x:v>6.58</x:v>
      </x:c>
      <x:c r="T569" t="str">
        <x:v>https://y.gtimg.cn/music/photo_new/T002R500x500M000000iP0xn17HYJX_1.jpg</x:v>
      </x:c>
      <x:c r="U569" s="24" t="str">
        <x:f>IFERROR(VLOOKUP(I569,'07_字典与参数'!$G$5:$J$9,2,FALSE),"未入选")</x:f>
        <x:v>未入选</x:v>
      </x:c>
      <x:c r="V569" s="24" t="str">
        <x:f>IFERROR(VLOOKUP(I569,'07_字典与参数'!$G$5:$J$9,3,FALSE),"—")</x:f>
        <x:v>—</x:v>
      </x:c>
      <x:c r="W569" s="24" t="str">
        <x:f>IF(U569="未入选","否","是")</x:f>
        <x:v>否</x:v>
      </x:c>
    </x:row>
    <x:row r="570">
      <x:c r="A570" t="n">
        <x:v>202630</x:v>
      </x:c>
      <x:c r="B570" t="str">
        <x:v>第30期（07.27-08.02）</x:v>
      </x:c>
      <x:c r="C570" t="str">
        <x:v>2026-07-27</x:v>
      </x:c>
      <x:c r="D570" t="str">
        <x:v>2026-08-02</x:v>
      </x:c>
      <x:c r="E570" t="n">
        <x:v>166</x:v>
      </x:c>
      <x:c r="F570" t="n">
        <x:v>531107833</x:v>
      </x:c>
      <x:c r="G570" t="str">
        <x:v>多年不见你过的好吗</x:v>
      </x:c>
      <x:c r="H570" t="str">
        <x:v>洛琦</x:v>
      </x:c>
      <x:c r="I570" t="str">
        <x:v>0048j6ba4I223C</x:v>
      </x:c>
      <x:c r="J570" t="str">
        <x:v>False</x:v>
      </x:c>
      <x:c r="K570" t="n">
        <x:v>173</x:v>
      </x:c>
      <x:c r="L570" t="n">
        <x:v>0</x:v>
      </x:c>
      <x:c r="M570" t="n">
        <x:v>0</x:v>
      </x:c>
      <x:c r="N570" t="n">
        <x:v>79.97557</x:v>
      </x:c>
      <x:c r="O570" t="n">
        <x:v>68.79</x:v>
      </x:c>
      <x:c r="P570" t="n">
        <x:v>0</x:v>
      </x:c>
      <x:c r="Q570" t="n">
        <x:v>0</x:v>
      </x:c>
      <x:c r="R570" t="n">
        <x:v>0.33</x:v>
      </x:c>
      <x:c r="S570" t="n">
        <x:v>3.7</x:v>
      </x:c>
      <x:c r="T570" t="str">
        <x:v>https://y.gtimg.cn/music/photo_new/T002R500x500M000003KpQnE4I6voF_1.jpg</x:v>
      </x:c>
      <x:c r="U570" s="24" t="str">
        <x:f>IFERROR(VLOOKUP(I570,'07_字典与参数'!$G$5:$J$9,2,FALSE),"未入选")</x:f>
        <x:v>未入选</x:v>
      </x:c>
      <x:c r="V570" s="24" t="str">
        <x:f>IFERROR(VLOOKUP(I570,'07_字典与参数'!$G$5:$J$9,3,FALSE),"—")</x:f>
        <x:v>—</x:v>
      </x:c>
      <x:c r="W570" s="24" t="str">
        <x:f>IF(U570="未入选","否","是")</x:f>
        <x:v>否</x:v>
      </x:c>
    </x:row>
    <x:row r="571">
      <x:c r="A571" t="n">
        <x:v>202630</x:v>
      </x:c>
      <x:c r="B571" t="str">
        <x:v>第30期（07.27-08.02）</x:v>
      </x:c>
      <x:c r="C571" t="str">
        <x:v>2026-07-27</x:v>
      </x:c>
      <x:c r="D571" t="str">
        <x:v>2026-08-02</x:v>
      </x:c>
      <x:c r="E571" t="n">
        <x:v>167</x:v>
      </x:c>
      <x:c r="F571" t="n">
        <x:v>531111308</x:v>
      </x:c>
      <x:c r="G571" t="str">
        <x:v>想得美</x:v>
      </x:c>
      <x:c r="H571" t="str">
        <x:v>TOP登陆少年组合</x:v>
      </x:c>
      <x:c r="I571" t="str">
        <x:v>003QLx9h4Y71iu</x:v>
      </x:c>
      <x:c r="J571" t="str">
        <x:v>False</x:v>
      </x:c>
      <x:c r="K571" t="n">
        <x:v>142</x:v>
      </x:c>
      <x:c r="L571" t="n">
        <x:v>0</x:v>
      </x:c>
      <x:c r="M571" t="n">
        <x:v>0</x:v>
      </x:c>
      <x:c r="N571" t="n">
        <x:v>79.80467</x:v>
      </x:c>
      <x:c r="O571" t="n">
        <x:v>65.4</x:v>
      </x:c>
      <x:c r="P571" t="n">
        <x:v>0</x:v>
      </x:c>
      <x:c r="Q571" t="n">
        <x:v>0</x:v>
      </x:c>
      <x:c r="R571" t="n">
        <x:v>8.82</x:v>
      </x:c>
      <x:c r="S571" t="n">
        <x:v>39.81</x:v>
      </x:c>
      <x:c r="T571" t="str">
        <x:v>https://y.gtimg.cn/music/photo_new/T002R500x500M000002YPc1C0WN5qn_1.jpg</x:v>
      </x:c>
      <x:c r="U571" s="24" t="str">
        <x:f>IFERROR(VLOOKUP(I571,'07_字典与参数'!$G$5:$J$9,2,FALSE),"未入选")</x:f>
        <x:v>未入选</x:v>
      </x:c>
      <x:c r="V571" s="24" t="str">
        <x:f>IFERROR(VLOOKUP(I571,'07_字典与参数'!$G$5:$J$9,3,FALSE),"—")</x:f>
        <x:v>—</x:v>
      </x:c>
      <x:c r="W571" s="24" t="str">
        <x:f>IF(U571="未入选","否","是")</x:f>
        <x:v>否</x:v>
      </x:c>
    </x:row>
    <x:row r="572">
      <x:c r="A572" t="n">
        <x:v>202630</x:v>
      </x:c>
      <x:c r="B572" t="str">
        <x:v>第30期（07.27-08.02）</x:v>
      </x:c>
      <x:c r="C572" t="str">
        <x:v>2026-07-27</x:v>
      </x:c>
      <x:c r="D572" t="str">
        <x:v>2026-08-02</x:v>
      </x:c>
      <x:c r="E572" t="n">
        <x:v>168</x:v>
      </x:c>
      <x:c r="F572" t="n">
        <x:v>534985489</x:v>
      </x:c>
      <x:c r="G572" t="str">
        <x:v>清风微微</x:v>
      </x:c>
      <x:c r="H572" t="str">
        <x:v>曾舜晞</x:v>
      </x:c>
      <x:c r="I572" t="str">
        <x:v>002r2KrX1JWd1p</x:v>
      </x:c>
      <x:c r="J572" t="str">
        <x:v>False</x:v>
      </x:c>
      <x:c r="K572" t="n">
        <x:v>0</x:v>
      </x:c>
      <x:c r="L572" t="n">
        <x:v>0</x:v>
      </x:c>
      <x:c r="M572" t="n">
        <x:v>0</x:v>
      </x:c>
      <x:c r="N572" t="n">
        <x:v>79.66461</x:v>
      </x:c>
      <x:c r="O572" t="n">
        <x:v>67.96</x:v>
      </x:c>
      <x:c r="P572" t="n">
        <x:v>0</x:v>
      </x:c>
      <x:c r="Q572" t="n">
        <x:v>0</x:v>
      </x:c>
      <x:c r="R572" t="n">
        <x:v>1.29</x:v>
      </x:c>
      <x:c r="S572" t="n">
        <x:v>13.52</x:v>
      </x:c>
      <x:c r="T572" t="str">
        <x:v>https://y.gtimg.cn/music/photo_new/T002R500x500M000001lOTOO3XaXbu_1.jpg</x:v>
      </x:c>
      <x:c r="U572" s="24" t="str">
        <x:f>IFERROR(VLOOKUP(I572,'07_字典与参数'!$G$5:$J$9,2,FALSE),"未入选")</x:f>
        <x:v>未入选</x:v>
      </x:c>
      <x:c r="V572" s="24" t="str">
        <x:f>IFERROR(VLOOKUP(I572,'07_字典与参数'!$G$5:$J$9,3,FALSE),"—")</x:f>
        <x:v>—</x:v>
      </x:c>
      <x:c r="W572" s="24" t="str">
        <x:f>IF(U572="未入选","否","是")</x:f>
        <x:v>否</x:v>
      </x:c>
    </x:row>
    <x:row r="573">
      <x:c r="A573" t="n">
        <x:v>202630</x:v>
      </x:c>
      <x:c r="B573" t="str">
        <x:v>第30期（07.27-08.02）</x:v>
      </x:c>
      <x:c r="C573" t="str">
        <x:v>2026-07-27</x:v>
      </x:c>
      <x:c r="D573" t="str">
        <x:v>2026-08-02</x:v>
      </x:c>
      <x:c r="E573" t="n">
        <x:v>169</x:v>
      </x:c>
      <x:c r="F573" t="n">
        <x:v>520238249</x:v>
      </x:c>
      <x:c r="G573" t="str">
        <x:v>看山</x:v>
      </x:c>
      <x:c r="H573" t="str">
        <x:v>方大树,灯叔</x:v>
      </x:c>
      <x:c r="I573" t="str">
        <x:v>00445tP34GOx8n</x:v>
      </x:c>
      <x:c r="J573" t="str">
        <x:v>False</x:v>
      </x:c>
      <x:c r="K573" t="n">
        <x:v>160</x:v>
      </x:c>
      <x:c r="L573" t="n">
        <x:v>0</x:v>
      </x:c>
      <x:c r="M573" t="n">
        <x:v>0</x:v>
      </x:c>
      <x:c r="N573" t="n">
        <x:v>79.6108</x:v>
      </x:c>
      <x:c r="O573" t="n">
        <x:v>66.43</x:v>
      </x:c>
      <x:c r="P573" t="n">
        <x:v>0</x:v>
      </x:c>
      <x:c r="Q573" t="n">
        <x:v>0</x:v>
      </x:c>
      <x:c r="R573" t="n">
        <x:v>7.47</x:v>
      </x:c>
      <x:c r="S573" t="n">
        <x:v>30.63</x:v>
      </x:c>
      <x:c r="T573" t="str">
        <x:v>https://y.gtimg.cn/music/photo_new/T002R500x500M000003lKa1y3gVIvi_1.jpg</x:v>
      </x:c>
      <x:c r="U573" s="24" t="str">
        <x:f>IFERROR(VLOOKUP(I573,'07_字典与参数'!$G$5:$J$9,2,FALSE),"未入选")</x:f>
        <x:v>未入选</x:v>
      </x:c>
      <x:c r="V573" s="24" t="str">
        <x:f>IFERROR(VLOOKUP(I573,'07_字典与参数'!$G$5:$J$9,3,FALSE),"—")</x:f>
        <x:v>—</x:v>
      </x:c>
      <x:c r="W573" s="24" t="str">
        <x:f>IF(U573="未入选","否","是")</x:f>
        <x:v>否</x:v>
      </x:c>
    </x:row>
    <x:row r="574">
      <x:c r="A574" t="n">
        <x:v>202630</x:v>
      </x:c>
      <x:c r="B574" t="str">
        <x:v>第30期（07.27-08.02）</x:v>
      </x:c>
      <x:c r="C574" t="str">
        <x:v>2026-07-27</x:v>
      </x:c>
      <x:c r="D574" t="str">
        <x:v>2026-08-02</x:v>
      </x:c>
      <x:c r="E574" t="n">
        <x:v>170</x:v>
      </x:c>
      <x:c r="F574" t="n">
        <x:v>531377175</x:v>
      </x:c>
      <x:c r="G574" t="str">
        <x:v>破晓</x:v>
      </x:c>
      <x:c r="H574" t="str">
        <x:v>十个勤天</x:v>
      </x:c>
      <x:c r="I574" t="str">
        <x:v>0040bFEa46eiwG</x:v>
      </x:c>
      <x:c r="J574" t="str">
        <x:v>False</x:v>
      </x:c>
      <x:c r="K574" t="n">
        <x:v>185</x:v>
      </x:c>
      <x:c r="L574" t="n">
        <x:v>0</x:v>
      </x:c>
      <x:c r="M574" t="n">
        <x:v>0</x:v>
      </x:c>
      <x:c r="N574" t="n">
        <x:v>79.46407</x:v>
      </x:c>
      <x:c r="O574" t="n">
        <x:v>55.64</x:v>
      </x:c>
      <x:c r="P574" t="n">
        <x:v>0</x:v>
      </x:c>
      <x:c r="Q574" t="n">
        <x:v>0</x:v>
      </x:c>
      <x:c r="R574" t="n">
        <x:v>2.35</x:v>
      </x:c>
      <x:c r="S574" t="n">
        <x:v>49.04</x:v>
      </x:c>
      <x:c r="T574" t="str">
        <x:v>https://y.gtimg.cn/music/photo_new/T002R500x500M000003jlUc82XQcof_1.jpg</x:v>
      </x:c>
      <x:c r="U574" s="24" t="str">
        <x:f>IFERROR(VLOOKUP(I574,'07_字典与参数'!$G$5:$J$9,2,FALSE),"未入选")</x:f>
        <x:v>未入选</x:v>
      </x:c>
      <x:c r="V574" s="24" t="str">
        <x:f>IFERROR(VLOOKUP(I574,'07_字典与参数'!$G$5:$J$9,3,FALSE),"—")</x:f>
        <x:v>—</x:v>
      </x:c>
      <x:c r="W574" s="24" t="str">
        <x:f>IF(U574="未入选","否","是")</x:f>
        <x:v>否</x:v>
      </x:c>
    </x:row>
    <x:row r="575">
      <x:c r="A575" t="n">
        <x:v>202630</x:v>
      </x:c>
      <x:c r="B575" t="str">
        <x:v>第30期（07.27-08.02）</x:v>
      </x:c>
      <x:c r="C575" t="str">
        <x:v>2026-07-27</x:v>
      </x:c>
      <x:c r="D575" t="str">
        <x:v>2026-08-02</x:v>
      </x:c>
      <x:c r="E575" t="n">
        <x:v>171</x:v>
      </x:c>
      <x:c r="F575" t="n">
        <x:v>489778705</x:v>
      </x:c>
      <x:c r="G575" t="str">
        <x:v>Come What May</x:v>
      </x:c>
      <x:c r="H575" t="str">
        <x:v>王力宏</x:v>
      </x:c>
      <x:c r="I575" t="str">
        <x:v>00228bN72yDnTM</x:v>
      </x:c>
      <x:c r="J575" t="str">
        <x:v>False</x:v>
      </x:c>
      <x:c r="K575" t="n">
        <x:v>186</x:v>
      </x:c>
      <x:c r="L575" t="n">
        <x:v>0</x:v>
      </x:c>
      <x:c r="M575" t="n">
        <x:v>0</x:v>
      </x:c>
      <x:c r="N575" t="n">
        <x:v>79.42774</x:v>
      </x:c>
      <x:c r="O575" t="n">
        <x:v>61.53</x:v>
      </x:c>
      <x:c r="P575" t="n">
        <x:v>0</x:v>
      </x:c>
      <x:c r="Q575" t="n">
        <x:v>0</x:v>
      </x:c>
      <x:c r="R575" t="n">
        <x:v>26.03</x:v>
      </x:c>
      <x:c r="S575" t="n">
        <x:v>41.82</x:v>
      </x:c>
      <x:c r="T575" t="str">
        <x:v>https://y.gtimg.cn/music/photo_new/T002R500x500M000000S79v91L2U6W_1.jpg</x:v>
      </x:c>
      <x:c r="U575" s="24" t="str">
        <x:f>IFERROR(VLOOKUP(I575,'07_字典与参数'!$G$5:$J$9,2,FALSE),"未入选")</x:f>
        <x:v>未入选</x:v>
      </x:c>
      <x:c r="V575" s="24" t="str">
        <x:f>IFERROR(VLOOKUP(I575,'07_字典与参数'!$G$5:$J$9,3,FALSE),"—")</x:f>
        <x:v>—</x:v>
      </x:c>
      <x:c r="W575" s="24" t="str">
        <x:f>IF(U575="未入选","否","是")</x:f>
        <x:v>否</x:v>
      </x:c>
    </x:row>
    <x:row r="576">
      <x:c r="A576" t="n">
        <x:v>202630</x:v>
      </x:c>
      <x:c r="B576" t="str">
        <x:v>第30期（07.27-08.02）</x:v>
      </x:c>
      <x:c r="C576" t="str">
        <x:v>2026-07-27</x:v>
      </x:c>
      <x:c r="D576" t="str">
        <x:v>2026-08-02</x:v>
      </x:c>
      <x:c r="E576" t="n">
        <x:v>172</x:v>
      </x:c>
      <x:c r="F576" t="n">
        <x:v>536276801</x:v>
      </x:c>
      <x:c r="G576" t="str">
        <x:v>奉陪</x:v>
      </x:c>
      <x:c r="H576" t="str">
        <x:v>陈伟霆</x:v>
      </x:c>
      <x:c r="I576" t="str">
        <x:v>000MO8WK2C4svw</x:v>
      </x:c>
      <x:c r="J576" t="str">
        <x:v>False</x:v>
      </x:c>
      <x:c r="K576" t="n">
        <x:v>0</x:v>
      </x:c>
      <x:c r="L576" t="n">
        <x:v>0</x:v>
      </x:c>
      <x:c r="M576" t="n">
        <x:v>0</x:v>
      </x:c>
      <x:c r="N576" t="n">
        <x:v>79.35634</x:v>
      </x:c>
      <x:c r="O576" t="n">
        <x:v>42.51</x:v>
      </x:c>
      <x:c r="P576" t="n">
        <x:v>0</x:v>
      </x:c>
      <x:c r="Q576" t="n">
        <x:v>0</x:v>
      </x:c>
      <x:c r="R576" t="n">
        <x:v>8.65</x:v>
      </x:c>
      <x:c r="S576" t="n">
        <x:v>50.9</x:v>
      </x:c>
      <x:c r="T576" t="str">
        <x:v>https://y.qq.com/music/photo_new/T062R500x500M0000015ithe4cDyvp.jpg</x:v>
      </x:c>
      <x:c r="U576" s="24" t="str">
        <x:f>IFERROR(VLOOKUP(I576,'07_字典与参数'!$G$5:$J$9,2,FALSE),"未入选")</x:f>
        <x:v>未入选</x:v>
      </x:c>
      <x:c r="V576" s="24" t="str">
        <x:f>IFERROR(VLOOKUP(I576,'07_字典与参数'!$G$5:$J$9,3,FALSE),"—")</x:f>
        <x:v>—</x:v>
      </x:c>
      <x:c r="W576" s="24" t="str">
        <x:f>IF(U576="未入选","否","是")</x:f>
        <x:v>否</x:v>
      </x:c>
    </x:row>
    <x:row r="577">
      <x:c r="A577" t="n">
        <x:v>202630</x:v>
      </x:c>
      <x:c r="B577" t="str">
        <x:v>第30期（07.27-08.02）</x:v>
      </x:c>
      <x:c r="C577" t="str">
        <x:v>2026-07-27</x:v>
      </x:c>
      <x:c r="D577" t="str">
        <x:v>2026-08-02</x:v>
      </x:c>
      <x:c r="E577" t="n">
        <x:v>173</x:v>
      </x:c>
      <x:c r="F577" t="n">
        <x:v>513260499</x:v>
      </x:c>
      <x:c r="G577" t="str">
        <x:v>FIND THE WAY</x:v>
      </x:c>
      <x:c r="H577" t="str">
        <x:v>鞠婧祎</x:v>
      </x:c>
      <x:c r="I577" t="str">
        <x:v>00437uBu1XnGlr</x:v>
      </x:c>
      <x:c r="J577" t="str">
        <x:v>False</x:v>
      </x:c>
      <x:c r="K577" t="n">
        <x:v>172</x:v>
      </x:c>
      <x:c r="L577" t="n">
        <x:v>0</x:v>
      </x:c>
      <x:c r="M577" t="n">
        <x:v>0</x:v>
      </x:c>
      <x:c r="N577" t="n">
        <x:v>79.30902</x:v>
      </x:c>
      <x:c r="O577" t="n">
        <x:v>61.44</x:v>
      </x:c>
      <x:c r="P577" t="n">
        <x:v>0</x:v>
      </x:c>
      <x:c r="Q577" t="n">
        <x:v>0</x:v>
      </x:c>
      <x:c r="R577" t="n">
        <x:v>12.52</x:v>
      </x:c>
      <x:c r="S577" t="n">
        <x:v>43.76</x:v>
      </x:c>
      <x:c r="T577" t="str">
        <x:v>https://y.gtimg.cn/music/photo_new/T002R500x500M000003Dwzfn4263MZ_1.jpg</x:v>
      </x:c>
      <x:c r="U577" s="24" t="str">
        <x:f>IFERROR(VLOOKUP(I577,'07_字典与参数'!$G$5:$J$9,2,FALSE),"未入选")</x:f>
        <x:v>未入选</x:v>
      </x:c>
      <x:c r="V577" s="24" t="str">
        <x:f>IFERROR(VLOOKUP(I577,'07_字典与参数'!$G$5:$J$9,3,FALSE),"—")</x:f>
        <x:v>—</x:v>
      </x:c>
      <x:c r="W577" s="24" t="str">
        <x:f>IF(U577="未入选","否","是")</x:f>
        <x:v>否</x:v>
      </x:c>
    </x:row>
    <x:row r="578">
      <x:c r="A578" t="n">
        <x:v>202630</x:v>
      </x:c>
      <x:c r="B578" t="str">
        <x:v>第30期（07.27-08.02）</x:v>
      </x:c>
      <x:c r="C578" t="str">
        <x:v>2026-07-27</x:v>
      </x:c>
      <x:c r="D578" t="str">
        <x:v>2026-08-02</x:v>
      </x:c>
      <x:c r="E578" t="n">
        <x:v>174</x:v>
      </x:c>
      <x:c r="F578" t="n">
        <x:v>491996849</x:v>
      </x:c>
      <x:c r="G578" t="str">
        <x:v>张仙语三</x:v>
      </x:c>
      <x:c r="H578" t="str">
        <x:v>任素汐</x:v>
      </x:c>
      <x:c r="I578" t="str">
        <x:v>004Jrpe7322cCK</x:v>
      </x:c>
      <x:c r="J578" t="str">
        <x:v>False</x:v>
      </x:c>
      <x:c r="K578" t="n">
        <x:v>158</x:v>
      </x:c>
      <x:c r="L578" t="n">
        <x:v>0</x:v>
      </x:c>
      <x:c r="M578" t="n">
        <x:v>0</x:v>
      </x:c>
      <x:c r="N578" t="n">
        <x:v>79.2421</x:v>
      </x:c>
      <x:c r="O578" t="n">
        <x:v>66.64</x:v>
      </x:c>
      <x:c r="P578" t="n">
        <x:v>0</x:v>
      </x:c>
      <x:c r="Q578" t="n">
        <x:v>0</x:v>
      </x:c>
      <x:c r="R578" t="n">
        <x:v>5.75</x:v>
      </x:c>
      <x:c r="S578" t="n">
        <x:v>22.27</x:v>
      </x:c>
      <x:c r="T578" t="str">
        <x:v>https://y.gtimg.cn/music/photo_new/T002R500x500M0000033vNiW2uLR2S_1.jpg</x:v>
      </x:c>
      <x:c r="U578" s="24" t="str">
        <x:f>IFERROR(VLOOKUP(I578,'07_字典与参数'!$G$5:$J$9,2,FALSE),"未入选")</x:f>
        <x:v>未入选</x:v>
      </x:c>
      <x:c r="V578" s="24" t="str">
        <x:f>IFERROR(VLOOKUP(I578,'07_字典与参数'!$G$5:$J$9,3,FALSE),"—")</x:f>
        <x:v>—</x:v>
      </x:c>
      <x:c r="W578" s="24" t="str">
        <x:f>IF(U578="未入选","否","是")</x:f>
        <x:v>否</x:v>
      </x:c>
    </x:row>
    <x:row r="579">
      <x:c r="A579" t="n">
        <x:v>202630</x:v>
      </x:c>
      <x:c r="B579" t="str">
        <x:v>第30期（07.27-08.02）</x:v>
      </x:c>
      <x:c r="C579" t="str">
        <x:v>2026-07-27</x:v>
      </x:c>
      <x:c r="D579" t="str">
        <x:v>2026-08-02</x:v>
      </x:c>
      <x:c r="E579" t="n">
        <x:v>175</x:v>
      </x:c>
      <x:c r="F579" t="n">
        <x:v>532877240</x:v>
      </x:c>
      <x:c r="G579" t="str">
        <x:v>Hmm</x:v>
      </x:c>
      <x:c r="H579" t="str">
        <x:v>展轩</x:v>
      </x:c>
      <x:c r="I579" t="str">
        <x:v>002P1cUI2Ebaid</x:v>
      </x:c>
      <x:c r="J579" t="str">
        <x:v>False</x:v>
      </x:c>
      <x:c r="K579" t="n">
        <x:v>44</x:v>
      </x:c>
      <x:c r="L579" t="n">
        <x:v>0</x:v>
      </x:c>
      <x:c r="M579" t="n">
        <x:v>0</x:v>
      </x:c>
      <x:c r="N579" t="n">
        <x:v>79.13759</x:v>
      </x:c>
      <x:c r="O579" t="n">
        <x:v>59.31</x:v>
      </x:c>
      <x:c r="P579" t="n">
        <x:v>0</x:v>
      </x:c>
      <x:c r="Q579" t="n">
        <x:v>0</x:v>
      </x:c>
      <x:c r="R579" t="n">
        <x:v>22.38</x:v>
      </x:c>
      <x:c r="S579" t="n">
        <x:v>44.36</x:v>
      </x:c>
      <x:c r="T579" t="str">
        <x:v>https://y.gtimg.cn/music/photo_new/T002R500x500M000003g18kj4V3lZz_1.jpg</x:v>
      </x:c>
      <x:c r="U579" s="24" t="str">
        <x:f>IFERROR(VLOOKUP(I579,'07_字典与参数'!$G$5:$J$9,2,FALSE),"未入选")</x:f>
        <x:v>未入选</x:v>
      </x:c>
      <x:c r="V579" s="24" t="str">
        <x:f>IFERROR(VLOOKUP(I579,'07_字典与参数'!$G$5:$J$9,3,FALSE),"—")</x:f>
        <x:v>—</x:v>
      </x:c>
      <x:c r="W579" s="24" t="str">
        <x:f>IF(U579="未入选","否","是")</x:f>
        <x:v>否</x:v>
      </x:c>
    </x:row>
    <x:row r="580">
      <x:c r="A580" t="n">
        <x:v>202630</x:v>
      </x:c>
      <x:c r="B580" t="str">
        <x:v>第30期（07.27-08.02）</x:v>
      </x:c>
      <x:c r="C580" t="str">
        <x:v>2026-07-27</x:v>
      </x:c>
      <x:c r="D580" t="str">
        <x:v>2026-08-02</x:v>
      </x:c>
      <x:c r="E580" t="n">
        <x:v>176</x:v>
      </x:c>
      <x:c r="F580" t="n">
        <x:v>532849101</x:v>
      </x:c>
      <x:c r="G580" t="str">
        <x:v>见山</x:v>
      </x:c>
      <x:c r="H580" t="str">
        <x:v>水木年华</x:v>
      </x:c>
      <x:c r="I580" t="str">
        <x:v>0001S9B80rOMyG</x:v>
      </x:c>
      <x:c r="J580" t="str">
        <x:v>False</x:v>
      </x:c>
      <x:c r="K580" t="n">
        <x:v>199</x:v>
      </x:c>
      <x:c r="L580" t="n">
        <x:v>0</x:v>
      </x:c>
      <x:c r="M580" t="n">
        <x:v>0</x:v>
      </x:c>
      <x:c r="N580" t="n">
        <x:v>79.08089</x:v>
      </x:c>
      <x:c r="O580" t="n">
        <x:v>66.78</x:v>
      </x:c>
      <x:c r="P580" t="n">
        <x:v>0</x:v>
      </x:c>
      <x:c r="Q580" t="n">
        <x:v>0</x:v>
      </x:c>
      <x:c r="R580" t="n">
        <x:v>2.3</x:v>
      </x:c>
      <x:c r="S580" t="n">
        <x:v>21.04</x:v>
      </x:c>
      <x:c r="T580" t="str">
        <x:v>https://y.gtimg.cn/music/photo_new/T002R500x500M000003VYV1y03oDlg_1.jpg</x:v>
      </x:c>
      <x:c r="U580" s="24" t="str">
        <x:f>IFERROR(VLOOKUP(I580,'07_字典与参数'!$G$5:$J$9,2,FALSE),"未入选")</x:f>
        <x:v>未入选</x:v>
      </x:c>
      <x:c r="V580" s="24" t="str">
        <x:f>IFERROR(VLOOKUP(I580,'07_字典与参数'!$G$5:$J$9,3,FALSE),"—")</x:f>
        <x:v>—</x:v>
      </x:c>
      <x:c r="W580" s="24" t="str">
        <x:f>IF(U580="未入选","否","是")</x:f>
        <x:v>否</x:v>
      </x:c>
    </x:row>
    <x:row r="581">
      <x:c r="A581" t="n">
        <x:v>202630</x:v>
      </x:c>
      <x:c r="B581" t="str">
        <x:v>第30期（07.27-08.02）</x:v>
      </x:c>
      <x:c r="C581" t="str">
        <x:v>2026-07-27</x:v>
      </x:c>
      <x:c r="D581" t="str">
        <x:v>2026-08-02</x:v>
      </x:c>
      <x:c r="E581" t="n">
        <x:v>177</x:v>
      </x:c>
      <x:c r="F581" t="n">
        <x:v>531082488</x:v>
      </x:c>
      <x:c r="G581" t="str">
        <x:v>Bad Boy</x:v>
      </x:c>
      <x:c r="H581" t="str">
        <x:v>万妮达Vinida Weng</x:v>
      </x:c>
      <x:c r="I581" t="str">
        <x:v>003twp2w4OaRcC</x:v>
      </x:c>
      <x:c r="J581" t="str">
        <x:v>False</x:v>
      </x:c>
      <x:c r="K581" t="n">
        <x:v>133</x:v>
      </x:c>
      <x:c r="L581" t="n">
        <x:v>0</x:v>
      </x:c>
      <x:c r="M581" t="n">
        <x:v>0</x:v>
      </x:c>
      <x:c r="N581" t="n">
        <x:v>79.01582</x:v>
      </x:c>
      <x:c r="O581" t="n">
        <x:v>66.93</x:v>
      </x:c>
      <x:c r="P581" t="n">
        <x:v>0</x:v>
      </x:c>
      <x:c r="Q581" t="n">
        <x:v>0</x:v>
      </x:c>
      <x:c r="R581" t="n">
        <x:v>2.26</x:v>
      </x:c>
      <x:c r="S581" t="n">
        <x:v>14.85</x:v>
      </x:c>
      <x:c r="T581" t="str">
        <x:v>https://y.gtimg.cn/music/photo_new/T002R500x500M0000005bCtH469HXW_1.jpg</x:v>
      </x:c>
      <x:c r="U581" s="24" t="str">
        <x:f>IFERROR(VLOOKUP(I581,'07_字典与参数'!$G$5:$J$9,2,FALSE),"未入选")</x:f>
        <x:v>未入选</x:v>
      </x:c>
      <x:c r="V581" s="24" t="str">
        <x:f>IFERROR(VLOOKUP(I581,'07_字典与参数'!$G$5:$J$9,3,FALSE),"—")</x:f>
        <x:v>—</x:v>
      </x:c>
      <x:c r="W581" s="24" t="str">
        <x:f>IF(U581="未入选","否","是")</x:f>
        <x:v>否</x:v>
      </x:c>
    </x:row>
    <x:row r="582">
      <x:c r="A582" t="n">
        <x:v>202630</x:v>
      </x:c>
      <x:c r="B582" t="str">
        <x:v>第30期（07.27-08.02）</x:v>
      </x:c>
      <x:c r="C582" t="str">
        <x:v>2026-07-27</x:v>
      </x:c>
      <x:c r="D582" t="str">
        <x:v>2026-08-02</x:v>
      </x:c>
      <x:c r="E582" t="n">
        <x:v>178</x:v>
      </x:c>
      <x:c r="F582" t="n">
        <x:v>513183077</x:v>
      </x:c>
      <x:c r="G582" t="str">
        <x:v>忽略不计</x:v>
      </x:c>
      <x:c r="H582" t="str">
        <x:v>许嵩</x:v>
      </x:c>
      <x:c r="I582" t="str">
        <x:v>002ALgtr2b2Rdm</x:v>
      </x:c>
      <x:c r="J582" t="str">
        <x:v>False</x:v>
      </x:c>
      <x:c r="K582" t="n">
        <x:v>175</x:v>
      </x:c>
      <x:c r="L582" t="n">
        <x:v>0</x:v>
      </x:c>
      <x:c r="M582" t="n">
        <x:v>0</x:v>
      </x:c>
      <x:c r="N582" t="n">
        <x:v>79.01347</x:v>
      </x:c>
      <x:c r="O582" t="n">
        <x:v>64.38</x:v>
      </x:c>
      <x:c r="P582" t="n">
        <x:v>0</x:v>
      </x:c>
      <x:c r="Q582" t="n">
        <x:v>0</x:v>
      </x:c>
      <x:c r="R582" t="n">
        <x:v>4.07</x:v>
      </x:c>
      <x:c r="S582" t="n">
        <x:v>40.35</x:v>
      </x:c>
      <x:c r="T582" t="str">
        <x:v>https://y.gtimg.cn/music/photo_new/T002R500x500M000001Oqn952HAPRk_1.jpg</x:v>
      </x:c>
      <x:c r="U582" s="24" t="str">
        <x:f>IFERROR(VLOOKUP(I582,'07_字典与参数'!$G$5:$J$9,2,FALSE),"未入选")</x:f>
        <x:v>未入选</x:v>
      </x:c>
      <x:c r="V582" s="24" t="str">
        <x:f>IFERROR(VLOOKUP(I582,'07_字典与参数'!$G$5:$J$9,3,FALSE),"—")</x:f>
        <x:v>—</x:v>
      </x:c>
      <x:c r="W582" s="24" t="str">
        <x:f>IF(U582="未入选","否","是")</x:f>
        <x:v>否</x:v>
      </x:c>
    </x:row>
    <x:row r="583">
      <x:c r="A583" t="n">
        <x:v>202630</x:v>
      </x:c>
      <x:c r="B583" t="str">
        <x:v>第30期（07.27-08.02）</x:v>
      </x:c>
      <x:c r="C583" t="str">
        <x:v>2026-07-27</x:v>
      </x:c>
      <x:c r="D583" t="str">
        <x:v>2026-08-02</x:v>
      </x:c>
      <x:c r="E583" t="n">
        <x:v>179</x:v>
      </x:c>
      <x:c r="F583" t="n">
        <x:v>512483930</x:v>
      </x:c>
      <x:c r="G583" t="str">
        <x:v>满纸</x:v>
      </x:c>
      <x:c r="H583" t="str">
        <x:v>阿鲲</x:v>
      </x:c>
      <x:c r="I583" t="str">
        <x:v>001ifLic2K9S9m</x:v>
      </x:c>
      <x:c r="J583" t="str">
        <x:v>False</x:v>
      </x:c>
      <x:c r="K583" t="n">
        <x:v>165</x:v>
      </x:c>
      <x:c r="L583" t="n">
        <x:v>0</x:v>
      </x:c>
      <x:c r="M583" t="n">
        <x:v>0</x:v>
      </x:c>
      <x:c r="N583" t="n">
        <x:v>78.96576</x:v>
      </x:c>
      <x:c r="O583" t="n">
        <x:v>63.54</x:v>
      </x:c>
      <x:c r="P583" t="n">
        <x:v>0</x:v>
      </x:c>
      <x:c r="Q583" t="n">
        <x:v>0</x:v>
      </x:c>
      <x:c r="R583" t="n">
        <x:v>24.6</x:v>
      </x:c>
      <x:c r="S583" t="n">
        <x:v>32.37</x:v>
      </x:c>
      <x:c r="T583" t="str">
        <x:v>https://y.gtimg.cn/music/photo_new/T002R500x500M000003ZuKKp2FKC3S_1.jpg</x:v>
      </x:c>
      <x:c r="U583" s="24" t="str">
        <x:f>IFERROR(VLOOKUP(I583,'07_字典与参数'!$G$5:$J$9,2,FALSE),"未入选")</x:f>
        <x:v>未入选</x:v>
      </x:c>
      <x:c r="V583" s="24" t="str">
        <x:f>IFERROR(VLOOKUP(I583,'07_字典与参数'!$G$5:$J$9,3,FALSE),"—")</x:f>
        <x:v>—</x:v>
      </x:c>
      <x:c r="W583" s="24" t="str">
        <x:f>IF(U583="未入选","否","是")</x:f>
        <x:v>否</x:v>
      </x:c>
    </x:row>
    <x:row r="584">
      <x:c r="A584" t="n">
        <x:v>202630</x:v>
      </x:c>
      <x:c r="B584" t="str">
        <x:v>第30期（07.27-08.02）</x:v>
      </x:c>
      <x:c r="C584" t="str">
        <x:v>2026-07-27</x:v>
      </x:c>
      <x:c r="D584" t="str">
        <x:v>2026-08-02</x:v>
      </x:c>
      <x:c r="E584" t="n">
        <x:v>180</x:v>
      </x:c>
      <x:c r="F584" t="n">
        <x:v>491996827</x:v>
      </x:c>
      <x:c r="G584" t="str">
        <x:v>别来无恙</x:v>
      </x:c>
      <x:c r="H584" t="str">
        <x:v>任素汐</x:v>
      </x:c>
      <x:c r="I584" t="str">
        <x:v>000bBKeM3mhVCL</x:v>
      </x:c>
      <x:c r="J584" t="str">
        <x:v>False</x:v>
      </x:c>
      <x:c r="K584" t="n">
        <x:v>156</x:v>
      </x:c>
      <x:c r="L584" t="n">
        <x:v>0</x:v>
      </x:c>
      <x:c r="M584" t="n">
        <x:v>0</x:v>
      </x:c>
      <x:c r="N584" t="n">
        <x:v>78.87807</x:v>
      </x:c>
      <x:c r="O584" t="n">
        <x:v>66.14</x:v>
      </x:c>
      <x:c r="P584" t="n">
        <x:v>0</x:v>
      </x:c>
      <x:c r="Q584" t="n">
        <x:v>0</x:v>
      </x:c>
      <x:c r="R584" t="n">
        <x:v>3.54</x:v>
      </x:c>
      <x:c r="S584" t="n">
        <x:v>24.92</x:v>
      </x:c>
      <x:c r="T584" t="str">
        <x:v>https://y.gtimg.cn/music/photo_new/T002R500x500M0000033vNiW2uLR2S_1.jpg</x:v>
      </x:c>
      <x:c r="U584" s="24" t="str">
        <x:f>IFERROR(VLOOKUP(I584,'07_字典与参数'!$G$5:$J$9,2,FALSE),"未入选")</x:f>
        <x:v>未入选</x:v>
      </x:c>
      <x:c r="V584" s="24" t="str">
        <x:f>IFERROR(VLOOKUP(I584,'07_字典与参数'!$G$5:$J$9,3,FALSE),"—")</x:f>
        <x:v>—</x:v>
      </x:c>
      <x:c r="W584" s="24" t="str">
        <x:f>IF(U584="未入选","否","是")</x:f>
        <x:v>否</x:v>
      </x:c>
    </x:row>
    <x:row r="585">
      <x:c r="A585" t="n">
        <x:v>202630</x:v>
      </x:c>
      <x:c r="B585" t="str">
        <x:v>第30期（07.27-08.02）</x:v>
      </x:c>
      <x:c r="C585" t="str">
        <x:v>2026-07-27</x:v>
      </x:c>
      <x:c r="D585" t="str">
        <x:v>2026-08-02</x:v>
      </x:c>
      <x:c r="E585" t="n">
        <x:v>181</x:v>
      </x:c>
      <x:c r="F585" t="n">
        <x:v>518768695</x:v>
      </x:c>
      <x:c r="G585" t="str">
        <x:v>你从春天走来</x:v>
      </x:c>
      <x:c r="H585" t="str">
        <x:v>刘若英</x:v>
      </x:c>
      <x:c r="I585" t="str">
        <x:v>002QwHdc11MAzQ</x:v>
      </x:c>
      <x:c r="J585" t="str">
        <x:v>False</x:v>
      </x:c>
      <x:c r="K585" t="n">
        <x:v>125</x:v>
      </x:c>
      <x:c r="L585" t="n">
        <x:v>0</x:v>
      </x:c>
      <x:c r="M585" t="n">
        <x:v>0</x:v>
      </x:c>
      <x:c r="N585" t="n">
        <x:v>78.75982</x:v>
      </x:c>
      <x:c r="O585" t="n">
        <x:v>66.85</x:v>
      </x:c>
      <x:c r="P585" t="n">
        <x:v>0</x:v>
      </x:c>
      <x:c r="Q585" t="n">
        <x:v>0</x:v>
      </x:c>
      <x:c r="R585" t="n">
        <x:v>2.48</x:v>
      </x:c>
      <x:c r="S585" t="n">
        <x:v>5.6</x:v>
      </x:c>
      <x:c r="T585" t="str">
        <x:v>https://y.gtimg.cn/music/photo_new/T002R500x500M000003PHxFb4EbMCi_1.jpg</x:v>
      </x:c>
      <x:c r="U585" s="24" t="str">
        <x:f>IFERROR(VLOOKUP(I585,'07_字典与参数'!$G$5:$J$9,2,FALSE),"未入选")</x:f>
        <x:v>未入选</x:v>
      </x:c>
      <x:c r="V585" s="24" t="str">
        <x:f>IFERROR(VLOOKUP(I585,'07_字典与参数'!$G$5:$J$9,3,FALSE),"—")</x:f>
        <x:v>—</x:v>
      </x:c>
      <x:c r="W585" s="24" t="str">
        <x:f>IF(U585="未入选","否","是")</x:f>
        <x:v>否</x:v>
      </x:c>
    </x:row>
    <x:row r="586">
      <x:c r="A586" t="n">
        <x:v>202630</x:v>
      </x:c>
      <x:c r="B586" t="str">
        <x:v>第30期（07.27-08.02）</x:v>
      </x:c>
      <x:c r="C586" t="str">
        <x:v>2026-07-27</x:v>
      </x:c>
      <x:c r="D586" t="str">
        <x:v>2026-08-02</x:v>
      </x:c>
      <x:c r="E586" t="n">
        <x:v>182</x:v>
      </x:c>
      <x:c r="F586" t="n">
        <x:v>526444959</x:v>
      </x:c>
      <x:c r="G586" t="str">
        <x:v>风又吹了多少遍</x:v>
      </x:c>
      <x:c r="H586" t="str">
        <x:v>花姐</x:v>
      </x:c>
      <x:c r="I586" t="str">
        <x:v>003Ot6eA1UzOL5</x:v>
      </x:c>
      <x:c r="J586" t="str">
        <x:v>False</x:v>
      </x:c>
      <x:c r="K586" t="n">
        <x:v>0</x:v>
      </x:c>
      <x:c r="L586" t="n">
        <x:v>0</x:v>
      </x:c>
      <x:c r="M586" t="n">
        <x:v>0</x:v>
      </x:c>
      <x:c r="N586" t="n">
        <x:v>78.73362</x:v>
      </x:c>
      <x:c r="O586" t="n">
        <x:v>62.53</x:v>
      </x:c>
      <x:c r="P586" t="n">
        <x:v>0</x:v>
      </x:c>
      <x:c r="Q586" t="n">
        <x:v>0</x:v>
      </x:c>
      <x:c r="R586" t="n">
        <x:v>3.87</x:v>
      </x:c>
      <x:c r="S586" t="n">
        <x:v>42.25</x:v>
      </x:c>
      <x:c r="T586" t="str">
        <x:v>https://y.gtimg.cn/music/photo_new/T002R500x500M0000014ZYl33DD9Gm_1.jpg</x:v>
      </x:c>
      <x:c r="U586" s="24" t="str">
        <x:f>IFERROR(VLOOKUP(I586,'07_字典与参数'!$G$5:$J$9,2,FALSE),"未入选")</x:f>
        <x:v>未入选</x:v>
      </x:c>
      <x:c r="V586" s="24" t="str">
        <x:f>IFERROR(VLOOKUP(I586,'07_字典与参数'!$G$5:$J$9,3,FALSE),"—")</x:f>
        <x:v>—</x:v>
      </x:c>
      <x:c r="W586" s="24" t="str">
        <x:f>IF(U586="未入选","否","是")</x:f>
        <x:v>否</x:v>
      </x:c>
    </x:row>
    <x:row r="587">
      <x:c r="A587" t="n">
        <x:v>202630</x:v>
      </x:c>
      <x:c r="B587" t="str">
        <x:v>第30期（07.27-08.02）</x:v>
      </x:c>
      <x:c r="C587" t="str">
        <x:v>2026-07-27</x:v>
      </x:c>
      <x:c r="D587" t="str">
        <x:v>2026-08-02</x:v>
      </x:c>
      <x:c r="E587" t="n">
        <x:v>183</x:v>
      </x:c>
      <x:c r="F587" t="n">
        <x:v>535935779</x:v>
      </x:c>
      <x:c r="G587" t="str">
        <x:v>收场</x:v>
      </x:c>
      <x:c r="H587" t="str">
        <x:v>罗志祥</x:v>
      </x:c>
      <x:c r="I587" t="str">
        <x:v>001fteB74OWYCb</x:v>
      </x:c>
      <x:c r="J587" t="str">
        <x:v>False</x:v>
      </x:c>
      <x:c r="K587" t="n">
        <x:v>0</x:v>
      </x:c>
      <x:c r="L587" t="n">
        <x:v>0</x:v>
      </x:c>
      <x:c r="M587" t="n">
        <x:v>0</x:v>
      </x:c>
      <x:c r="N587" t="n">
        <x:v>78.72526</x:v>
      </x:c>
      <x:c r="O587" t="n">
        <x:v>53.87</x:v>
      </x:c>
      <x:c r="P587" t="n">
        <x:v>0</x:v>
      </x:c>
      <x:c r="Q587" t="n">
        <x:v>0</x:v>
      </x:c>
      <x:c r="R587" t="n">
        <x:v>41.87</x:v>
      </x:c>
      <x:c r="S587" t="n">
        <x:v>33.52</x:v>
      </x:c>
      <x:c r="T587" t="str">
        <x:v>https://y.gtimg.cn/music/photo_new/T002R500x500M000003V230Y0LSCZC_1.jpg</x:v>
      </x:c>
      <x:c r="U587" s="24" t="str">
        <x:f>IFERROR(VLOOKUP(I587,'07_字典与参数'!$G$5:$J$9,2,FALSE),"未入选")</x:f>
        <x:v>未入选</x:v>
      </x:c>
      <x:c r="V587" s="24" t="str">
        <x:f>IFERROR(VLOOKUP(I587,'07_字典与参数'!$G$5:$J$9,3,FALSE),"—")</x:f>
        <x:v>—</x:v>
      </x:c>
      <x:c r="W587" s="24" t="str">
        <x:f>IF(U587="未入选","否","是")</x:f>
        <x:v>否</x:v>
      </x:c>
    </x:row>
    <x:row r="588">
      <x:c r="A588" t="n">
        <x:v>202630</x:v>
      </x:c>
      <x:c r="B588" t="str">
        <x:v>第30期（07.27-08.02）</x:v>
      </x:c>
      <x:c r="C588" t="str">
        <x:v>2026-07-27</x:v>
      </x:c>
      <x:c r="D588" t="str">
        <x:v>2026-08-02</x:v>
      </x:c>
      <x:c r="E588" t="n">
        <x:v>184</x:v>
      </x:c>
      <x:c r="F588" t="n">
        <x:v>536677188</x:v>
      </x:c>
      <x:c r="G588" t="str">
        <x:v>不负</x:v>
      </x:c>
      <x:c r="H588" t="str">
        <x:v>迟木</x:v>
      </x:c>
      <x:c r="I588" t="str">
        <x:v>004AHlCy2V89He</x:v>
      </x:c>
      <x:c r="J588" t="str">
        <x:v>False</x:v>
      </x:c>
      <x:c r="K588" t="n">
        <x:v>0</x:v>
      </x:c>
      <x:c r="L588" t="n">
        <x:v>0</x:v>
      </x:c>
      <x:c r="M588" t="n">
        <x:v>0</x:v>
      </x:c>
      <x:c r="N588" t="n">
        <x:v>78.56923</x:v>
      </x:c>
      <x:c r="O588" t="n">
        <x:v>53.81</x:v>
      </x:c>
      <x:c r="P588" t="n">
        <x:v>0</x:v>
      </x:c>
      <x:c r="Q588" t="n">
        <x:v>0</x:v>
      </x:c>
      <x:c r="R588" t="n">
        <x:v>0.83</x:v>
      </x:c>
      <x:c r="S588" t="n">
        <x:v>48.47</x:v>
      </x:c>
      <x:c r="T588" t="str">
        <x:v>https://y.gtimg.cn/music/photo_new/T002R500x500M000002x2wa03BjKOJ_1.jpg</x:v>
      </x:c>
      <x:c r="U588" s="24" t="str">
        <x:f>IFERROR(VLOOKUP(I588,'07_字典与参数'!$G$5:$J$9,2,FALSE),"未入选")</x:f>
        <x:v>未入选</x:v>
      </x:c>
      <x:c r="V588" s="24" t="str">
        <x:f>IFERROR(VLOOKUP(I588,'07_字典与参数'!$G$5:$J$9,3,FALSE),"—")</x:f>
        <x:v>—</x:v>
      </x:c>
      <x:c r="W588" s="24" t="str">
        <x:f>IF(U588="未入选","否","是")</x:f>
        <x:v>否</x:v>
      </x:c>
    </x:row>
    <x:row r="589">
      <x:c r="A589" t="n">
        <x:v>202630</x:v>
      </x:c>
      <x:c r="B589" t="str">
        <x:v>第30期（07.27-08.02）</x:v>
      </x:c>
      <x:c r="C589" t="str">
        <x:v>2026-07-27</x:v>
      </x:c>
      <x:c r="D589" t="str">
        <x:v>2026-08-02</x:v>
      </x:c>
      <x:c r="E589" t="n">
        <x:v>185</x:v>
      </x:c>
      <x:c r="F589" t="n">
        <x:v>520493282</x:v>
      </x:c>
      <x:c r="G589" t="str">
        <x:v>甲乙丙丁</x:v>
      </x:c>
      <x:c r="H589" t="str">
        <x:v>江易泽</x:v>
      </x:c>
      <x:c r="I589" t="str">
        <x:v>004ZidwG2qQbR7</x:v>
      </x:c>
      <x:c r="J589" t="str">
        <x:v>False</x:v>
      </x:c>
      <x:c r="K589" t="n">
        <x:v>0</x:v>
      </x:c>
      <x:c r="L589" t="n">
        <x:v>0</x:v>
      </x:c>
      <x:c r="M589" t="n">
        <x:v>0</x:v>
      </x:c>
      <x:c r="N589" t="n">
        <x:v>78.519</x:v>
      </x:c>
      <x:c r="O589" t="n">
        <x:v>66.52</x:v>
      </x:c>
      <x:c r="P589" t="n">
        <x:v>0</x:v>
      </x:c>
      <x:c r="Q589" t="n">
        <x:v>0</x:v>
      </x:c>
      <x:c r="R589" t="n">
        <x:v>2.59</x:v>
      </x:c>
      <x:c r="S589" t="n">
        <x:v>5.14</x:v>
      </x:c>
      <x:c r="T589" t="str">
        <x:v>https://y.gtimg.cn/music/photo_new/T002R500x500M000002vuLra3kKcBV_1.jpg</x:v>
      </x:c>
      <x:c r="U589" s="24" t="str">
        <x:f>IFERROR(VLOOKUP(I589,'07_字典与参数'!$G$5:$J$9,2,FALSE),"未入选")</x:f>
        <x:v>未入选</x:v>
      </x:c>
      <x:c r="V589" s="24" t="str">
        <x:f>IFERROR(VLOOKUP(I589,'07_字典与参数'!$G$5:$J$9,3,FALSE),"—")</x:f>
        <x:v>—</x:v>
      </x:c>
      <x:c r="W589" s="24" t="str">
        <x:f>IF(U589="未入选","否","是")</x:f>
        <x:v>否</x:v>
      </x:c>
    </x:row>
    <x:row r="590">
      <x:c r="A590" t="n">
        <x:v>202630</x:v>
      </x:c>
      <x:c r="B590" t="str">
        <x:v>第30期（07.27-08.02）</x:v>
      </x:c>
      <x:c r="C590" t="str">
        <x:v>2026-07-27</x:v>
      </x:c>
      <x:c r="D590" t="str">
        <x:v>2026-08-02</x:v>
      </x:c>
      <x:c r="E590" t="n">
        <x:v>186</x:v>
      </x:c>
      <x:c r="F590" t="n">
        <x:v>533091713</x:v>
      </x:c>
      <x:c r="G590" t="str">
        <x:v>怎么两清（做回甲乙丙丁）</x:v>
      </x:c>
      <x:c r="H590" t="str">
        <x:v>欢子</x:v>
      </x:c>
      <x:c r="I590" t="str">
        <x:v>003vHvQJ4WWyuJ</x:v>
      </x:c>
      <x:c r="J590" t="str">
        <x:v>False</x:v>
      </x:c>
      <x:c r="K590" t="n">
        <x:v>162</x:v>
      </x:c>
      <x:c r="L590" t="n">
        <x:v>0</x:v>
      </x:c>
      <x:c r="M590" t="n">
        <x:v>0</x:v>
      </x:c>
      <x:c r="N590" t="n">
        <x:v>78.37295</x:v>
      </x:c>
      <x:c r="O590" t="n">
        <x:v>65.88</x:v>
      </x:c>
      <x:c r="P590" t="n">
        <x:v>0</x:v>
      </x:c>
      <x:c r="Q590" t="n">
        <x:v>0</x:v>
      </x:c>
      <x:c r="R590" t="n">
        <x:v>4.71</x:v>
      </x:c>
      <x:c r="S590" t="n">
        <x:v>13.21</x:v>
      </x:c>
      <x:c r="T590" t="str">
        <x:v>https://y.gtimg.cn/music/photo_new/T002R500x500M0000014nuEU3rdpSA_1.jpg</x:v>
      </x:c>
      <x:c r="U590" s="24" t="str">
        <x:f>IFERROR(VLOOKUP(I590,'07_字典与参数'!$G$5:$J$9,2,FALSE),"未入选")</x:f>
        <x:v>未入选</x:v>
      </x:c>
      <x:c r="V590" s="24" t="str">
        <x:f>IFERROR(VLOOKUP(I590,'07_字典与参数'!$G$5:$J$9,3,FALSE),"—")</x:f>
        <x:v>—</x:v>
      </x:c>
      <x:c r="W590" s="24" t="str">
        <x:f>IF(U590="未入选","否","是")</x:f>
        <x:v>否</x:v>
      </x:c>
    </x:row>
    <x:row r="591">
      <x:c r="A591" t="n">
        <x:v>202630</x:v>
      </x:c>
      <x:c r="B591" t="str">
        <x:v>第30期（07.27-08.02）</x:v>
      </x:c>
      <x:c r="C591" t="str">
        <x:v>2026-07-27</x:v>
      </x:c>
      <x:c r="D591" t="str">
        <x:v>2026-08-02</x:v>
      </x:c>
      <x:c r="E591" t="n">
        <x:v>187</x:v>
      </x:c>
      <x:c r="F591" t="n">
        <x:v>511757784</x:v>
      </x:c>
      <x:c r="G591" t="str">
        <x:v>亲爱的你，好久不见</x:v>
      </x:c>
      <x:c r="H591" t="str">
        <x:v>黄子弘凡,黄霄雲,孙楠,谭松韵,王铮亮,杨丞琳,姚晓棠,曾舜晞</x:v>
      </x:c>
      <x:c r="I591" t="str">
        <x:v>00357t7Q2cECO8</x:v>
      </x:c>
      <x:c r="J591" t="str">
        <x:v>False</x:v>
      </x:c>
      <x:c r="K591" t="n">
        <x:v>181</x:v>
      </x:c>
      <x:c r="L591" t="n">
        <x:v>0</x:v>
      </x:c>
      <x:c r="M591" t="n">
        <x:v>0</x:v>
      </x:c>
      <x:c r="N591" t="n">
        <x:v>78.28081</x:v>
      </x:c>
      <x:c r="O591" t="n">
        <x:v>60.8</x:v>
      </x:c>
      <x:c r="P591" t="n">
        <x:v>0</x:v>
      </x:c>
      <x:c r="Q591" t="n">
        <x:v>0</x:v>
      </x:c>
      <x:c r="R591" t="n">
        <x:v>0.6</x:v>
      </x:c>
      <x:c r="S591" t="n">
        <x:v>43.99</x:v>
      </x:c>
      <x:c r="T591" t="str">
        <x:v>https://y.gtimg.cn/music/photo_new/T002R500x500M000000aAeO742o2xC_1.jpg</x:v>
      </x:c>
      <x:c r="U591" s="24" t="str">
        <x:f>IFERROR(VLOOKUP(I591,'07_字典与参数'!$G$5:$J$9,2,FALSE),"未入选")</x:f>
        <x:v>未入选</x:v>
      </x:c>
      <x:c r="V591" s="24" t="str">
        <x:f>IFERROR(VLOOKUP(I591,'07_字典与参数'!$G$5:$J$9,3,FALSE),"—")</x:f>
        <x:v>—</x:v>
      </x:c>
      <x:c r="W591" s="24" t="str">
        <x:f>IF(U591="未入选","否","是")</x:f>
        <x:v>否</x:v>
      </x:c>
    </x:row>
    <x:row r="592">
      <x:c r="A592" t="n">
        <x:v>202630</x:v>
      </x:c>
      <x:c r="B592" t="str">
        <x:v>第30期（07.27-08.02）</x:v>
      </x:c>
      <x:c r="C592" t="str">
        <x:v>2026-07-27</x:v>
      </x:c>
      <x:c r="D592" t="str">
        <x:v>2026-08-02</x:v>
      </x:c>
      <x:c r="E592" t="n">
        <x:v>188</x:v>
      </x:c>
      <x:c r="F592" t="n">
        <x:v>491206570</x:v>
      </x:c>
      <x:c r="G592" t="str">
        <x:v>不再回头</x:v>
      </x:c>
      <x:c r="H592" t="str">
        <x:v>付豪</x:v>
      </x:c>
      <x:c r="I592" t="str">
        <x:v>003N7hJM4TsWfw</x:v>
      </x:c>
      <x:c r="J592" t="str">
        <x:v>False</x:v>
      </x:c>
      <x:c r="K592" t="n">
        <x:v>178</x:v>
      </x:c>
      <x:c r="L592" t="n">
        <x:v>0</x:v>
      </x:c>
      <x:c r="M592" t="n">
        <x:v>0</x:v>
      </x:c>
      <x:c r="N592" t="n">
        <x:v>77.94478</x:v>
      </x:c>
      <x:c r="O592" t="n">
        <x:v>65.09</x:v>
      </x:c>
      <x:c r="P592" t="n">
        <x:v>0</x:v>
      </x:c>
      <x:c r="Q592" t="n">
        <x:v>0</x:v>
      </x:c>
      <x:c r="R592" t="n">
        <x:v>6.34</x:v>
      </x:c>
      <x:c r="S592" t="n">
        <x:v>15.01</x:v>
      </x:c>
      <x:c r="T592" t="str">
        <x:v>https://y.gtimg.cn/music/photo_new/T002R500x500M00000255on64euYQH_2.jpg</x:v>
      </x:c>
      <x:c r="U592" s="24" t="str">
        <x:f>IFERROR(VLOOKUP(I592,'07_字典与参数'!$G$5:$J$9,2,FALSE),"未入选")</x:f>
        <x:v>未入选</x:v>
      </x:c>
      <x:c r="V592" s="24" t="str">
        <x:f>IFERROR(VLOOKUP(I592,'07_字典与参数'!$G$5:$J$9,3,FALSE),"—")</x:f>
        <x:v>—</x:v>
      </x:c>
      <x:c r="W592" s="24" t="str">
        <x:f>IF(U592="未入选","否","是")</x:f>
        <x:v>否</x:v>
      </x:c>
    </x:row>
    <x:row r="593">
      <x:c r="A593" t="n">
        <x:v>202630</x:v>
      </x:c>
      <x:c r="B593" t="str">
        <x:v>第30期（07.27-08.02）</x:v>
      </x:c>
      <x:c r="C593" t="str">
        <x:v>2026-07-27</x:v>
      </x:c>
      <x:c r="D593" t="str">
        <x:v>2026-08-02</x:v>
      </x:c>
      <x:c r="E593" t="n">
        <x:v>189</x:v>
      </x:c>
      <x:c r="F593" t="n">
        <x:v>491667172</x:v>
      </x:c>
      <x:c r="G593" t="str">
        <x:v>我把心事说给风</x:v>
      </x:c>
      <x:c r="H593" t="str">
        <x:v>卡带森林</x:v>
      </x:c>
      <x:c r="I593" t="str">
        <x:v>000OQmxP3RSXvi</x:v>
      </x:c>
      <x:c r="J593" t="str">
        <x:v>False</x:v>
      </x:c>
      <x:c r="K593" t="n">
        <x:v>170</x:v>
      </x:c>
      <x:c r="L593" t="n">
        <x:v>0</x:v>
      </x:c>
      <x:c r="M593" t="n">
        <x:v>0</x:v>
      </x:c>
      <x:c r="N593" t="n">
        <x:v>77.91915</x:v>
      </x:c>
      <x:c r="O593" t="n">
        <x:v>62.73</x:v>
      </x:c>
      <x:c r="P593" t="n">
        <x:v>0</x:v>
      </x:c>
      <x:c r="Q593" t="n">
        <x:v>0</x:v>
      </x:c>
      <x:c r="R593" t="n">
        <x:v>23.71</x:v>
      </x:c>
      <x:c r="S593" t="n">
        <x:v>26.96</x:v>
      </x:c>
      <x:c r="T593" t="str">
        <x:v>https://y.gtimg.cn/music/photo_new/T002R500x500M000000IRsNV4XLaqL_1.jpg</x:v>
      </x:c>
      <x:c r="U593" s="24" t="str">
        <x:f>IFERROR(VLOOKUP(I593,'07_字典与参数'!$G$5:$J$9,2,FALSE),"未入选")</x:f>
        <x:v>未入选</x:v>
      </x:c>
      <x:c r="V593" s="24" t="str">
        <x:f>IFERROR(VLOOKUP(I593,'07_字典与参数'!$G$5:$J$9,3,FALSE),"—")</x:f>
        <x:v>—</x:v>
      </x:c>
      <x:c r="W593" s="24" t="str">
        <x:f>IF(U593="未入选","否","是")</x:f>
        <x:v>否</x:v>
      </x:c>
    </x:row>
    <x:row r="594">
      <x:c r="A594" t="n">
        <x:v>202630</x:v>
      </x:c>
      <x:c r="B594" t="str">
        <x:v>第30期（07.27-08.02）</x:v>
      </x:c>
      <x:c r="C594" t="str">
        <x:v>2026-07-27</x:v>
      </x:c>
      <x:c r="D594" t="str">
        <x:v>2026-08-02</x:v>
      </x:c>
      <x:c r="E594" t="n">
        <x:v>190</x:v>
      </x:c>
      <x:c r="F594" t="n">
        <x:v>537227983</x:v>
      </x:c>
      <x:c r="G594" t="str">
        <x:v>爱情麻辣烫</x:v>
      </x:c>
      <x:c r="H594" t="str">
        <x:v>马健涛</x:v>
      </x:c>
      <x:c r="I594" t="str">
        <x:v>001PlTvB4aBGVR</x:v>
      </x:c>
      <x:c r="J594" t="str">
        <x:v>False</x:v>
      </x:c>
      <x:c r="K594" t="n">
        <x:v>0</x:v>
      </x:c>
      <x:c r="L594" t="n">
        <x:v>0</x:v>
      </x:c>
      <x:c r="M594" t="n">
        <x:v>0</x:v>
      </x:c>
      <x:c r="N594" t="n">
        <x:v>77.81927</x:v>
      </x:c>
      <x:c r="O594" t="n">
        <x:v>55.68</x:v>
      </x:c>
      <x:c r="P594" t="n">
        <x:v>0</x:v>
      </x:c>
      <x:c r="Q594" t="n">
        <x:v>0</x:v>
      </x:c>
      <x:c r="R594" t="n">
        <x:v>3.4</x:v>
      </x:c>
      <x:c r="S594" t="n">
        <x:v>45.97</x:v>
      </x:c>
      <x:c r="T594" t="str">
        <x:v>https://y.gtimg.cn/music/photo_new/T002R500x500M000001sLQze04xVIy_2.jpg</x:v>
      </x:c>
      <x:c r="U594" s="24" t="str">
        <x:f>IFERROR(VLOOKUP(I594,'07_字典与参数'!$G$5:$J$9,2,FALSE),"未入选")</x:f>
        <x:v>未入选</x:v>
      </x:c>
      <x:c r="V594" s="24" t="str">
        <x:f>IFERROR(VLOOKUP(I594,'07_字典与参数'!$G$5:$J$9,3,FALSE),"—")</x:f>
        <x:v>—</x:v>
      </x:c>
      <x:c r="W594" s="24" t="str">
        <x:f>IF(U594="未入选","否","是")</x:f>
        <x:v>否</x:v>
      </x:c>
    </x:row>
    <x:row r="595">
      <x:c r="A595" t="n">
        <x:v>202630</x:v>
      </x:c>
      <x:c r="B595" t="str">
        <x:v>第30期（07.27-08.02）</x:v>
      </x:c>
      <x:c r="C595" t="str">
        <x:v>2026-07-27</x:v>
      </x:c>
      <x:c r="D595" t="str">
        <x:v>2026-08-02</x:v>
      </x:c>
      <x:c r="E595" t="n">
        <x:v>191</x:v>
      </x:c>
      <x:c r="F595" t="n">
        <x:v>534969021</x:v>
      </x:c>
      <x:c r="G595" t="str">
        <x:v>如果宇宙有答案</x:v>
      </x:c>
      <x:c r="H595" t="str">
        <x:v>黄子弘凡</x:v>
      </x:c>
      <x:c r="I595" t="str">
        <x:v>002qTvDL3ztpXl</x:v>
      </x:c>
      <x:c r="J595" t="str">
        <x:v>False</x:v>
      </x:c>
      <x:c r="K595" t="n">
        <x:v>184</x:v>
      </x:c>
      <x:c r="L595" t="n">
        <x:v>0</x:v>
      </x:c>
      <x:c r="M595" t="n">
        <x:v>0</x:v>
      </x:c>
      <x:c r="N595" t="n">
        <x:v>77.77245</x:v>
      </x:c>
      <x:c r="O595" t="n">
        <x:v>56.08</x:v>
      </x:c>
      <x:c r="P595" t="n">
        <x:v>0</x:v>
      </x:c>
      <x:c r="Q595" t="n">
        <x:v>0</x:v>
      </x:c>
      <x:c r="R595" t="n">
        <x:v>9.78</x:v>
      </x:c>
      <x:c r="S595" t="n">
        <x:v>45.03</x:v>
      </x:c>
      <x:c r="T595" t="str">
        <x:v>https://y.gtimg.cn/music/photo_new/T002R500x500M000002MComh0oKPHg_1.jpg</x:v>
      </x:c>
      <x:c r="U595" s="24" t="str">
        <x:f>IFERROR(VLOOKUP(I595,'07_字典与参数'!$G$5:$J$9,2,FALSE),"未入选")</x:f>
        <x:v>未入选</x:v>
      </x:c>
      <x:c r="V595" s="24" t="str">
        <x:f>IFERROR(VLOOKUP(I595,'07_字典与参数'!$G$5:$J$9,3,FALSE),"—")</x:f>
        <x:v>—</x:v>
      </x:c>
      <x:c r="W595" s="24" t="str">
        <x:f>IF(U595="未入选","否","是")</x:f>
        <x:v>否</x:v>
      </x:c>
    </x:row>
    <x:row r="596">
      <x:c r="A596" t="n">
        <x:v>202630</x:v>
      </x:c>
      <x:c r="B596" t="str">
        <x:v>第30期（07.27-08.02）</x:v>
      </x:c>
      <x:c r="C596" t="str">
        <x:v>2026-07-27</x:v>
      </x:c>
      <x:c r="D596" t="str">
        <x:v>2026-08-02</x:v>
      </x:c>
      <x:c r="E596" t="n">
        <x:v>192</x:v>
      </x:c>
      <x:c r="F596" t="n">
        <x:v>511768934</x:v>
      </x:c>
      <x:c r="G596" t="str">
        <x:v>我在意的</x:v>
      </x:c>
      <x:c r="H596" t="str">
        <x:v>单依纯</x:v>
      </x:c>
      <x:c r="I596" t="str">
        <x:v>003H0CGe1vL66I</x:v>
      </x:c>
      <x:c r="J596" t="str">
        <x:v>False</x:v>
      </x:c>
      <x:c r="K596" t="n">
        <x:v>177</x:v>
      </x:c>
      <x:c r="L596" t="n">
        <x:v>0</x:v>
      </x:c>
      <x:c r="M596" t="n">
        <x:v>0</x:v>
      </x:c>
      <x:c r="N596" t="n">
        <x:v>77.77006</x:v>
      </x:c>
      <x:c r="O596" t="n">
        <x:v>61.41</x:v>
      </x:c>
      <x:c r="P596" t="n">
        <x:v>0</x:v>
      </x:c>
      <x:c r="Q596" t="n">
        <x:v>0</x:v>
      </x:c>
      <x:c r="R596" t="n">
        <x:v>3.37</x:v>
      </x:c>
      <x:c r="S596" t="n">
        <x:v>42</x:v>
      </x:c>
      <x:c r="T596" t="str">
        <x:v>https://y.gtimg.cn/music/photo_new/T002R500x500M000000IAfgq0N42nF_1.jpg</x:v>
      </x:c>
      <x:c r="U596" s="24" t="str">
        <x:f>IFERROR(VLOOKUP(I596,'07_字典与参数'!$G$5:$J$9,2,FALSE),"未入选")</x:f>
        <x:v>未入选</x:v>
      </x:c>
      <x:c r="V596" s="24" t="str">
        <x:f>IFERROR(VLOOKUP(I596,'07_字典与参数'!$G$5:$J$9,3,FALSE),"—")</x:f>
        <x:v>—</x:v>
      </x:c>
      <x:c r="W596" s="24" t="str">
        <x:f>IF(U596="未入选","否","是")</x:f>
        <x:v>否</x:v>
      </x:c>
    </x:row>
    <x:row r="597">
      <x:c r="A597" t="n">
        <x:v>202630</x:v>
      </x:c>
      <x:c r="B597" t="str">
        <x:v>第30期（07.27-08.02）</x:v>
      </x:c>
      <x:c r="C597" t="str">
        <x:v>2026-07-27</x:v>
      </x:c>
      <x:c r="D597" t="str">
        <x:v>2026-08-02</x:v>
      </x:c>
      <x:c r="E597" t="n">
        <x:v>193</x:v>
      </x:c>
      <x:c r="F597" t="n">
        <x:v>493167498</x:v>
      </x:c>
      <x:c r="G597" t="str">
        <x:v>着火的沉默世界</x:v>
      </x:c>
      <x:c r="H597" t="str">
        <x:v>鞠婧祎</x:v>
      </x:c>
      <x:c r="I597" t="str">
        <x:v>001hEuIs1wa2cl</x:v>
      </x:c>
      <x:c r="J597" t="str">
        <x:v>False</x:v>
      </x:c>
      <x:c r="K597" t="n">
        <x:v>168</x:v>
      </x:c>
      <x:c r="L597" t="n">
        <x:v>0</x:v>
      </x:c>
      <x:c r="M597" t="n">
        <x:v>0</x:v>
      </x:c>
      <x:c r="N597" t="n">
        <x:v>77.73772</x:v>
      </x:c>
      <x:c r="O597" t="n">
        <x:v>56.77</x:v>
      </x:c>
      <x:c r="P597" t="n">
        <x:v>0</x:v>
      </x:c>
      <x:c r="Q597" t="n">
        <x:v>0</x:v>
      </x:c>
      <x:c r="R597" t="n">
        <x:v>6.21</x:v>
      </x:c>
      <x:c r="S597" t="n">
        <x:v>45.01</x:v>
      </x:c>
      <x:c r="T597" t="str">
        <x:v>https://y.gtimg.cn/music/photo_new/T002R500x500M000004KDXGi1hJ81f_1.jpg</x:v>
      </x:c>
      <x:c r="U597" s="24" t="str">
        <x:f>IFERROR(VLOOKUP(I597,'07_字典与参数'!$G$5:$J$9,2,FALSE),"未入选")</x:f>
        <x:v>未入选</x:v>
      </x:c>
      <x:c r="V597" s="24" t="str">
        <x:f>IFERROR(VLOOKUP(I597,'07_字典与参数'!$G$5:$J$9,3,FALSE),"—")</x:f>
        <x:v>—</x:v>
      </x:c>
      <x:c r="W597" s="24" t="str">
        <x:f>IF(U597="未入选","否","是")</x:f>
        <x:v>否</x:v>
      </x:c>
    </x:row>
    <x:row r="598">
      <x:c r="A598" t="n">
        <x:v>202630</x:v>
      </x:c>
      <x:c r="B598" t="str">
        <x:v>第30期（07.27-08.02）</x:v>
      </x:c>
      <x:c r="C598" t="str">
        <x:v>2026-07-27</x:v>
      </x:c>
      <x:c r="D598" t="str">
        <x:v>2026-08-02</x:v>
      </x:c>
      <x:c r="E598" t="n">
        <x:v>194</x:v>
      </x:c>
      <x:c r="F598" t="n">
        <x:v>515816882</x:v>
      </x:c>
      <x:c r="G598" t="str">
        <x:v>Tiger in my love</x:v>
      </x:c>
      <x:c r="H598" t="str">
        <x:v>奥利</x:v>
      </x:c>
      <x:c r="I598" t="str">
        <x:v>002x1oFS12S5RS</x:v>
      </x:c>
      <x:c r="J598" t="str">
        <x:v>False</x:v>
      </x:c>
      <x:c r="K598" t="n">
        <x:v>197</x:v>
      </x:c>
      <x:c r="L598" t="n">
        <x:v>0</x:v>
      </x:c>
      <x:c r="M598" t="n">
        <x:v>0</x:v>
      </x:c>
      <x:c r="N598" t="n">
        <x:v>77.72748</x:v>
      </x:c>
      <x:c r="O598" t="n">
        <x:v>56.47</x:v>
      </x:c>
      <x:c r="P598" t="n">
        <x:v>0</x:v>
      </x:c>
      <x:c r="Q598" t="n">
        <x:v>0</x:v>
      </x:c>
      <x:c r="R598" t="n">
        <x:v>36.23</x:v>
      </x:c>
      <x:c r="S598" t="n">
        <x:v>34.1</x:v>
      </x:c>
      <x:c r="T598" t="str">
        <x:v>https://y.gtimg.cn/music/photo_new/T002R500x500M000003cHkcp2kzOpo_1.jpg</x:v>
      </x:c>
      <x:c r="U598" s="24" t="str">
        <x:f>IFERROR(VLOOKUP(I598,'07_字典与参数'!$G$5:$J$9,2,FALSE),"未入选")</x:f>
        <x:v>未入选</x:v>
      </x:c>
      <x:c r="V598" s="24" t="str">
        <x:f>IFERROR(VLOOKUP(I598,'07_字典与参数'!$G$5:$J$9,3,FALSE),"—")</x:f>
        <x:v>—</x:v>
      </x:c>
      <x:c r="W598" s="24" t="str">
        <x:f>IF(U598="未入选","否","是")</x:f>
        <x:v>否</x:v>
      </x:c>
    </x:row>
    <x:row r="599">
      <x:c r="A599" t="n">
        <x:v>202630</x:v>
      </x:c>
      <x:c r="B599" t="str">
        <x:v>第30期（07.27-08.02）</x:v>
      </x:c>
      <x:c r="C599" t="str">
        <x:v>2026-07-27</x:v>
      </x:c>
      <x:c r="D599" t="str">
        <x:v>2026-08-02</x:v>
      </x:c>
      <x:c r="E599" t="n">
        <x:v>195</x:v>
      </x:c>
      <x:c r="F599" t="n">
        <x:v>491362536</x:v>
      </x:c>
      <x:c r="G599" t="str">
        <x:v>撞地球</x:v>
      </x:c>
      <x:c r="H599" t="str">
        <x:v>刘宇宁</x:v>
      </x:c>
      <x:c r="I599" t="str">
        <x:v>002dbfiy0u7BgF</x:v>
      </x:c>
      <x:c r="J599" t="str">
        <x:v>False</x:v>
      </x:c>
      <x:c r="K599" t="n">
        <x:v>180</x:v>
      </x:c>
      <x:c r="L599" t="n">
        <x:v>0</x:v>
      </x:c>
      <x:c r="M599" t="n">
        <x:v>0</x:v>
      </x:c>
      <x:c r="N599" t="n">
        <x:v>77.50966</x:v>
      </x:c>
      <x:c r="O599" t="n">
        <x:v>60.05</x:v>
      </x:c>
      <x:c r="P599" t="n">
        <x:v>0</x:v>
      </x:c>
      <x:c r="Q599" t="n">
        <x:v>0</x:v>
      </x:c>
      <x:c r="R599" t="n">
        <x:v>4.88</x:v>
      </x:c>
      <x:c r="S599" t="n">
        <x:v>43.13</x:v>
      </x:c>
      <x:c r="T599" t="str">
        <x:v>https://y.gtimg.cn/music/photo_new/T002R500x500M000000pBsrn0IgUVR_1.jpg</x:v>
      </x:c>
      <x:c r="U599" s="24" t="str">
        <x:f>IFERROR(VLOOKUP(I599,'07_字典与参数'!$G$5:$J$9,2,FALSE),"未入选")</x:f>
        <x:v>未入选</x:v>
      </x:c>
      <x:c r="V599" s="24" t="str">
        <x:f>IFERROR(VLOOKUP(I599,'07_字典与参数'!$G$5:$J$9,3,FALSE),"—")</x:f>
        <x:v>—</x:v>
      </x:c>
      <x:c r="W599" s="24" t="str">
        <x:f>IF(U599="未入选","否","是")</x:f>
        <x:v>否</x:v>
      </x:c>
    </x:row>
    <x:row r="600">
      <x:c r="A600" t="n">
        <x:v>202630</x:v>
      </x:c>
      <x:c r="B600" t="str">
        <x:v>第30期（07.27-08.02）</x:v>
      </x:c>
      <x:c r="C600" t="str">
        <x:v>2026-07-27</x:v>
      </x:c>
      <x:c r="D600" t="str">
        <x:v>2026-08-02</x:v>
      </x:c>
      <x:c r="E600" t="n">
        <x:v>196</x:v>
      </x:c>
      <x:c r="F600" t="n">
        <x:v>534720314</x:v>
      </x:c>
      <x:c r="G600" t="str">
        <x:v>人生本是遇见又说再见</x:v>
      </x:c>
      <x:c r="H600" t="str">
        <x:v>姜雨涵</x:v>
      </x:c>
      <x:c r="I600" t="str">
        <x:v>002grFDn3nkQV3</x:v>
      </x:c>
      <x:c r="J600" t="str">
        <x:v>False</x:v>
      </x:c>
      <x:c r="K600" t="n">
        <x:v>0</x:v>
      </x:c>
      <x:c r="L600" t="n">
        <x:v>0</x:v>
      </x:c>
      <x:c r="M600" t="n">
        <x:v>0</x:v>
      </x:c>
      <x:c r="N600" t="n">
        <x:v>77.4098</x:v>
      </x:c>
      <x:c r="O600" t="n">
        <x:v>61.79</x:v>
      </x:c>
      <x:c r="P600" t="n">
        <x:v>0</x:v>
      </x:c>
      <x:c r="Q600" t="n">
        <x:v>0</x:v>
      </x:c>
      <x:c r="R600" t="n">
        <x:v>18.94</x:v>
      </x:c>
      <x:c r="S600" t="n">
        <x:v>35.51</x:v>
      </x:c>
      <x:c r="T600" t="str">
        <x:v>https://y.gtimg.cn/music/photo_new/T002R500x500M000001JmZbF175xAz_1.jpg</x:v>
      </x:c>
      <x:c r="U600" s="24" t="str">
        <x:f>IFERROR(VLOOKUP(I600,'07_字典与参数'!$G$5:$J$9,2,FALSE),"未入选")</x:f>
        <x:v>未入选</x:v>
      </x:c>
      <x:c r="V600" s="24" t="str">
        <x:f>IFERROR(VLOOKUP(I600,'07_字典与参数'!$G$5:$J$9,3,FALSE),"—")</x:f>
        <x:v>—</x:v>
      </x:c>
      <x:c r="W600" s="24" t="str">
        <x:f>IF(U600="未入选","否","是")</x:f>
        <x:v>否</x:v>
      </x:c>
    </x:row>
    <x:row r="601">
      <x:c r="A601" t="n">
        <x:v>202630</x:v>
      </x:c>
      <x:c r="B601" t="str">
        <x:v>第30期（07.27-08.02）</x:v>
      </x:c>
      <x:c r="C601" t="str">
        <x:v>2026-07-27</x:v>
      </x:c>
      <x:c r="D601" t="str">
        <x:v>2026-08-02</x:v>
      </x:c>
      <x:c r="E601" t="n">
        <x:v>197</x:v>
      </x:c>
      <x:c r="F601" t="n">
        <x:v>535400078</x:v>
      </x:c>
      <x:c r="G601" t="str">
        <x:v>酸橙色信笺</x:v>
      </x:c>
      <x:c r="H601" t="str">
        <x:v>塞壬唱片-MSR,Dazbee,*Luna</x:v>
      </x:c>
      <x:c r="I601" t="str">
        <x:v>000IamLF2r8CTw</x:v>
      </x:c>
      <x:c r="J601" t="str">
        <x:v>False</x:v>
      </x:c>
      <x:c r="K601" t="n">
        <x:v>0</x:v>
      </x:c>
      <x:c r="L601" t="n">
        <x:v>0</x:v>
      </x:c>
      <x:c r="M601" t="n">
        <x:v>0</x:v>
      </x:c>
      <x:c r="N601" t="n">
        <x:v>77.37539</x:v>
      </x:c>
      <x:c r="O601" t="n">
        <x:v>61.31</x:v>
      </x:c>
      <x:c r="P601" t="n">
        <x:v>0</x:v>
      </x:c>
      <x:c r="Q601" t="n">
        <x:v>0</x:v>
      </x:c>
      <x:c r="R601" t="n">
        <x:v>9.55</x:v>
      </x:c>
      <x:c r="S601" t="n">
        <x:v>40.78</x:v>
      </x:c>
      <x:c r="T601" t="str">
        <x:v>https://y.gtimg.cn/music/photo_new/T002R500x500M000001SzoZj4960Uq_1.jpg</x:v>
      </x:c>
      <x:c r="U601" s="24" t="str">
        <x:f>IFERROR(VLOOKUP(I601,'07_字典与参数'!$G$5:$J$9,2,FALSE),"未入选")</x:f>
        <x:v>未入选</x:v>
      </x:c>
      <x:c r="V601" s="24" t="str">
        <x:f>IFERROR(VLOOKUP(I601,'07_字典与参数'!$G$5:$J$9,3,FALSE),"—")</x:f>
        <x:v>—</x:v>
      </x:c>
      <x:c r="W601" s="24" t="str">
        <x:f>IF(U601="未入选","否","是")</x:f>
        <x:v>否</x:v>
      </x:c>
    </x:row>
    <x:row r="602">
      <x:c r="A602" t="n">
        <x:v>202630</x:v>
      </x:c>
      <x:c r="B602" t="str">
        <x:v>第30期（07.27-08.02）</x:v>
      </x:c>
      <x:c r="C602" t="str">
        <x:v>2026-07-27</x:v>
      </x:c>
      <x:c r="D602" t="str">
        <x:v>2026-08-02</x:v>
      </x:c>
      <x:c r="E602" t="n">
        <x:v>198</x:v>
      </x:c>
      <x:c r="F602" t="n">
        <x:v>534736199</x:v>
      </x:c>
      <x:c r="G602" t="str">
        <x:v>Go 4 It! 就在此刻</x:v>
      </x:c>
      <x:c r="H602" t="str">
        <x:v>希林娜依高,LABUBU</x:v>
      </x:c>
      <x:c r="I602" t="str">
        <x:v>003lRSLZ0ujhzI</x:v>
      </x:c>
      <x:c r="J602" t="str">
        <x:v>False</x:v>
      </x:c>
      <x:c r="K602" t="n">
        <x:v>176</x:v>
      </x:c>
      <x:c r="L602" t="n">
        <x:v>0</x:v>
      </x:c>
      <x:c r="M602" t="n">
        <x:v>0</x:v>
      </x:c>
      <x:c r="N602" t="n">
        <x:v>77.26029</x:v>
      </x:c>
      <x:c r="O602" t="n">
        <x:v>61.98</x:v>
      </x:c>
      <x:c r="P602" t="n">
        <x:v>0</x:v>
      </x:c>
      <x:c r="Q602" t="n">
        <x:v>0</x:v>
      </x:c>
      <x:c r="R602" t="n">
        <x:v>1.59</x:v>
      </x:c>
      <x:c r="S602" t="n">
        <x:v>40.55</x:v>
      </x:c>
      <x:c r="T602" t="str">
        <x:v>https://y.gtimg.cn/music/photo_new/T002R500x500M000002SXsW130LJED_1.jpg</x:v>
      </x:c>
      <x:c r="U602" s="24" t="str">
        <x:f>IFERROR(VLOOKUP(I602,'07_字典与参数'!$G$5:$J$9,2,FALSE),"未入选")</x:f>
        <x:v>未入选</x:v>
      </x:c>
      <x:c r="V602" s="24" t="str">
        <x:f>IFERROR(VLOOKUP(I602,'07_字典与参数'!$G$5:$J$9,3,FALSE),"—")</x:f>
        <x:v>—</x:v>
      </x:c>
      <x:c r="W602" s="24" t="str">
        <x:f>IF(U602="未入选","否","是")</x:f>
        <x:v>否</x:v>
      </x:c>
    </x:row>
    <x:row r="603">
      <x:c r="A603" t="n">
        <x:v>202630</x:v>
      </x:c>
      <x:c r="B603" t="str">
        <x:v>第30期（07.27-08.02）</x:v>
      </x:c>
      <x:c r="C603" t="str">
        <x:v>2026-07-27</x:v>
      </x:c>
      <x:c r="D603" t="str">
        <x:v>2026-08-02</x:v>
      </x:c>
      <x:c r="E603" t="n">
        <x:v>199</x:v>
      </x:c>
      <x:c r="F603" t="n">
        <x:v>514144458</x:v>
      </x:c>
      <x:c r="G603" t="str">
        <x:v>蚱蜢跃入星空</x:v>
      </x:c>
      <x:c r="H603" t="str">
        <x:v>王源</x:v>
      </x:c>
      <x:c r="I603" t="str">
        <x:v>0029AM4j45vkxx</x:v>
      </x:c>
      <x:c r="J603" t="str">
        <x:v>False</x:v>
      </x:c>
      <x:c r="K603" t="n">
        <x:v>0</x:v>
      </x:c>
      <x:c r="L603" t="n">
        <x:v>0</x:v>
      </x:c>
      <x:c r="M603" t="n">
        <x:v>0</x:v>
      </x:c>
      <x:c r="N603" t="n">
        <x:v>77.23244</x:v>
      </x:c>
      <x:c r="O603" t="n">
        <x:v>57.08</x:v>
      </x:c>
      <x:c r="P603" t="n">
        <x:v>0</x:v>
      </x:c>
      <x:c r="Q603" t="n">
        <x:v>0</x:v>
      </x:c>
      <x:c r="R603" t="n">
        <x:v>8.85</x:v>
      </x:c>
      <x:c r="S603" t="n">
        <x:v>43.68</x:v>
      </x:c>
      <x:c r="T603" t="str">
        <x:v>https://y.gtimg.cn/music/photo_new/T002R500x500M000002Wpy6S19qMV8_1.jpg</x:v>
      </x:c>
      <x:c r="U603" s="24" t="str">
        <x:f>IFERROR(VLOOKUP(I603,'07_字典与参数'!$G$5:$J$9,2,FALSE),"未入选")</x:f>
        <x:v>未入选</x:v>
      </x:c>
      <x:c r="V603" s="24" t="str">
        <x:f>IFERROR(VLOOKUP(I603,'07_字典与参数'!$G$5:$J$9,3,FALSE),"—")</x:f>
        <x:v>—</x:v>
      </x:c>
      <x:c r="W603" s="24" t="str">
        <x:f>IF(U603="未入选","否","是")</x:f>
        <x:v>否</x:v>
      </x:c>
    </x:row>
    <x:row r="604">
      <x:c r="A604" t="n">
        <x:v>202630</x:v>
      </x:c>
      <x:c r="B604" t="str">
        <x:v>第30期（07.27-08.02）</x:v>
      </x:c>
      <x:c r="C604" t="str">
        <x:v>2026-07-27</x:v>
      </x:c>
      <x:c r="D604" t="str">
        <x:v>2026-08-02</x:v>
      </x:c>
      <x:c r="E604" t="n">
        <x:v>200</x:v>
      </x:c>
      <x:c r="F604" t="n">
        <x:v>507698529</x:v>
      </x:c>
      <x:c r="G604" t="str">
        <x:v>我不哭</x:v>
      </x:c>
      <x:c r="H604" t="str">
        <x:v>王栎鑫</x:v>
      </x:c>
      <x:c r="I604" t="str">
        <x:v>001aOKKO2hKwPS</x:v>
      </x:c>
      <x:c r="J604" t="str">
        <x:v>False</x:v>
      </x:c>
      <x:c r="K604" t="n">
        <x:v>193</x:v>
      </x:c>
      <x:c r="L604" t="n">
        <x:v>0</x:v>
      </x:c>
      <x:c r="M604" t="n">
        <x:v>0</x:v>
      </x:c>
      <x:c r="N604" t="n">
        <x:v>77.2165</x:v>
      </x:c>
      <x:c r="O604" t="n">
        <x:v>63.12</x:v>
      </x:c>
      <x:c r="P604" t="n">
        <x:v>0</x:v>
      </x:c>
      <x:c r="Q604" t="n">
        <x:v>0</x:v>
      </x:c>
      <x:c r="R604" t="n">
        <x:v>8.84</x:v>
      </x:c>
      <x:c r="S604" t="n">
        <x:v>29.06</x:v>
      </x:c>
      <x:c r="T604" t="str">
        <x:v>https://y.gtimg.cn/music/photo_new/T002R500x500M000004NsgMq3MP454_2.jpg</x:v>
      </x:c>
      <x:c r="U604" s="24" t="str">
        <x:f>IFERROR(VLOOKUP(I604,'07_字典与参数'!$G$5:$J$9,2,FALSE),"未入选")</x:f>
        <x:v>未入选</x:v>
      </x:c>
      <x:c r="V604" s="24" t="str">
        <x:f>IFERROR(VLOOKUP(I604,'07_字典与参数'!$G$5:$J$9,3,FALSE),"—")</x:f>
        <x:v>—</x:v>
      </x:c>
      <x:c r="W604" s="24" t="str">
        <x:f>IF(U604="未入选","否","是")</x:f>
        <x:v>否</x:v>
      </x:c>
    </x:row>
    <x:row r="605">
      <x:c r="A605" t="n">
        <x:v>202631</x:v>
      </x:c>
      <x:c r="B605" t="str">
        <x:v>第31期（08.03-08.09）</x:v>
      </x:c>
      <x:c r="C605" t="str">
        <x:v>2026-08-03</x:v>
      </x:c>
      <x:c r="D605" t="str">
        <x:v>2026-08-09</x:v>
      </x:c>
      <x:c r="E605" t="n">
        <x:v>1</x:v>
      </x:c>
      <x:c r="F605" t="n">
        <x:v>538397805</x:v>
      </x:c>
      <x:c r="G605" t="str">
        <x:v>游向陆地的鱼</x:v>
      </x:c>
      <x:c r="H605" t="str">
        <x:v>梓渝</x:v>
      </x:c>
      <x:c r="I605" t="str">
        <x:v>0019tNGN1TJbLT</x:v>
      </x:c>
      <x:c r="J605" t="str">
        <x:v>True</x:v>
      </x:c>
      <x:c r="K605" t="n">
        <x:v>0</x:v>
      </x:c>
      <x:c r="L605" t="n">
        <x:v>1</x:v>
      </x:c>
      <x:c r="M605" t="n">
        <x:v>1</x:v>
      </x:c>
      <x:c r="N605" t="n">
        <x:v>98.47353</x:v>
      </x:c>
      <x:c r="O605" t="n">
        <x:v>84.5</x:v>
      </x:c>
      <x:c r="P605" t="n">
        <x:v>0</x:v>
      </x:c>
      <x:c r="Q605" t="n">
        <x:v>0</x:v>
      </x:c>
      <x:c r="R605" t="n">
        <x:v>95.21</x:v>
      </x:c>
      <x:c r="S605" t="n">
        <x:v>93.98</x:v>
      </x:c>
      <x:c r="T605" t="str">
        <x:v>https://y.gtimg.cn/music/photo_new/T002R500x500M0000035Y3b01o1BsG_1.jpg</x:v>
      </x:c>
      <x:c r="U605" s="24" t="str">
        <x:f>IFERROR(VLOOKUP(I605,'07_字典与参数'!$G$5:$J$9,2,FALSE),"未入选")</x:f>
        <x:v>未入选</x:v>
      </x:c>
      <x:c r="V605" s="24" t="str">
        <x:f>IFERROR(VLOOKUP(I605,'07_字典与参数'!$G$5:$J$9,3,FALSE),"—")</x:f>
        <x:v>—</x:v>
      </x:c>
      <x:c r="W605" s="24" t="str">
        <x:f>IF(U605="未入选","否","是")</x:f>
        <x:v>否</x:v>
      </x:c>
    </x:row>
    <x:row r="606">
      <x:c r="A606" t="n">
        <x:v>202631</x:v>
      </x:c>
      <x:c r="B606" t="str">
        <x:v>第31期（08.03-08.09）</x:v>
      </x:c>
      <x:c r="C606" t="str">
        <x:v>2026-08-03</x:v>
      </x:c>
      <x:c r="D606" t="str">
        <x:v>2026-08-09</x:v>
      </x:c>
      <x:c r="E606" t="n">
        <x:v>2</x:v>
      </x:c>
      <x:c r="F606" t="n">
        <x:v>536844361</x:v>
      </x:c>
      <x:c r="G606" t="str">
        <x:v>No More Tomorrow</x:v>
      </x:c>
      <x:c r="H606" t="str">
        <x:v>严浩翔</x:v>
      </x:c>
      <x:c r="I606" t="str">
        <x:v>000PlWCq0RCKFg</x:v>
      </x:c>
      <x:c r="J606" t="str">
        <x:v>True</x:v>
      </x:c>
      <x:c r="K606" t="n">
        <x:v>0</x:v>
      </x:c>
      <x:c r="L606" t="n">
        <x:v>1</x:v>
      </x:c>
      <x:c r="M606" t="n">
        <x:v>2</x:v>
      </x:c>
      <x:c r="N606" t="n">
        <x:v>98.1737</x:v>
      </x:c>
      <x:c r="O606" t="n">
        <x:v>82.79</x:v>
      </x:c>
      <x:c r="P606" t="n">
        <x:v>0</x:v>
      </x:c>
      <x:c r="Q606" t="n">
        <x:v>0</x:v>
      </x:c>
      <x:c r="R606" t="n">
        <x:v>93.7</x:v>
      </x:c>
      <x:c r="S606" t="n">
        <x:v>91.42</x:v>
      </x:c>
      <x:c r="T606" t="str">
        <x:v>https://y.gtimg.cn/music/photo_new/T002R500x500M000003KeoBI3AypAk_1.jpg</x:v>
      </x:c>
      <x:c r="U606" s="24" t="str">
        <x:f>IFERROR(VLOOKUP(I606,'07_字典与参数'!$G$5:$J$9,2,FALSE),"未入选")</x:f>
        <x:v>未入选</x:v>
      </x:c>
      <x:c r="V606" s="24" t="str">
        <x:f>IFERROR(VLOOKUP(I606,'07_字典与参数'!$G$5:$J$9,3,FALSE),"—")</x:f>
        <x:v>—</x:v>
      </x:c>
      <x:c r="W606" s="24" t="str">
        <x:f>IF(U606="未入选","否","是")</x:f>
        <x:v>否</x:v>
      </x:c>
    </x:row>
    <x:row r="607">
      <x:c r="A607" t="n">
        <x:v>202631</x:v>
      </x:c>
      <x:c r="B607" t="str">
        <x:v>第31期（08.03-08.09）</x:v>
      </x:c>
      <x:c r="C607" t="str">
        <x:v>2026-08-03</x:v>
      </x:c>
      <x:c r="D607" t="str">
        <x:v>2026-08-09</x:v>
      </x:c>
      <x:c r="E607" t="n">
        <x:v>3</x:v>
      </x:c>
      <x:c r="F607" t="n">
        <x:v>536849660</x:v>
      </x:c>
      <x:c r="G607" t="str">
        <x:v>无名氏</x:v>
      </x:c>
      <x:c r="H607" t="str">
        <x:v>张真源</x:v>
      </x:c>
      <x:c r="I607" t="str">
        <x:v>000M3TRV3ZWKae</x:v>
      </x:c>
      <x:c r="J607" t="str">
        <x:v>True</x:v>
      </x:c>
      <x:c r="K607" t="n">
        <x:v>0</x:v>
      </x:c>
      <x:c r="L607" t="n">
        <x:v>1</x:v>
      </x:c>
      <x:c r="M607" t="n">
        <x:v>3</x:v>
      </x:c>
      <x:c r="N607" t="n">
        <x:v>97.41084</x:v>
      </x:c>
      <x:c r="O607" t="n">
        <x:v>79.33</x:v>
      </x:c>
      <x:c r="P607" t="n">
        <x:v>0</x:v>
      </x:c>
      <x:c r="Q607" t="n">
        <x:v>0</x:v>
      </x:c>
      <x:c r="R607" t="n">
        <x:v>90.35</x:v>
      </x:c>
      <x:c r="S607" t="n">
        <x:v>88.65</x:v>
      </x:c>
      <x:c r="T607" t="str">
        <x:v>https://y.gtimg.cn/music/photo_new/T002R500x500M000000UF73F32ghe7_1.jpg</x:v>
      </x:c>
      <x:c r="U607" s="24" t="str">
        <x:f>IFERROR(VLOOKUP(I607,'07_字典与参数'!$G$5:$J$9,2,FALSE),"未入选")</x:f>
        <x:v>未入选</x:v>
      </x:c>
      <x:c r="V607" s="24" t="str">
        <x:f>IFERROR(VLOOKUP(I607,'07_字典与参数'!$G$5:$J$9,3,FALSE),"—")</x:f>
        <x:v>—</x:v>
      </x:c>
      <x:c r="W607" s="24" t="str">
        <x:f>IF(U607="未入选","否","是")</x:f>
        <x:v>否</x:v>
      </x:c>
    </x:row>
    <x:row r="608">
      <x:c r="A608" t="n">
        <x:v>202631</x:v>
      </x:c>
      <x:c r="B608" t="str">
        <x:v>第31期（08.03-08.09）</x:v>
      </x:c>
      <x:c r="C608" t="str">
        <x:v>2026-08-03</x:v>
      </x:c>
      <x:c r="D608" t="str">
        <x:v>2026-08-09</x:v>
      </x:c>
      <x:c r="E608" t="n">
        <x:v>4</x:v>
      </x:c>
      <x:c r="F608" t="n">
        <x:v>537692294</x:v>
      </x:c>
      <x:c r="G608" t="str">
        <x:v>DON'T STOP</x:v>
      </x:c>
      <x:c r="H608" t="str">
        <x:v>刘耀文</x:v>
      </x:c>
      <x:c r="I608" t="str">
        <x:v>001oOfjE2W6hhF</x:v>
      </x:c>
      <x:c r="J608" t="str">
        <x:v>True</x:v>
      </x:c>
      <x:c r="K608" t="n">
        <x:v>0</x:v>
      </x:c>
      <x:c r="L608" t="n">
        <x:v>1</x:v>
      </x:c>
      <x:c r="M608" t="n">
        <x:v>4</x:v>
      </x:c>
      <x:c r="N608" t="n">
        <x:v>96.41719</x:v>
      </x:c>
      <x:c r="O608" t="n">
        <x:v>73.08</x:v>
      </x:c>
      <x:c r="P608" t="n">
        <x:v>0</x:v>
      </x:c>
      <x:c r="Q608" t="n">
        <x:v>0</x:v>
      </x:c>
      <x:c r="R608" t="n">
        <x:v>85.15</x:v>
      </x:c>
      <x:c r="S608" t="n">
        <x:v>77.37</x:v>
      </x:c>
      <x:c r="T608" t="str">
        <x:v>https://y.gtimg.cn/music/photo_new/T002R500x500M000000nXBq14fLDbK_1.jpg</x:v>
      </x:c>
      <x:c r="U608" s="24" t="str">
        <x:f>IFERROR(VLOOKUP(I608,'07_字典与参数'!$G$5:$J$9,2,FALSE),"未入选")</x:f>
        <x:v>未入选</x:v>
      </x:c>
      <x:c r="V608" s="24" t="str">
        <x:f>IFERROR(VLOOKUP(I608,'07_字典与参数'!$G$5:$J$9,3,FALSE),"—")</x:f>
        <x:v>—</x:v>
      </x:c>
      <x:c r="W608" s="24" t="str">
        <x:f>IF(U608="未入选","否","是")</x:f>
        <x:v>否</x:v>
      </x:c>
    </x:row>
    <x:row r="609">
      <x:c r="A609" t="n">
        <x:v>202631</x:v>
      </x:c>
      <x:c r="B609" t="str">
        <x:v>第31期（08.03-08.09）</x:v>
      </x:c>
      <x:c r="C609" t="str">
        <x:v>2026-08-03</x:v>
      </x:c>
      <x:c r="D609" t="str">
        <x:v>2026-08-09</x:v>
      </x:c>
      <x:c r="E609" t="n">
        <x:v>5</x:v>
      </x:c>
      <x:c r="F609" t="n">
        <x:v>536275931</x:v>
      </x:c>
      <x:c r="G609" t="str">
        <x:v>听无声处</x:v>
      </x:c>
      <x:c r="H609" t="str">
        <x:v>周深</x:v>
      </x:c>
      <x:c r="I609" t="str">
        <x:v>002SAARr0ebrGS</x:v>
      </x:c>
      <x:c r="J609" t="str">
        <x:v>False</x:v>
      </x:c>
      <x:c r="K609" t="n">
        <x:v>30</x:v>
      </x:c>
      <x:c r="L609" t="n">
        <x:v>2</x:v>
      </x:c>
      <x:c r="M609" t="n">
        <x:v>5</x:v>
      </x:c>
      <x:c r="N609" t="n">
        <x:v>96.33604</x:v>
      </x:c>
      <x:c r="O609" t="n">
        <x:v>72.68</x:v>
      </x:c>
      <x:c r="P609" t="n">
        <x:v>0</x:v>
      </x:c>
      <x:c r="Q609" t="n">
        <x:v>0</x:v>
      </x:c>
      <x:c r="R609" t="n">
        <x:v>59.54</x:v>
      </x:c>
      <x:c r="S609" t="n">
        <x:v>86.19</x:v>
      </x:c>
      <x:c r="T609" t="str">
        <x:v>https://y.qq.com/music/photo_new/T062R500x500M000004Ym4111EqoVs.jpg</x:v>
      </x:c>
      <x:c r="U609" s="24" t="str">
        <x:f>IFERROR(VLOOKUP(I609,'07_字典与参数'!$G$5:$J$9,2,FALSE),"未入选")</x:f>
        <x:v>未入选</x:v>
      </x:c>
      <x:c r="V609" s="24" t="str">
        <x:f>IFERROR(VLOOKUP(I609,'07_字典与参数'!$G$5:$J$9,3,FALSE),"—")</x:f>
        <x:v>—</x:v>
      </x:c>
      <x:c r="W609" s="24" t="str">
        <x:f>IF(U609="未入选","否","是")</x:f>
        <x:v>否</x:v>
      </x:c>
    </x:row>
    <x:row r="610">
      <x:c r="A610" t="n">
        <x:v>202631</x:v>
      </x:c>
      <x:c r="B610" t="str">
        <x:v>第31期（08.03-08.09）</x:v>
      </x:c>
      <x:c r="C610" t="str">
        <x:v>2026-08-03</x:v>
      </x:c>
      <x:c r="D610" t="str">
        <x:v>2026-08-09</x:v>
      </x:c>
      <x:c r="E610" t="n">
        <x:v>6</x:v>
      </x:c>
      <x:c r="F610" t="n">
        <x:v>537236510</x:v>
      </x:c>
      <x:c r="G610" t="str">
        <x:v>来我的岛</x:v>
      </x:c>
      <x:c r="H610" t="str">
        <x:v>刘宇宁</x:v>
      </x:c>
      <x:c r="I610" t="str">
        <x:v>002hAbQf14wVkt</x:v>
      </x:c>
      <x:c r="J610" t="str">
        <x:v>True</x:v>
      </x:c>
      <x:c r="K610" t="n">
        <x:v>0</x:v>
      </x:c>
      <x:c r="L610" t="n">
        <x:v>1</x:v>
      </x:c>
      <x:c r="M610" t="n">
        <x:v>6</x:v>
      </x:c>
      <x:c r="N610" t="n">
        <x:v>96.22742</x:v>
      </x:c>
      <x:c r="O610" t="n">
        <x:v>75.78</x:v>
      </x:c>
      <x:c r="P610" t="n">
        <x:v>0</x:v>
      </x:c>
      <x:c r="Q610" t="n">
        <x:v>0</x:v>
      </x:c>
      <x:c r="R610" t="n">
        <x:v>53.68</x:v>
      </x:c>
      <x:c r="S610" t="n">
        <x:v>85.39</x:v>
      </x:c>
      <x:c r="T610" t="str">
        <x:v>https://y.gtimg.cn/music/photo_new/T002R500x500M000003mFnJ72MmdnQ_1.jpg</x:v>
      </x:c>
      <x:c r="U610" s="24" t="str">
        <x:f>IFERROR(VLOOKUP(I610,'07_字典与参数'!$G$5:$J$9,2,FALSE),"未入选")</x:f>
        <x:v>未入选</x:v>
      </x:c>
      <x:c r="V610" s="24" t="str">
        <x:f>IFERROR(VLOOKUP(I610,'07_字典与参数'!$G$5:$J$9,3,FALSE),"—")</x:f>
        <x:v>—</x:v>
      </x:c>
      <x:c r="W610" s="24" t="str">
        <x:f>IF(U610="未入选","否","是")</x:f>
        <x:v>否</x:v>
      </x:c>
    </x:row>
    <x:row r="611">
      <x:c r="A611" t="n">
        <x:v>202631</x:v>
      </x:c>
      <x:c r="B611" t="str">
        <x:v>第31期（08.03-08.09）</x:v>
      </x:c>
      <x:c r="C611" t="str">
        <x:v>2026-08-03</x:v>
      </x:c>
      <x:c r="D611" t="str">
        <x:v>2026-08-09</x:v>
      </x:c>
      <x:c r="E611" t="n">
        <x:v>7</x:v>
      </x:c>
      <x:c r="F611" t="n">
        <x:v>538041265</x:v>
      </x:c>
      <x:c r="G611" t="str">
        <x:v>每个人</x:v>
      </x:c>
      <x:c r="H611" t="str">
        <x:v>周深</x:v>
      </x:c>
      <x:c r="I611" t="str">
        <x:v>000bvwA03DH7qt</x:v>
      </x:c>
      <x:c r="J611" t="str">
        <x:v>True</x:v>
      </x:c>
      <x:c r="K611" t="n">
        <x:v>0</x:v>
      </x:c>
      <x:c r="L611" t="n">
        <x:v>1</x:v>
      </x:c>
      <x:c r="M611" t="n">
        <x:v>7</x:v>
      </x:c>
      <x:c r="N611" t="n">
        <x:v>96.13206</x:v>
      </x:c>
      <x:c r="O611" t="n">
        <x:v>71.96</x:v>
      </x:c>
      <x:c r="P611" t="n">
        <x:v>0</x:v>
      </x:c>
      <x:c r="Q611" t="n">
        <x:v>0</x:v>
      </x:c>
      <x:c r="R611" t="n">
        <x:v>74.06</x:v>
      </x:c>
      <x:c r="S611" t="n">
        <x:v>82.83</x:v>
      </x:c>
      <x:c r="T611" t="str">
        <x:v>https://y.gtimg.cn/music/photo_new/T002R500x500M000003cmg8o1bSgm1_1.jpg</x:v>
      </x:c>
      <x:c r="U611" s="24" t="str">
        <x:f>IFERROR(VLOOKUP(I611,'07_字典与参数'!$G$5:$J$9,2,FALSE),"未入选")</x:f>
        <x:v>未入选</x:v>
      </x:c>
      <x:c r="V611" s="24" t="str">
        <x:f>IFERROR(VLOOKUP(I611,'07_字典与参数'!$G$5:$J$9,3,FALSE),"—")</x:f>
        <x:v>—</x:v>
      </x:c>
      <x:c r="W611" s="24" t="str">
        <x:f>IF(U611="未入选","否","是")</x:f>
        <x:v>否</x:v>
      </x:c>
    </x:row>
    <x:row r="612">
      <x:c r="A612" t="n">
        <x:v>202631</x:v>
      </x:c>
      <x:c r="B612" t="str">
        <x:v>第31期（08.03-08.09）</x:v>
      </x:c>
      <x:c r="C612" t="str">
        <x:v>2026-08-03</x:v>
      </x:c>
      <x:c r="D612" t="str">
        <x:v>2026-08-09</x:v>
      </x:c>
      <x:c r="E612" t="n">
        <x:v>8</x:v>
      </x:c>
      <x:c r="F612" t="n">
        <x:v>535040270</x:v>
      </x:c>
      <x:c r="G612" t="str">
        <x:v>唯我论者的独白</x:v>
      </x:c>
      <x:c r="H612" t="str">
        <x:v>马嘉祺</x:v>
      </x:c>
      <x:c r="I612" t="str">
        <x:v>001pfooo4GOPDm</x:v>
      </x:c>
      <x:c r="J612" t="str">
        <x:v>False</x:v>
      </x:c>
      <x:c r="K612" t="n">
        <x:v>1</x:v>
      </x:c>
      <x:c r="L612" t="n">
        <x:v>2</x:v>
      </x:c>
      <x:c r="M612" t="n">
        <x:v>1</x:v>
      </x:c>
      <x:c r="N612" t="n">
        <x:v>96.10988</x:v>
      </x:c>
      <x:c r="O612" t="n">
        <x:v>80.59</x:v>
      </x:c>
      <x:c r="P612" t="n">
        <x:v>0</x:v>
      </x:c>
      <x:c r="Q612" t="n">
        <x:v>0</x:v>
      </x:c>
      <x:c r="R612" t="n">
        <x:v>66.2</x:v>
      </x:c>
      <x:c r="S612" t="n">
        <x:v>82.89</x:v>
      </x:c>
      <x:c r="T612" t="str">
        <x:v>https://y.gtimg.cn/music/photo_new/T002R500x500M000002SyJWd06jbh4_1.jpg</x:v>
      </x:c>
      <x:c r="U612" s="24" t="str">
        <x:f>IFERROR(VLOOKUP(I612,'07_字典与参数'!$G$5:$J$9,2,FALSE),"未入选")</x:f>
        <x:v>未入选</x:v>
      </x:c>
      <x:c r="V612" s="24" t="str">
        <x:f>IFERROR(VLOOKUP(I612,'07_字典与参数'!$G$5:$J$9,3,FALSE),"—")</x:f>
        <x:v>—</x:v>
      </x:c>
      <x:c r="W612" s="24" t="str">
        <x:f>IF(U612="未入选","否","是")</x:f>
        <x:v>否</x:v>
      </x:c>
    </x:row>
    <x:row r="613">
      <x:c r="A613" t="n">
        <x:v>202631</x:v>
      </x:c>
      <x:c r="B613" t="str">
        <x:v>第31期（08.03-08.09）</x:v>
      </x:c>
      <x:c r="C613" t="str">
        <x:v>2026-08-03</x:v>
      </x:c>
      <x:c r="D613" t="str">
        <x:v>2026-08-09</x:v>
      </x:c>
      <x:c r="E613" t="n">
        <x:v>9</x:v>
      </x:c>
      <x:c r="F613" t="n">
        <x:v>521117665</x:v>
      </x:c>
      <x:c r="G613" t="str">
        <x:v>甲乙丙丁 (你我怎么两清)</x:v>
      </x:c>
      <x:c r="H613" t="str">
        <x:v>李佳薇</x:v>
      </x:c>
      <x:c r="I613" t="str">
        <x:v>002AZauQ1UKQxe</x:v>
      </x:c>
      <x:c r="J613" t="str">
        <x:v>False</x:v>
      </x:c>
      <x:c r="K613" t="n">
        <x:v>7</x:v>
      </x:c>
      <x:c r="L613" t="n">
        <x:v>6</x:v>
      </x:c>
      <x:c r="M613" t="n">
        <x:v>7</x:v>
      </x:c>
      <x:c r="N613" t="n">
        <x:v>95.5417</x:v>
      </x:c>
      <x:c r="O613" t="n">
        <x:v>90.74</x:v>
      </x:c>
      <x:c r="P613" t="n">
        <x:v>0</x:v>
      </x:c>
      <x:c r="Q613" t="n">
        <x:v>0</x:v>
      </x:c>
      <x:c r="R613" t="n">
        <x:v>48.07</x:v>
      </x:c>
      <x:c r="S613" t="n">
        <x:v>58.7</x:v>
      </x:c>
      <x:c r="T613" t="str">
        <x:v>https://y.gtimg.cn/music/photo_new/T002R500x500M00000446QRA1fTdqA_2.jpg</x:v>
      </x:c>
      <x:c r="U613" s="24" t="str">
        <x:f>IFERROR(VLOOKUP(I613,'07_字典与参数'!$G$5:$J$9,2,FALSE),"未入选")</x:f>
        <x:v>未入选</x:v>
      </x:c>
      <x:c r="V613" s="24" t="str">
        <x:f>IFERROR(VLOOKUP(I613,'07_字典与参数'!$G$5:$J$9,3,FALSE),"—")</x:f>
        <x:v>—</x:v>
      </x:c>
      <x:c r="W613" s="24" t="str">
        <x:f>IF(U613="未入选","否","是")</x:f>
        <x:v>否</x:v>
      </x:c>
    </x:row>
    <x:row r="614">
      <x:c r="A614" t="n">
        <x:v>202631</x:v>
      </x:c>
      <x:c r="B614" t="str">
        <x:v>第31期（08.03-08.09）</x:v>
      </x:c>
      <x:c r="C614" t="str">
        <x:v>2026-08-03</x:v>
      </x:c>
      <x:c r="D614" t="str">
        <x:v>2026-08-09</x:v>
      </x:c>
      <x:c r="E614" t="n">
        <x:v>10</x:v>
      </x:c>
      <x:c r="F614" t="n">
        <x:v>515779632</x:v>
      </x:c>
      <x:c r="G614" t="str">
        <x:v>Steal The Moon</x:v>
      </x:c>
      <x:c r="H614" t="str">
        <x:v>王俊凯</x:v>
      </x:c>
      <x:c r="I614" t="str">
        <x:v>0041rMW52UcUDL</x:v>
      </x:c>
      <x:c r="J614" t="str">
        <x:v>False</x:v>
      </x:c>
      <x:c r="K614" t="n">
        <x:v>10</x:v>
      </x:c>
      <x:c r="L614" t="n">
        <x:v>7</x:v>
      </x:c>
      <x:c r="M614" t="n">
        <x:v>1</x:v>
      </x:c>
      <x:c r="N614" t="n">
        <x:v>95.48846</x:v>
      </x:c>
      <x:c r="O614" t="n">
        <x:v>70.31</x:v>
      </x:c>
      <x:c r="P614" t="n">
        <x:v>0</x:v>
      </x:c>
      <x:c r="Q614" t="n">
        <x:v>0</x:v>
      </x:c>
      <x:c r="R614" t="n">
        <x:v>41.84</x:v>
      </x:c>
      <x:c r="S614" t="n">
        <x:v>81.27</x:v>
      </x:c>
      <x:c r="T614" t="str">
        <x:v>https://y.qq.com/music/photo_new/T062R500x500M000002Z67Ce1Dtijs.jpg</x:v>
      </x:c>
      <x:c r="U614" s="24" t="str">
        <x:f>IFERROR(VLOOKUP(I614,'07_字典与参数'!$G$5:$J$9,2,FALSE),"未入选")</x:f>
        <x:v>未入选</x:v>
      </x:c>
      <x:c r="V614" s="24" t="str">
        <x:f>IFERROR(VLOOKUP(I614,'07_字典与参数'!$G$5:$J$9,3,FALSE),"—")</x:f>
        <x:v>—</x:v>
      </x:c>
      <x:c r="W614" s="24" t="str">
        <x:f>IF(U614="未入选","否","是")</x:f>
        <x:v>否</x:v>
      </x:c>
    </x:row>
    <x:row r="615">
      <x:c r="A615" t="n">
        <x:v>202631</x:v>
      </x:c>
      <x:c r="B615" t="str">
        <x:v>第31期（08.03-08.09）</x:v>
      </x:c>
      <x:c r="C615" t="str">
        <x:v>2026-08-03</x:v>
      </x:c>
      <x:c r="D615" t="str">
        <x:v>2026-08-09</x:v>
      </x:c>
      <x:c r="E615" t="n">
        <x:v>11</x:v>
      </x:c>
      <x:c r="F615" t="n">
        <x:v>495731462</x:v>
      </x:c>
      <x:c r="G615" t="str">
        <x:v>宇宙游乐场</x:v>
      </x:c>
      <x:c r="H615" t="str">
        <x:v>梓渝</x:v>
      </x:c>
      <x:c r="I615" t="str">
        <x:v>003xi4dG0HPhN3</x:v>
      </x:c>
      <x:c r="J615" t="str">
        <x:v>False</x:v>
      </x:c>
      <x:c r="K615" t="n">
        <x:v>4</x:v>
      </x:c>
      <x:c r="L615" t="n">
        <x:v>10</x:v>
      </x:c>
      <x:c r="M615" t="n">
        <x:v>1</x:v>
      </x:c>
      <x:c r="N615" t="n">
        <x:v>95.10847</x:v>
      </x:c>
      <x:c r="O615" t="n">
        <x:v>71.23</x:v>
      </x:c>
      <x:c r="P615" t="n">
        <x:v>0</x:v>
      </x:c>
      <x:c r="Q615" t="n">
        <x:v>0</x:v>
      </x:c>
      <x:c r="R615" t="n">
        <x:v>48.67</x:v>
      </x:c>
      <x:c r="S615" t="n">
        <x:v>79.36</x:v>
      </x:c>
      <x:c r="T615" t="str">
        <x:v>https://y.gtimg.cn/music/photo_new/T002R500x500M000001YF9mT23fsBQ_1.jpg</x:v>
      </x:c>
      <x:c r="U615" s="24" t="str">
        <x:f>IFERROR(VLOOKUP(I615,'07_字典与参数'!$G$5:$J$9,2,FALSE),"未入选")</x:f>
        <x:v>未入选</x:v>
      </x:c>
      <x:c r="V615" s="24" t="str">
        <x:f>IFERROR(VLOOKUP(I615,'07_字典与参数'!$G$5:$J$9,3,FALSE),"—")</x:f>
        <x:v>—</x:v>
      </x:c>
      <x:c r="W615" s="24" t="str">
        <x:f>IF(U615="未入选","否","是")</x:f>
        <x:v>否</x:v>
      </x:c>
    </x:row>
    <x:row r="616">
      <x:c r="A616" t="n">
        <x:v>202631</x:v>
      </x:c>
      <x:c r="B616" t="str">
        <x:v>第31期（08.03-08.09）</x:v>
      </x:c>
      <x:c r="C616" t="str">
        <x:v>2026-08-03</x:v>
      </x:c>
      <x:c r="D616" t="str">
        <x:v>2026-08-09</x:v>
      </x:c>
      <x:c r="E616" t="n">
        <x:v>12</x:v>
      </x:c>
      <x:c r="F616" t="n">
        <x:v>532484944</x:v>
      </x:c>
      <x:c r="G616" t="str">
        <x:v>金乌 Golden Bird</x:v>
      </x:c>
      <x:c r="H616" t="str">
        <x:v>刘宇,Alan Walker,孙名川Chuanzi Suona</x:v>
      </x:c>
      <x:c r="I616" t="str">
        <x:v>0003JwIi4QIpYc</x:v>
      </x:c>
      <x:c r="J616" t="str">
        <x:v>True</x:v>
      </x:c>
      <x:c r="K616" t="n">
        <x:v>0</x:v>
      </x:c>
      <x:c r="L616" t="n">
        <x:v>1</x:v>
      </x:c>
      <x:c r="M616" t="n">
        <x:v>12</x:v>
      </x:c>
      <x:c r="N616" t="n">
        <x:v>94.2231</x:v>
      </x:c>
      <x:c r="O616" t="n">
        <x:v>75.11</x:v>
      </x:c>
      <x:c r="P616" t="n">
        <x:v>0</x:v>
      </x:c>
      <x:c r="Q616" t="n">
        <x:v>0</x:v>
      </x:c>
      <x:c r="R616" t="n">
        <x:v>72.37</x:v>
      </x:c>
      <x:c r="S616" t="n">
        <x:v>72.4</x:v>
      </x:c>
      <x:c r="T616" t="str">
        <x:v>https://y.gtimg.cn/music/photo_new/T002R500x500M000002Yi9zH2kztlV_2.jpg</x:v>
      </x:c>
      <x:c r="U616" s="24" t="str">
        <x:f>IFERROR(VLOOKUP(I616,'07_字典与参数'!$G$5:$J$9,2,FALSE),"未入选")</x:f>
        <x:v>未入选</x:v>
      </x:c>
      <x:c r="V616" s="24" t="str">
        <x:f>IFERROR(VLOOKUP(I616,'07_字典与参数'!$G$5:$J$9,3,FALSE),"—")</x:f>
        <x:v>—</x:v>
      </x:c>
      <x:c r="W616" s="24" t="str">
        <x:f>IF(U616="未入选","否","是")</x:f>
        <x:v>否</x:v>
      </x:c>
    </x:row>
    <x:row r="617">
      <x:c r="A617" t="n">
        <x:v>202631</x:v>
      </x:c>
      <x:c r="B617" t="str">
        <x:v>第31期（08.03-08.09）</x:v>
      </x:c>
      <x:c r="C617" t="str">
        <x:v>2026-08-03</x:v>
      </x:c>
      <x:c r="D617" t="str">
        <x:v>2026-08-09</x:v>
      </x:c>
      <x:c r="E617" t="n">
        <x:v>13</x:v>
      </x:c>
      <x:c r="F617" t="n">
        <x:v>533494826</x:v>
      </x:c>
      <x:c r="G617" t="str">
        <x:v>山风山风等等我</x:v>
      </x:c>
      <x:c r="H617" t="str">
        <x:v>万海东</x:v>
      </x:c>
      <x:c r="I617" t="str">
        <x:v>0012TY2n0qQurs</x:v>
      </x:c>
      <x:c r="J617" t="str">
        <x:v>False</x:v>
      </x:c>
      <x:c r="K617" t="n">
        <x:v>11</x:v>
      </x:c>
      <x:c r="L617" t="n">
        <x:v>2</x:v>
      </x:c>
      <x:c r="M617" t="n">
        <x:v>11</x:v>
      </x:c>
      <x:c r="N617" t="n">
        <x:v>94.06787</x:v>
      </x:c>
      <x:c r="O617" t="n">
        <x:v>86.96</x:v>
      </x:c>
      <x:c r="P617" t="n">
        <x:v>0</x:v>
      </x:c>
      <x:c r="Q617" t="n">
        <x:v>0</x:v>
      </x:c>
      <x:c r="R617" t="n">
        <x:v>57.14</x:v>
      </x:c>
      <x:c r="S617" t="n">
        <x:v>56.21</x:v>
      </x:c>
      <x:c r="T617" t="str">
        <x:v>https://y.gtimg.cn/music/photo_new/T002R500x500M000002O92eu0Jubpi_3.jpg</x:v>
      </x:c>
      <x:c r="U617" s="24" t="str">
        <x:f>IFERROR(VLOOKUP(I617,'07_字典与参数'!$G$5:$J$9,2,FALSE),"未入选")</x:f>
        <x:v>未入选</x:v>
      </x:c>
      <x:c r="V617" s="24" t="str">
        <x:f>IFERROR(VLOOKUP(I617,'07_字典与参数'!$G$5:$J$9,3,FALSE),"—")</x:f>
        <x:v>—</x:v>
      </x:c>
      <x:c r="W617" s="24" t="str">
        <x:f>IF(U617="未入选","否","是")</x:f>
        <x:v>否</x:v>
      </x:c>
    </x:row>
    <x:row r="618">
      <x:c r="A618" t="n">
        <x:v>202631</x:v>
      </x:c>
      <x:c r="B618" t="str">
        <x:v>第31期（08.03-08.09）</x:v>
      </x:c>
      <x:c r="C618" t="str">
        <x:v>2026-08-03</x:v>
      </x:c>
      <x:c r="D618" t="str">
        <x:v>2026-08-09</x:v>
      </x:c>
      <x:c r="E618" t="n">
        <x:v>14</x:v>
      </x:c>
      <x:c r="F618" t="n">
        <x:v>522467101</x:v>
      </x:c>
      <x:c r="G618" t="str">
        <x:v>讨厌情歌</x:v>
      </x:c>
      <x:c r="H618" t="str">
        <x:v>张艺兴</x:v>
      </x:c>
      <x:c r="I618" t="str">
        <x:v>004QdItR3OzS3J</x:v>
      </x:c>
      <x:c r="J618" t="str">
        <x:v>False</x:v>
      </x:c>
      <x:c r="K618" t="n">
        <x:v>35</x:v>
      </x:c>
      <x:c r="L618" t="n">
        <x:v>2</x:v>
      </x:c>
      <x:c r="M618" t="n">
        <x:v>14</x:v>
      </x:c>
      <x:c r="N618" t="n">
        <x:v>93.07517</x:v>
      </x:c>
      <x:c r="O618" t="n">
        <x:v>74.34</x:v>
      </x:c>
      <x:c r="P618" t="n">
        <x:v>0</x:v>
      </x:c>
      <x:c r="Q618" t="n">
        <x:v>0</x:v>
      </x:c>
      <x:c r="R618" t="n">
        <x:v>54.67</x:v>
      </x:c>
      <x:c r="S618" t="n">
        <x:v>75.02</x:v>
      </x:c>
      <x:c r="T618" t="str">
        <x:v>https://y.gtimg.cn/music/photo_new/T002R500x500M000001w138z3PZEcz_1.jpg</x:v>
      </x:c>
      <x:c r="U618" s="24" t="str">
        <x:f>IFERROR(VLOOKUP(I618,'07_字典与参数'!$G$5:$J$9,2,FALSE),"未入选")</x:f>
        <x:v>未入选</x:v>
      </x:c>
      <x:c r="V618" s="24" t="str">
        <x:f>IFERROR(VLOOKUP(I618,'07_字典与参数'!$G$5:$J$9,3,FALSE),"—")</x:f>
        <x:v>—</x:v>
      </x:c>
      <x:c r="W618" s="24" t="str">
        <x:f>IF(U618="未入选","否","是")</x:f>
        <x:v>否</x:v>
      </x:c>
    </x:row>
    <x:row r="619">
      <x:c r="A619" t="n">
        <x:v>202631</x:v>
      </x:c>
      <x:c r="B619" t="str">
        <x:v>第31期（08.03-08.09）</x:v>
      </x:c>
      <x:c r="C619" t="str">
        <x:v>2026-08-03</x:v>
      </x:c>
      <x:c r="D619" t="str">
        <x:v>2026-08-09</x:v>
      </x:c>
      <x:c r="E619" t="n">
        <x:v>15</x:v>
      </x:c>
      <x:c r="F619" t="n">
        <x:v>476979934</x:v>
      </x:c>
      <x:c r="G619" t="str">
        <x:v>大江南</x:v>
      </x:c>
      <x:c r="H619" t="str">
        <x:v>刀郎</x:v>
      </x:c>
      <x:c r="I619" t="str">
        <x:v>00353J6U0acVVf</x:v>
      </x:c>
      <x:c r="J619" t="str">
        <x:v>False</x:v>
      </x:c>
      <x:c r="K619" t="n">
        <x:v>12</x:v>
      </x:c>
      <x:c r="L619" t="n">
        <x:v>20</x:v>
      </x:c>
      <x:c r="M619" t="n">
        <x:v>9</x:v>
      </x:c>
      <x:c r="N619" t="n">
        <x:v>92.82241</x:v>
      </x:c>
      <x:c r="O619" t="n">
        <x:v>60.54</x:v>
      </x:c>
      <x:c r="P619" t="n">
        <x:v>0</x:v>
      </x:c>
      <x:c r="Q619" t="n">
        <x:v>0</x:v>
      </x:c>
      <x:c r="R619" t="n">
        <x:v>35.44</x:v>
      </x:c>
      <x:c r="S619" t="n">
        <x:v>76.11</x:v>
      </x:c>
      <x:c r="T619" t="str">
        <x:v>https://y.gtimg.cn/music/photo_new/T002R500x500M0000042UNmv3tjqE2_1.jpg</x:v>
      </x:c>
      <x:c r="U619" s="24" t="str">
        <x:f>IFERROR(VLOOKUP(I619,'07_字典与参数'!$G$5:$J$9,2,FALSE),"未入选")</x:f>
        <x:v>未入选</x:v>
      </x:c>
      <x:c r="V619" s="24" t="str">
        <x:f>IFERROR(VLOOKUP(I619,'07_字典与参数'!$G$5:$J$9,3,FALSE),"—")</x:f>
        <x:v>—</x:v>
      </x:c>
      <x:c r="W619" s="24" t="str">
        <x:f>IF(U619="未入选","否","是")</x:f>
        <x:v>否</x:v>
      </x:c>
    </x:row>
    <x:row r="620">
      <x:c r="A620" t="n">
        <x:v>202631</x:v>
      </x:c>
      <x:c r="B620" t="str">
        <x:v>第31期（08.03-08.09）</x:v>
      </x:c>
      <x:c r="C620" t="str">
        <x:v>2026-08-03</x:v>
      </x:c>
      <x:c r="D620" t="str">
        <x:v>2026-08-09</x:v>
      </x:c>
      <x:c r="E620" t="n">
        <x:v>16</x:v>
      </x:c>
      <x:c r="F620" t="n">
        <x:v>528886869</x:v>
      </x:c>
      <x:c r="G620" t="str">
        <x:v>吹吹山顶的风</x:v>
      </x:c>
      <x:c r="H620" t="str">
        <x:v>巴扎黑</x:v>
      </x:c>
      <x:c r="I620" t="str">
        <x:v>00300Opj0ekd7M</x:v>
      </x:c>
      <x:c r="J620" t="str">
        <x:v>False</x:v>
      </x:c>
      <x:c r="K620" t="n">
        <x:v>14</x:v>
      </x:c>
      <x:c r="L620" t="n">
        <x:v>5</x:v>
      </x:c>
      <x:c r="M620" t="n">
        <x:v>12</x:v>
      </x:c>
      <x:c r="N620" t="n">
        <x:v>92.78788</x:v>
      </x:c>
      <x:c r="O620" t="n">
        <x:v>85.42</x:v>
      </x:c>
      <x:c r="P620" t="n">
        <x:v>0</x:v>
      </x:c>
      <x:c r="Q620" t="n">
        <x:v>0</x:v>
      </x:c>
      <x:c r="R620" t="n">
        <x:v>58.55</x:v>
      </x:c>
      <x:c r="S620" t="n">
        <x:v>46.66</x:v>
      </x:c>
      <x:c r="T620" t="str">
        <x:v>https://y.gtimg.cn/music/photo_new/T002R500x500M000003fdCjM2I4CYg_4.jpg</x:v>
      </x:c>
      <x:c r="U620" s="24" t="str">
        <x:f>IFERROR(VLOOKUP(I620,'07_字典与参数'!$G$5:$J$9,2,FALSE),"未入选")</x:f>
        <x:v>未入选</x:v>
      </x:c>
      <x:c r="V620" s="24" t="str">
        <x:f>IFERROR(VLOOKUP(I620,'07_字典与参数'!$G$5:$J$9,3,FALSE),"—")</x:f>
        <x:v>—</x:v>
      </x:c>
      <x:c r="W620" s="24" t="str">
        <x:f>IF(U620="未入选","否","是")</x:f>
        <x:v>否</x:v>
      </x:c>
    </x:row>
    <x:row r="621">
      <x:c r="A621" t="n">
        <x:v>202631</x:v>
      </x:c>
      <x:c r="B621" t="str">
        <x:v>第31期（08.03-08.09）</x:v>
      </x:c>
      <x:c r="C621" t="str">
        <x:v>2026-08-03</x:v>
      </x:c>
      <x:c r="D621" t="str">
        <x:v>2026-08-09</x:v>
      </x:c>
      <x:c r="E621" t="n">
        <x:v>17</x:v>
      </x:c>
      <x:c r="F621" t="n">
        <x:v>490979740</x:v>
      </x:c>
      <x:c r="G621" t="str">
        <x:v>玻璃</x:v>
      </x:c>
      <x:c r="H621" t="str">
        <x:v>Gareth.T</x:v>
      </x:c>
      <x:c r="I621" t="str">
        <x:v>001brxL63DYjSr</x:v>
      </x:c>
      <x:c r="J621" t="str">
        <x:v>False</x:v>
      </x:c>
      <x:c r="K621" t="n">
        <x:v>15</x:v>
      </x:c>
      <x:c r="L621" t="n">
        <x:v>12</x:v>
      </x:c>
      <x:c r="M621" t="n">
        <x:v>2</x:v>
      </x:c>
      <x:c r="N621" t="n">
        <x:v>92.76196</x:v>
      </x:c>
      <x:c r="O621" t="n">
        <x:v>85.77</x:v>
      </x:c>
      <x:c r="P621" t="n">
        <x:v>0</x:v>
      </x:c>
      <x:c r="Q621" t="n">
        <x:v>0</x:v>
      </x:c>
      <x:c r="R621" t="n">
        <x:v>27.67</x:v>
      </x:c>
      <x:c r="S621" t="n">
        <x:v>56.03</x:v>
      </x:c>
      <x:c r="T621" t="str">
        <x:v>https://y.gtimg.cn/music/photo_new/T002R500x500M000002kIED92uw8L5_1.jpg</x:v>
      </x:c>
      <x:c r="U621" s="24" t="str">
        <x:f>IFERROR(VLOOKUP(I621,'07_字典与参数'!$G$5:$J$9,2,FALSE),"未入选")</x:f>
        <x:v>未入选</x:v>
      </x:c>
      <x:c r="V621" s="24" t="str">
        <x:f>IFERROR(VLOOKUP(I621,'07_字典与参数'!$G$5:$J$9,3,FALSE),"—")</x:f>
        <x:v>—</x:v>
      </x:c>
      <x:c r="W621" s="24" t="str">
        <x:f>IF(U621="未入选","否","是")</x:f>
        <x:v>否</x:v>
      </x:c>
    </x:row>
    <x:row r="622">
      <x:c r="A622" t="n">
        <x:v>202631</x:v>
      </x:c>
      <x:c r="B622" t="str">
        <x:v>第31期（08.03-08.09）</x:v>
      </x:c>
      <x:c r="C622" t="str">
        <x:v>2026-08-03</x:v>
      </x:c>
      <x:c r="D622" t="str">
        <x:v>2026-08-09</x:v>
      </x:c>
      <x:c r="E622" t="n">
        <x:v>18</x:v>
      </x:c>
      <x:c r="F622" t="n">
        <x:v>495624493</x:v>
      </x:c>
      <x:c r="G622" t="str">
        <x:v>梦哑</x:v>
      </x:c>
      <x:c r="H622" t="str">
        <x:v>任然</x:v>
      </x:c>
      <x:c r="I622" t="str">
        <x:v>003WHs6a1qmOeG</x:v>
      </x:c>
      <x:c r="J622" t="str">
        <x:v>False</x:v>
      </x:c>
      <x:c r="K622" t="n">
        <x:v>16</x:v>
      </x:c>
      <x:c r="L622" t="n">
        <x:v>7</x:v>
      </x:c>
      <x:c r="M622" t="n">
        <x:v>15</x:v>
      </x:c>
      <x:c r="N622" t="n">
        <x:v>92.62368</x:v>
      </x:c>
      <x:c r="O622" t="n">
        <x:v>85.65</x:v>
      </x:c>
      <x:c r="P622" t="n">
        <x:v>0</x:v>
      </x:c>
      <x:c r="Q622" t="n">
        <x:v>0</x:v>
      </x:c>
      <x:c r="R622" t="n">
        <x:v>26.69</x:v>
      </x:c>
      <x:c r="S622" t="n">
        <x:v>54.55</x:v>
      </x:c>
      <x:c r="T622" t="str">
        <x:v>https://y.gtimg.cn/music/photo_new/T002R500x500M000000JotAZ2WZEkq_1.jpg</x:v>
      </x:c>
      <x:c r="U622" s="24" t="str">
        <x:f>IFERROR(VLOOKUP(I622,'07_字典与参数'!$G$5:$J$9,2,FALSE),"未入选")</x:f>
        <x:v>未入选</x:v>
      </x:c>
      <x:c r="V622" s="24" t="str">
        <x:f>IFERROR(VLOOKUP(I622,'07_字典与参数'!$G$5:$J$9,3,FALSE),"—")</x:f>
        <x:v>—</x:v>
      </x:c>
      <x:c r="W622" s="24" t="str">
        <x:f>IF(U622="未入选","否","是")</x:f>
        <x:v>否</x:v>
      </x:c>
    </x:row>
    <x:row r="623">
      <x:c r="A623" t="n">
        <x:v>202631</x:v>
      </x:c>
      <x:c r="B623" t="str">
        <x:v>第31期（08.03-08.09）</x:v>
      </x:c>
      <x:c r="C623" t="str">
        <x:v>2026-08-03</x:v>
      </x:c>
      <x:c r="D623" t="str">
        <x:v>2026-08-09</x:v>
      </x:c>
      <x:c r="E623" t="n">
        <x:v>19</x:v>
      </x:c>
      <x:c r="F623" t="n">
        <x:v>538627063</x:v>
      </x:c>
      <x:c r="G623" t="str">
        <x:v>STRANGE</x:v>
      </x:c>
      <x:c r="H623" t="str">
        <x:v>刘雨昕</x:v>
      </x:c>
      <x:c r="I623" t="str">
        <x:v>002rMnSN4R0ahw</x:v>
      </x:c>
      <x:c r="J623" t="str">
        <x:v>True</x:v>
      </x:c>
      <x:c r="K623" t="n">
        <x:v>0</x:v>
      </x:c>
      <x:c r="L623" t="n">
        <x:v>1</x:v>
      </x:c>
      <x:c r="M623" t="n">
        <x:v>19</x:v>
      </x:c>
      <x:c r="N623" t="n">
        <x:v>92.23778</x:v>
      </x:c>
      <x:c r="O623" t="n">
        <x:v>77.65</x:v>
      </x:c>
      <x:c r="P623" t="n">
        <x:v>0</x:v>
      </x:c>
      <x:c r="Q623" t="n">
        <x:v>0</x:v>
      </x:c>
      <x:c r="R623" t="n">
        <x:v>66.44</x:v>
      </x:c>
      <x:c r="S623" t="n">
        <x:v>65.52</x:v>
      </x:c>
      <x:c r="T623" t="str">
        <x:v>https://y.gtimg.cn/music/photo_new/T002R500x500M000000BaXC41XdsHa_1.jpg</x:v>
      </x:c>
      <x:c r="U623" s="24" t="str">
        <x:f>IFERROR(VLOOKUP(I623,'07_字典与参数'!$G$5:$J$9,2,FALSE),"未入选")</x:f>
        <x:v>未入选</x:v>
      </x:c>
      <x:c r="V623" s="24" t="str">
        <x:f>IFERROR(VLOOKUP(I623,'07_字典与参数'!$G$5:$J$9,3,FALSE),"—")</x:f>
        <x:v>—</x:v>
      </x:c>
      <x:c r="W623" s="24" t="str">
        <x:f>IF(U623="未入选","否","是")</x:f>
        <x:v>否</x:v>
      </x:c>
    </x:row>
    <x:row r="624">
      <x:c r="A624" t="n">
        <x:v>202631</x:v>
      </x:c>
      <x:c r="B624" t="str">
        <x:v>第31期（08.03-08.09）</x:v>
      </x:c>
      <x:c r="C624" t="str">
        <x:v>2026-08-03</x:v>
      </x:c>
      <x:c r="D624" t="str">
        <x:v>2026-08-09</x:v>
      </x:c>
      <x:c r="E624" t="n">
        <x:v>20</x:v>
      </x:c>
      <x:c r="F624" t="n">
        <x:v>293603181</x:v>
      </x:c>
      <x:c r="G624" t="str">
        <x:v>小美满</x:v>
      </x:c>
      <x:c r="H624" t="str">
        <x:v>周深</x:v>
      </x:c>
      <x:c r="I624" t="str">
        <x:v>002QvWwX1BG9mr</x:v>
      </x:c>
      <x:c r="J624" t="str">
        <x:v>False</x:v>
      </x:c>
      <x:c r="K624" t="n">
        <x:v>21</x:v>
      </x:c>
      <x:c r="L624" t="n">
        <x:v>131</x:v>
      </x:c>
      <x:c r="M624" t="n">
        <x:v>1</x:v>
      </x:c>
      <x:c r="N624" t="n">
        <x:v>92.17863</x:v>
      </x:c>
      <x:c r="O624" t="n">
        <x:v>79.49</x:v>
      </x:c>
      <x:c r="P624" t="n">
        <x:v>0</x:v>
      </x:c>
      <x:c r="Q624" t="n">
        <x:v>0</x:v>
      </x:c>
      <x:c r="R624" t="n">
        <x:v>32.55</x:v>
      </x:c>
      <x:c r="S624" t="n">
        <x:v>71.27</x:v>
      </x:c>
      <x:c r="T624" t="str">
        <x:v>https://y.gtimg.cn/music/photo_new/T002R500x500M0000002ATV00WcBgd_2.jpg</x:v>
      </x:c>
      <x:c r="U624" s="24" t="str">
        <x:f>IFERROR(VLOOKUP(I624,'07_字典与参数'!$G$5:$J$9,2,FALSE),"未入选")</x:f>
        <x:v>未入选</x:v>
      </x:c>
      <x:c r="V624" s="24" t="str">
        <x:f>IFERROR(VLOOKUP(I624,'07_字典与参数'!$G$5:$J$9,3,FALSE),"—")</x:f>
        <x:v>—</x:v>
      </x:c>
      <x:c r="W624" s="24" t="str">
        <x:f>IF(U624="未入选","否","是")</x:f>
        <x:v>否</x:v>
      </x:c>
    </x:row>
    <x:row r="625">
      <x:c r="A625" t="n">
        <x:v>202631</x:v>
      </x:c>
      <x:c r="B625" t="str">
        <x:v>第31期（08.03-08.09）</x:v>
      </x:c>
      <x:c r="C625" t="str">
        <x:v>2026-08-03</x:v>
      </x:c>
      <x:c r="D625" t="str">
        <x:v>2026-08-09</x:v>
      </x:c>
      <x:c r="E625" t="n">
        <x:v>21</x:v>
      </x:c>
      <x:c r="F625" t="n">
        <x:v>452195789</x:v>
      </x:c>
      <x:c r="G625" t="str">
        <x:v>不渝</x:v>
      </x:c>
      <x:c r="H625" t="str">
        <x:v>梓渝</x:v>
      </x:c>
      <x:c r="I625" t="str">
        <x:v>000TyQAA0jYDlU</x:v>
      </x:c>
      <x:c r="J625" t="str">
        <x:v>False</x:v>
      </x:c>
      <x:c r="K625" t="n">
        <x:v>6</x:v>
      </x:c>
      <x:c r="L625" t="n">
        <x:v>34</x:v>
      </x:c>
      <x:c r="M625" t="n">
        <x:v>1</x:v>
      </x:c>
      <x:c r="N625" t="n">
        <x:v>91.97008</x:v>
      </x:c>
      <x:c r="O625" t="n">
        <x:v>62.37</x:v>
      </x:c>
      <x:c r="P625" t="n">
        <x:v>0</x:v>
      </x:c>
      <x:c r="Q625" t="n">
        <x:v>0</x:v>
      </x:c>
      <x:c r="R625" t="n">
        <x:v>36</x:v>
      </x:c>
      <x:c r="S625" t="n">
        <x:v>74.53</x:v>
      </x:c>
      <x:c r="T625" t="str">
        <x:v>https://y.gtimg.cn/music/photo_new/T002R500x500M000001bXK7t4Q576w_1.jpg</x:v>
      </x:c>
      <x:c r="U625" s="24" t="str">
        <x:f>IFERROR(VLOOKUP(I625,'07_字典与参数'!$G$5:$J$9,2,FALSE),"未入选")</x:f>
        <x:v>未入选</x:v>
      </x:c>
      <x:c r="V625" s="24" t="str">
        <x:f>IFERROR(VLOOKUP(I625,'07_字典与参数'!$G$5:$J$9,3,FALSE),"—")</x:f>
        <x:v>—</x:v>
      </x:c>
      <x:c r="W625" s="24" t="str">
        <x:f>IF(U625="未入选","否","是")</x:f>
        <x:v>否</x:v>
      </x:c>
    </x:row>
    <x:row r="626">
      <x:c r="A626" t="n">
        <x:v>202631</x:v>
      </x:c>
      <x:c r="B626" t="str">
        <x:v>第31期（08.03-08.09）</x:v>
      </x:c>
      <x:c r="C626" t="str">
        <x:v>2026-08-03</x:v>
      </x:c>
      <x:c r="D626" t="str">
        <x:v>2026-08-09</x:v>
      </x:c>
      <x:c r="E626" t="n">
        <x:v>22</x:v>
      </x:c>
      <x:c r="F626" t="n">
        <x:v>199985272</x:v>
      </x:c>
      <x:c r="G626" t="str">
        <x:v>花开忘忧</x:v>
      </x:c>
      <x:c r="H626" t="str">
        <x:v>周深</x:v>
      </x:c>
      <x:c r="I626" t="str">
        <x:v>004czGF42WSgko</x:v>
      </x:c>
      <x:c r="J626" t="str">
        <x:v>False</x:v>
      </x:c>
      <x:c r="K626" t="n">
        <x:v>22</x:v>
      </x:c>
      <x:c r="L626" t="n">
        <x:v>205</x:v>
      </x:c>
      <x:c r="M626" t="n">
        <x:v>1</x:v>
      </x:c>
      <x:c r="N626" t="n">
        <x:v>91.92509</x:v>
      </x:c>
      <x:c r="O626" t="n">
        <x:v>71.32</x:v>
      </x:c>
      <x:c r="P626" t="n">
        <x:v>0</x:v>
      </x:c>
      <x:c r="Q626" t="n">
        <x:v>0</x:v>
      </x:c>
      <x:c r="R626" t="n">
        <x:v>26.61</x:v>
      </x:c>
      <x:c r="S626" t="n">
        <x:v>73.67</x:v>
      </x:c>
      <x:c r="T626" t="str">
        <x:v>https://y.gtimg.cn/music/photo_new/T002R500x500M000001rb1ah0bFKMo_1.jpg</x:v>
      </x:c>
      <x:c r="U626" s="24" t="str">
        <x:f>IFERROR(VLOOKUP(I626,'07_字典与参数'!$G$5:$J$9,2,FALSE),"未入选")</x:f>
        <x:v>未入选</x:v>
      </x:c>
      <x:c r="V626" s="24" t="str">
        <x:f>IFERROR(VLOOKUP(I626,'07_字典与参数'!$G$5:$J$9,3,FALSE),"—")</x:f>
        <x:v>—</x:v>
      </x:c>
      <x:c r="W626" s="24" t="str">
        <x:f>IF(U626="未入选","否","是")</x:f>
        <x:v>否</x:v>
      </x:c>
    </x:row>
    <x:row r="627">
      <x:c r="A627" t="n">
        <x:v>202631</x:v>
      </x:c>
      <x:c r="B627" t="str">
        <x:v>第31期（08.03-08.09）</x:v>
      </x:c>
      <x:c r="C627" t="str">
        <x:v>2026-08-03</x:v>
      </x:c>
      <x:c r="D627" t="str">
        <x:v>2026-08-09</x:v>
      </x:c>
      <x:c r="E627" t="n">
        <x:v>23</x:v>
      </x:c>
      <x:c r="F627" t="n">
        <x:v>532442337</x:v>
      </x:c>
      <x:c r="G627" t="str">
        <x:v>全世界的雨</x:v>
      </x:c>
      <x:c r="H627" t="str">
        <x:v>周深,Ella陈嘉桦</x:v>
      </x:c>
      <x:c r="I627" t="str">
        <x:v>000R5lKk0KJBgG</x:v>
      </x:c>
      <x:c r="J627" t="str">
        <x:v>False</x:v>
      </x:c>
      <x:c r="K627" t="n">
        <x:v>24</x:v>
      </x:c>
      <x:c r="L627" t="n">
        <x:v>4</x:v>
      </x:c>
      <x:c r="M627" t="n">
        <x:v>2</x:v>
      </x:c>
      <x:c r="N627" t="n">
        <x:v>91.78261</x:v>
      </x:c>
      <x:c r="O627" t="n">
        <x:v>83.48</x:v>
      </x:c>
      <x:c r="P627" t="n">
        <x:v>0</x:v>
      </x:c>
      <x:c r="Q627" t="n">
        <x:v>0</x:v>
      </x:c>
      <x:c r="R627" t="n">
        <x:v>31.95</x:v>
      </x:c>
      <x:c r="S627" t="n">
        <x:v>55.53</x:v>
      </x:c>
      <x:c r="T627" t="str">
        <x:v>https://y.gtimg.cn/music/photo_new/T002R500x500M000003K9rwV09UxLk_1.jpg</x:v>
      </x:c>
      <x:c r="U627" s="24" t="str">
        <x:f>IFERROR(VLOOKUP(I627,'07_字典与参数'!$G$5:$J$9,2,FALSE),"未入选")</x:f>
        <x:v>未入选</x:v>
      </x:c>
      <x:c r="V627" s="24" t="str">
        <x:f>IFERROR(VLOOKUP(I627,'07_字典与参数'!$G$5:$J$9,3,FALSE),"—")</x:f>
        <x:v>—</x:v>
      </x:c>
      <x:c r="W627" s="24" t="str">
        <x:f>IF(U627="未入选","否","是")</x:f>
        <x:v>否</x:v>
      </x:c>
    </x:row>
    <x:row r="628">
      <x:c r="A628" t="n">
        <x:v>202631</x:v>
      </x:c>
      <x:c r="B628" t="str">
        <x:v>第31期（08.03-08.09）</x:v>
      </x:c>
      <x:c r="C628" t="str">
        <x:v>2026-08-03</x:v>
      </x:c>
      <x:c r="D628" t="str">
        <x:v>2026-08-09</x:v>
      </x:c>
      <x:c r="E628" t="n">
        <x:v>24</x:v>
      </x:c>
      <x:c r="F628" t="n">
        <x:v>385505856</x:v>
      </x:c>
      <x:c r="G628" t="str">
        <x:v>像晴天像雨天</x:v>
      </x:c>
      <x:c r="H628" t="str">
        <x:v>汪苏泷</x:v>
      </x:c>
      <x:c r="I628" t="str">
        <x:v>003sZs4P2hFUVQ</x:v>
      </x:c>
      <x:c r="J628" t="str">
        <x:v>False</x:v>
      </x:c>
      <x:c r="K628" t="n">
        <x:v>23</x:v>
      </x:c>
      <x:c r="L628" t="n">
        <x:v>78</x:v>
      </x:c>
      <x:c r="M628" t="n">
        <x:v>6</x:v>
      </x:c>
      <x:c r="N628" t="n">
        <x:v>91.77231</x:v>
      </x:c>
      <x:c r="O628" t="n">
        <x:v>77.91</x:v>
      </x:c>
      <x:c r="P628" t="n">
        <x:v>0</x:v>
      </x:c>
      <x:c r="Q628" t="n">
        <x:v>0</x:v>
      </x:c>
      <x:c r="R628" t="n">
        <x:v>38.73</x:v>
      </x:c>
      <x:c r="S628" t="n">
        <x:v>70.66</x:v>
      </x:c>
      <x:c r="T628" t="str">
        <x:v>https://y.gtimg.cn/music/photo_new/T002R500x500M000001V8PDy1om05K_1.jpg</x:v>
      </x:c>
      <x:c r="U628" s="24" t="str">
        <x:f>IFERROR(VLOOKUP(I628,'07_字典与参数'!$G$5:$J$9,2,FALSE),"未入选")</x:f>
        <x:v>未入选</x:v>
      </x:c>
      <x:c r="V628" s="24" t="str">
        <x:f>IFERROR(VLOOKUP(I628,'07_字典与参数'!$G$5:$J$9,3,FALSE),"—")</x:f>
        <x:v>—</x:v>
      </x:c>
      <x:c r="W628" s="24" t="str">
        <x:f>IF(U628="未入选","否","是")</x:f>
        <x:v>否</x:v>
      </x:c>
    </x:row>
    <x:row r="629">
      <x:c r="A629" t="n">
        <x:v>202631</x:v>
      </x:c>
      <x:c r="B629" t="str">
        <x:v>第31期（08.03-08.09）</x:v>
      </x:c>
      <x:c r="C629" t="str">
        <x:v>2026-08-03</x:v>
      </x:c>
      <x:c r="D629" t="str">
        <x:v>2026-08-09</x:v>
      </x:c>
      <x:c r="E629" t="n">
        <x:v>25</x:v>
      </x:c>
      <x:c r="F629" t="n">
        <x:v>474412512</x:v>
      </x:c>
      <x:c r="G629" t="str">
        <x:v>那天下雨了</x:v>
      </x:c>
      <x:c r="H629" t="str">
        <x:v>周杰伦</x:v>
      </x:c>
      <x:c r="I629" t="str">
        <x:v>0044SaFh0apuR2</x:v>
      </x:c>
      <x:c r="J629" t="str">
        <x:v>False</x:v>
      </x:c>
      <x:c r="K629" t="n">
        <x:v>19</x:v>
      </x:c>
      <x:c r="L629" t="n">
        <x:v>20</x:v>
      </x:c>
      <x:c r="M629" t="n">
        <x:v>2</x:v>
      </x:c>
      <x:c r="N629" t="n">
        <x:v>91.66813</x:v>
      </x:c>
      <x:c r="O629" t="n">
        <x:v>82.76</x:v>
      </x:c>
      <x:c r="P629" t="n">
        <x:v>0</x:v>
      </x:c>
      <x:c r="Q629" t="n">
        <x:v>0</x:v>
      </x:c>
      <x:c r="R629" t="n">
        <x:v>39.32</x:v>
      </x:c>
      <x:c r="S629" t="n">
        <x:v>56.84</x:v>
      </x:c>
      <x:c r="T629" t="str">
        <x:v>https://y.gtimg.cn/music/photo_new/T002R500x500M0000041WVfh2vtlJE_1.jpg</x:v>
      </x:c>
      <x:c r="U629" s="24" t="str">
        <x:f>IFERROR(VLOOKUP(I629,'07_字典与参数'!$G$5:$J$9,2,FALSE),"未入选")</x:f>
        <x:v>未入选</x:v>
      </x:c>
      <x:c r="V629" s="24" t="str">
        <x:f>IFERROR(VLOOKUP(I629,'07_字典与参数'!$G$5:$J$9,3,FALSE),"—")</x:f>
        <x:v>—</x:v>
      </x:c>
      <x:c r="W629" s="24" t="str">
        <x:f>IF(U629="未入选","否","是")</x:f>
        <x:v>否</x:v>
      </x:c>
    </x:row>
    <x:row r="630">
      <x:c r="A630" t="n">
        <x:v>202631</x:v>
      </x:c>
      <x:c r="B630" t="str">
        <x:v>第31期（08.03-08.09）</x:v>
      </x:c>
      <x:c r="C630" t="str">
        <x:v>2026-08-03</x:v>
      </x:c>
      <x:c r="D630" t="str">
        <x:v>2026-08-09</x:v>
      </x:c>
      <x:c r="E630" t="n">
        <x:v>26</x:v>
      </x:c>
      <x:c r="F630" t="n">
        <x:v>509534822</x:v>
      </x:c>
      <x:c r="G630" t="str">
        <x:v>我想</x:v>
      </x:c>
      <x:c r="H630" t="str">
        <x:v>刘宇宁</x:v>
      </x:c>
      <x:c r="I630" t="str">
        <x:v>004BV00w11Ysvm</x:v>
      </x:c>
      <x:c r="J630" t="str">
        <x:v>False</x:v>
      </x:c>
      <x:c r="K630" t="n">
        <x:v>5</x:v>
      </x:c>
      <x:c r="L630" t="n">
        <x:v>9</x:v>
      </x:c>
      <x:c r="M630" t="n">
        <x:v>3</x:v>
      </x:c>
      <x:c r="N630" t="n">
        <x:v>91.55314</x:v>
      </x:c>
      <x:c r="O630" t="n">
        <x:v>68.14</x:v>
      </x:c>
      <x:c r="P630" t="n">
        <x:v>0</x:v>
      </x:c>
      <x:c r="Q630" t="n">
        <x:v>0</x:v>
      </x:c>
      <x:c r="R630" t="n">
        <x:v>25.2</x:v>
      </x:c>
      <x:c r="S630" t="n">
        <x:v>73.05</x:v>
      </x:c>
      <x:c r="T630" t="str">
        <x:v>https://y.gtimg.cn/music/photo_new/T002R500x500M000002lkcEK0ztfwR_1.jpg</x:v>
      </x:c>
      <x:c r="U630" s="24" t="str">
        <x:f>IFERROR(VLOOKUP(I630,'07_字典与参数'!$G$5:$J$9,2,FALSE),"未入选")</x:f>
        <x:v>未入选</x:v>
      </x:c>
      <x:c r="V630" s="24" t="str">
        <x:f>IFERROR(VLOOKUP(I630,'07_字典与参数'!$G$5:$J$9,3,FALSE),"—")</x:f>
        <x:v>—</x:v>
      </x:c>
      <x:c r="W630" s="24" t="str">
        <x:f>IF(U630="未入选","否","是")</x:f>
        <x:v>否</x:v>
      </x:c>
    </x:row>
    <x:row r="631">
      <x:c r="A631" t="n">
        <x:v>202631</x:v>
      </x:c>
      <x:c r="B631" t="str">
        <x:v>第31期（08.03-08.09）</x:v>
      </x:c>
      <x:c r="C631" t="str">
        <x:v>2026-08-03</x:v>
      </x:c>
      <x:c r="D631" t="str">
        <x:v>2026-08-09</x:v>
      </x:c>
      <x:c r="E631" t="n">
        <x:v>27</x:v>
      </x:c>
      <x:c r="F631" t="n">
        <x:v>466598714</x:v>
      </x:c>
      <x:c r="G631" t="str">
        <x:v>人间共鸣</x:v>
      </x:c>
      <x:c r="H631" t="str">
        <x:v>李健</x:v>
      </x:c>
      <x:c r="I631" t="str">
        <x:v>001ve92b4N7wT1</x:v>
      </x:c>
      <x:c r="J631" t="str">
        <x:v>False</x:v>
      </x:c>
      <x:c r="K631" t="n">
        <x:v>28</x:v>
      </x:c>
      <x:c r="L631" t="n">
        <x:v>26</x:v>
      </x:c>
      <x:c r="M631" t="n">
        <x:v>4</x:v>
      </x:c>
      <x:c r="N631" t="n">
        <x:v>91.28662</x:v>
      </x:c>
      <x:c r="O631" t="n">
        <x:v>81.56</x:v>
      </x:c>
      <x:c r="P631" t="n">
        <x:v>0</x:v>
      </x:c>
      <x:c r="Q631" t="n">
        <x:v>0</x:v>
      </x:c>
      <x:c r="R631" t="n">
        <x:v>47.67</x:v>
      </x:c>
      <x:c r="S631" t="n">
        <x:v>53.61</x:v>
      </x:c>
      <x:c r="T631" t="str">
        <x:v>https://y.gtimg.cn/music/photo_new/T002R500x500M000003RVJjp1svtyz_1.jpg</x:v>
      </x:c>
      <x:c r="U631" s="24" t="str">
        <x:f>IFERROR(VLOOKUP(I631,'07_字典与参数'!$G$5:$J$9,2,FALSE),"未入选")</x:f>
        <x:v>未入选</x:v>
      </x:c>
      <x:c r="V631" s="24" t="str">
        <x:f>IFERROR(VLOOKUP(I631,'07_字典与参数'!$G$5:$J$9,3,FALSE),"—")</x:f>
        <x:v>—</x:v>
      </x:c>
      <x:c r="W631" s="24" t="str">
        <x:f>IF(U631="未入选","否","是")</x:f>
        <x:v>否</x:v>
      </x:c>
    </x:row>
    <x:row r="632">
      <x:c r="A632" t="n">
        <x:v>202631</x:v>
      </x:c>
      <x:c r="B632" t="str">
        <x:v>第31期（08.03-08.09）</x:v>
      </x:c>
      <x:c r="C632" t="str">
        <x:v>2026-08-03</x:v>
      </x:c>
      <x:c r="D632" t="str">
        <x:v>2026-08-09</x:v>
      </x:c>
      <x:c r="E632" t="n">
        <x:v>28</x:v>
      </x:c>
      <x:c r="F632" t="n">
        <x:v>532441524</x:v>
      </x:c>
      <x:c r="G632" t="str">
        <x:v>过海</x:v>
      </x:c>
      <x:c r="H632" t="str">
        <x:v>王赫野,黄龄</x:v>
      </x:c>
      <x:c r="I632" t="str">
        <x:v>003DEzAQ3HSB9l</x:v>
      </x:c>
      <x:c r="J632" t="str">
        <x:v>False</x:v>
      </x:c>
      <x:c r="K632" t="n">
        <x:v>43</x:v>
      </x:c>
      <x:c r="L632" t="n">
        <x:v>3</x:v>
      </x:c>
      <x:c r="M632" t="n">
        <x:v>28</x:v>
      </x:c>
      <x:c r="N632" t="n">
        <x:v>91.27075</x:v>
      </x:c>
      <x:c r="O632" t="n">
        <x:v>82.88</x:v>
      </x:c>
      <x:c r="P632" t="n">
        <x:v>0</x:v>
      </x:c>
      <x:c r="Q632" t="n">
        <x:v>0</x:v>
      </x:c>
      <x:c r="R632" t="n">
        <x:v>28.12</x:v>
      </x:c>
      <x:c r="S632" t="n">
        <x:v>47.29</x:v>
      </x:c>
      <x:c r="T632" t="str">
        <x:v>https://y.gtimg.cn/music/photo_new/T002R500x500M000003sDdGY2FtUY2_1.jpg</x:v>
      </x:c>
      <x:c r="U632" s="24" t="n">
        <x:f>IFERROR(VLOOKUP(I632,'07_字典与参数'!$G$5:$J$9,2,FALSE),"未入选")</x:f>
        <x:v>87.5</x:v>
      </x:c>
      <x:c r="V632" s="24" t="str">
        <x:f>IFERROR(VLOOKUP(I632,'07_字典与参数'!$G$5:$J$9,3,FALSE),"—")</x:f>
        <x:v>过海</x:v>
      </x:c>
      <x:c r="W632" s="24" t="str">
        <x:f>IF(U632="未入选","否","是")</x:f>
        <x:v>是</x:v>
      </x:c>
    </x:row>
    <x:row r="633">
      <x:c r="A633" t="n">
        <x:v>202631</x:v>
      </x:c>
      <x:c r="B633" t="str">
        <x:v>第31期（08.03-08.09）</x:v>
      </x:c>
      <x:c r="C633" t="str">
        <x:v>2026-08-03</x:v>
      </x:c>
      <x:c r="D633" t="str">
        <x:v>2026-08-09</x:v>
      </x:c>
      <x:c r="E633" t="n">
        <x:v>29</x:v>
      </x:c>
      <x:c r="F633" t="n">
        <x:v>447308818</x:v>
      </x:c>
      <x:c r="G633" t="str">
        <x:v>街角的晚风</x:v>
      </x:c>
      <x:c r="H633" t="str">
        <x:v>陈小春</x:v>
      </x:c>
      <x:c r="I633" t="str">
        <x:v>001e2FJz3QXaf0</x:v>
      </x:c>
      <x:c r="J633" t="str">
        <x:v>False</x:v>
      </x:c>
      <x:c r="K633" t="n">
        <x:v>25</x:v>
      </x:c>
      <x:c r="L633" t="n">
        <x:v>35</x:v>
      </x:c>
      <x:c r="M633" t="n">
        <x:v>5</x:v>
      </x:c>
      <x:c r="N633" t="n">
        <x:v>91.23443</x:v>
      </x:c>
      <x:c r="O633" t="n">
        <x:v>82.64</x:v>
      </x:c>
      <x:c r="P633" t="n">
        <x:v>0</x:v>
      </x:c>
      <x:c r="Q633" t="n">
        <x:v>0</x:v>
      </x:c>
      <x:c r="R633" t="n">
        <x:v>45.91</x:v>
      </x:c>
      <x:c r="S633" t="n">
        <x:v>38.58</x:v>
      </x:c>
      <x:c r="T633" t="str">
        <x:v>https://y.gtimg.cn/music/photo_new/T002R500x500M0000028jKt80PGmlB_4.jpg</x:v>
      </x:c>
      <x:c r="U633" s="24" t="str">
        <x:f>IFERROR(VLOOKUP(I633,'07_字典与参数'!$G$5:$J$9,2,FALSE),"未入选")</x:f>
        <x:v>未入选</x:v>
      </x:c>
      <x:c r="V633" s="24" t="str">
        <x:f>IFERROR(VLOOKUP(I633,'07_字典与参数'!$G$5:$J$9,3,FALSE),"—")</x:f>
        <x:v>—</x:v>
      </x:c>
      <x:c r="W633" s="24" t="str">
        <x:f>IF(U633="未入选","否","是")</x:f>
        <x:v>否</x:v>
      </x:c>
    </x:row>
    <x:row r="634">
      <x:c r="A634" t="n">
        <x:v>202631</x:v>
      </x:c>
      <x:c r="B634" t="str">
        <x:v>第31期（08.03-08.09）</x:v>
      </x:c>
      <x:c r="C634" t="str">
        <x:v>2026-08-03</x:v>
      </x:c>
      <x:c r="D634" t="str">
        <x:v>2026-08-09</x:v>
      </x:c>
      <x:c r="E634" t="n">
        <x:v>30</x:v>
      </x:c>
      <x:c r="F634" t="n">
        <x:v>501946652</x:v>
      </x:c>
      <x:c r="G634" t="str">
        <x:v>钗头凤</x:v>
      </x:c>
      <x:c r="H634" t="str">
        <x:v>云朵</x:v>
      </x:c>
      <x:c r="I634" t="str">
        <x:v>002TWhsM17TMbC</x:v>
      </x:c>
      <x:c r="J634" t="str">
        <x:v>True</x:v>
      </x:c>
      <x:c r="K634" t="n">
        <x:v>0</x:v>
      </x:c>
      <x:c r="L634" t="n">
        <x:v>1</x:v>
      </x:c>
      <x:c r="M634" t="n">
        <x:v>30</x:v>
      </x:c>
      <x:c r="N634" t="n">
        <x:v>91.07447</x:v>
      </x:c>
      <x:c r="O634" t="n">
        <x:v>64.2</x:v>
      </x:c>
      <x:c r="P634" t="n">
        <x:v>0</x:v>
      </x:c>
      <x:c r="Q634" t="n">
        <x:v>0</x:v>
      </x:c>
      <x:c r="R634" t="n">
        <x:v>58.53</x:v>
      </x:c>
      <x:c r="S634" t="n">
        <x:v>70.21</x:v>
      </x:c>
      <x:c r="T634" t="str">
        <x:v>https://y.gtimg.cn/music/photo_new/T002R500x500M000000BlY9Z3Nrr3g_1.jpg</x:v>
      </x:c>
      <x:c r="U634" s="24" t="str">
        <x:f>IFERROR(VLOOKUP(I634,'07_字典与参数'!$G$5:$J$9,2,FALSE),"未入选")</x:f>
        <x:v>未入选</x:v>
      </x:c>
      <x:c r="V634" s="24" t="str">
        <x:f>IFERROR(VLOOKUP(I634,'07_字典与参数'!$G$5:$J$9,3,FALSE),"—")</x:f>
        <x:v>—</x:v>
      </x:c>
      <x:c r="W634" s="24" t="str">
        <x:f>IF(U634="未入选","否","是")</x:f>
        <x:v>否</x:v>
      </x:c>
    </x:row>
    <x:row r="635">
      <x:c r="A635" t="n">
        <x:v>202631</x:v>
      </x:c>
      <x:c r="B635" t="str">
        <x:v>第31期（08.03-08.09）</x:v>
      </x:c>
      <x:c r="C635" t="str">
        <x:v>2026-08-03</x:v>
      </x:c>
      <x:c r="D635" t="str">
        <x:v>2026-08-09</x:v>
      </x:c>
      <x:c r="E635" t="n">
        <x:v>31</x:v>
      </x:c>
      <x:c r="F635" t="n">
        <x:v>535881027</x:v>
      </x:c>
      <x:c r="G635" t="str">
        <x:v>失重色</x:v>
      </x:c>
      <x:c r="H635" t="str">
        <x:v>世勋</x:v>
      </x:c>
      <x:c r="I635" t="str">
        <x:v>000lRPjD2F038X</x:v>
      </x:c>
      <x:c r="J635" t="str">
        <x:v>False</x:v>
      </x:c>
      <x:c r="K635" t="n">
        <x:v>3</x:v>
      </x:c>
      <x:c r="L635" t="n">
        <x:v>2</x:v>
      </x:c>
      <x:c r="M635" t="n">
        <x:v>3</x:v>
      </x:c>
      <x:c r="N635" t="n">
        <x:v>91.01011</x:v>
      </x:c>
      <x:c r="O635" t="n">
        <x:v>71.23</x:v>
      </x:c>
      <x:c r="P635" t="n">
        <x:v>0</x:v>
      </x:c>
      <x:c r="Q635" t="n">
        <x:v>0</x:v>
      </x:c>
      <x:c r="R635" t="n">
        <x:v>40.05</x:v>
      </x:c>
      <x:c r="S635" t="n">
        <x:v>70.67</x:v>
      </x:c>
      <x:c r="T635" t="str">
        <x:v>https://y.gtimg.cn/music/photo_new/T002R500x500M0000014Z9nm2HwRfC_1.jpg</x:v>
      </x:c>
      <x:c r="U635" s="24" t="str">
        <x:f>IFERROR(VLOOKUP(I635,'07_字典与参数'!$G$5:$J$9,2,FALSE),"未入选")</x:f>
        <x:v>未入选</x:v>
      </x:c>
      <x:c r="V635" s="24" t="str">
        <x:f>IFERROR(VLOOKUP(I635,'07_字典与参数'!$G$5:$J$9,3,FALSE),"—")</x:f>
        <x:v>—</x:v>
      </x:c>
      <x:c r="W635" s="24" t="str">
        <x:f>IF(U635="未入选","否","是")</x:f>
        <x:v>否</x:v>
      </x:c>
    </x:row>
    <x:row r="636">
      <x:c r="A636" t="n">
        <x:v>202631</x:v>
      </x:c>
      <x:c r="B636" t="str">
        <x:v>第31期（08.03-08.09）</x:v>
      </x:c>
      <x:c r="C636" t="str">
        <x:v>2026-08-03</x:v>
      </x:c>
      <x:c r="D636" t="str">
        <x:v>2026-08-09</x:v>
      </x:c>
      <x:c r="E636" t="n">
        <x:v>32</x:v>
      </x:c>
      <x:c r="F636" t="n">
        <x:v>535328619</x:v>
      </x:c>
      <x:c r="G636" t="str">
        <x:v>见山河</x:v>
      </x:c>
      <x:c r="H636" t="str">
        <x:v>刘宇宁</x:v>
      </x:c>
      <x:c r="I636" t="str">
        <x:v>001jvmwK3BYxpT</x:v>
      </x:c>
      <x:c r="J636" t="str">
        <x:v>False</x:v>
      </x:c>
      <x:c r="K636" t="n">
        <x:v>8</x:v>
      </x:c>
      <x:c r="L636" t="n">
        <x:v>2</x:v>
      </x:c>
      <x:c r="M636" t="n">
        <x:v>8</x:v>
      </x:c>
      <x:c r="N636" t="n">
        <x:v>90.97608</x:v>
      </x:c>
      <x:c r="O636" t="n">
        <x:v>69.13</x:v>
      </x:c>
      <x:c r="P636" t="n">
        <x:v>0</x:v>
      </x:c>
      <x:c r="Q636" t="n">
        <x:v>0</x:v>
      </x:c>
      <x:c r="R636" t="n">
        <x:v>16.26</x:v>
      </x:c>
      <x:c r="S636" t="n">
        <x:v>71.35</x:v>
      </x:c>
      <x:c r="T636" t="str">
        <x:v>https://y.gtimg.cn/music/photo_new/T002R500x500M000002g8Zeb2DyMhE_1.jpg</x:v>
      </x:c>
      <x:c r="U636" s="24" t="str">
        <x:f>IFERROR(VLOOKUP(I636,'07_字典与参数'!$G$5:$J$9,2,FALSE),"未入选")</x:f>
        <x:v>未入选</x:v>
      </x:c>
      <x:c r="V636" s="24" t="str">
        <x:f>IFERROR(VLOOKUP(I636,'07_字典与参数'!$G$5:$J$9,3,FALSE),"—")</x:f>
        <x:v>—</x:v>
      </x:c>
      <x:c r="W636" s="24" t="str">
        <x:f>IF(U636="未入选","否","是")</x:f>
        <x:v>否</x:v>
      </x:c>
    </x:row>
    <x:row r="637">
      <x:c r="A637" t="n">
        <x:v>202631</x:v>
      </x:c>
      <x:c r="B637" t="str">
        <x:v>第31期（08.03-08.09）</x:v>
      </x:c>
      <x:c r="C637" t="str">
        <x:v>2026-08-03</x:v>
      </x:c>
      <x:c r="D637" t="str">
        <x:v>2026-08-09</x:v>
      </x:c>
      <x:c r="E637" t="n">
        <x:v>33</x:v>
      </x:c>
      <x:c r="F637" t="n">
        <x:v>535314845</x:v>
      </x:c>
      <x:c r="G637" t="str">
        <x:v>如约</x:v>
      </x:c>
      <x:c r="H637" t="str">
        <x:v>周深</x:v>
      </x:c>
      <x:c r="I637" t="str">
        <x:v>000uTZAI1djRlw</x:v>
      </x:c>
      <x:c r="J637" t="str">
        <x:v>False</x:v>
      </x:c>
      <x:c r="K637" t="n">
        <x:v>2</x:v>
      </x:c>
      <x:c r="L637" t="n">
        <x:v>3</x:v>
      </x:c>
      <x:c r="M637" t="n">
        <x:v>2</x:v>
      </x:c>
      <x:c r="N637" t="n">
        <x:v>90.91381</x:v>
      </x:c>
      <x:c r="O637" t="n">
        <x:v>75.82</x:v>
      </x:c>
      <x:c r="P637" t="n">
        <x:v>0</x:v>
      </x:c>
      <x:c r="Q637" t="n">
        <x:v>0</x:v>
      </x:c>
      <x:c r="R637" t="n">
        <x:v>48.54</x:v>
      </x:c>
      <x:c r="S637" t="n">
        <x:v>65.34</x:v>
      </x:c>
      <x:c r="T637" t="str">
        <x:v>https://y.gtimg.cn/music/photo_new/T002R500x500M0000007zt0H0BXeMQ_1.jpg</x:v>
      </x:c>
      <x:c r="U637" s="24" t="str">
        <x:f>IFERROR(VLOOKUP(I637,'07_字典与参数'!$G$5:$J$9,2,FALSE),"未入选")</x:f>
        <x:v>未入选</x:v>
      </x:c>
      <x:c r="V637" s="24" t="str">
        <x:f>IFERROR(VLOOKUP(I637,'07_字典与参数'!$G$5:$J$9,3,FALSE),"—")</x:f>
        <x:v>—</x:v>
      </x:c>
      <x:c r="W637" s="24" t="str">
        <x:f>IF(U637="未入选","否","是")</x:f>
        <x:v>否</x:v>
      </x:c>
    </x:row>
    <x:row r="638">
      <x:c r="A638" t="n">
        <x:v>202631</x:v>
      </x:c>
      <x:c r="B638" t="str">
        <x:v>第31期（08.03-08.09）</x:v>
      </x:c>
      <x:c r="C638" t="str">
        <x:v>2026-08-03</x:v>
      </x:c>
      <x:c r="D638" t="str">
        <x:v>2026-08-09</x:v>
      </x:c>
      <x:c r="E638" t="n">
        <x:v>34</x:v>
      </x:c>
      <x:c r="F638" t="n">
        <x:v>475529076</x:v>
      </x:c>
      <x:c r="G638" t="str">
        <x:v>Fever Pitch</x:v>
      </x:c>
      <x:c r="H638" t="str">
        <x:v>Richz</x:v>
      </x:c>
      <x:c r="I638" t="str">
        <x:v>000WhoSx0Wpvog</x:v>
      </x:c>
      <x:c r="J638" t="str">
        <x:v>False</x:v>
      </x:c>
      <x:c r="K638" t="n">
        <x:v>27</x:v>
      </x:c>
      <x:c r="L638" t="n">
        <x:v>13</x:v>
      </x:c>
      <x:c r="M638" t="n">
        <x:v>22</x:v>
      </x:c>
      <x:c r="N638" t="n">
        <x:v>90.68102</x:v>
      </x:c>
      <x:c r="O638" t="n">
        <x:v>81.51</x:v>
      </x:c>
      <x:c r="P638" t="n">
        <x:v>0</x:v>
      </x:c>
      <x:c r="Q638" t="n">
        <x:v>0</x:v>
      </x:c>
      <x:c r="R638" t="n">
        <x:v>32.23</x:v>
      </x:c>
      <x:c r="S638" t="n">
        <x:v>33.59</x:v>
      </x:c>
      <x:c r="T638" t="str">
        <x:v>https://y.gtimg.cn/music/photo_new/T002R500x500M0000013EMSw3bvHuu_1.jpg</x:v>
      </x:c>
      <x:c r="U638" s="24" t="str">
        <x:f>IFERROR(VLOOKUP(I638,'07_字典与参数'!$G$5:$J$9,2,FALSE),"未入选")</x:f>
        <x:v>未入选</x:v>
      </x:c>
      <x:c r="V638" s="24" t="str">
        <x:f>IFERROR(VLOOKUP(I638,'07_字典与参数'!$G$5:$J$9,3,FALSE),"—")</x:f>
        <x:v>—</x:v>
      </x:c>
      <x:c r="W638" s="24" t="str">
        <x:f>IF(U638="未入选","否","是")</x:f>
        <x:v>否</x:v>
      </x:c>
    </x:row>
    <x:row r="639">
      <x:c r="A639" t="n">
        <x:v>202631</x:v>
      </x:c>
      <x:c r="B639" t="str">
        <x:v>第31期（08.03-08.09）</x:v>
      </x:c>
      <x:c r="C639" t="str">
        <x:v>2026-08-03</x:v>
      </x:c>
      <x:c r="D639" t="str">
        <x:v>2026-08-09</x:v>
      </x:c>
      <x:c r="E639" t="n">
        <x:v>35</x:v>
      </x:c>
      <x:c r="F639" t="n">
        <x:v>486022788</x:v>
      </x:c>
      <x:c r="G639" t="str">
        <x:v>两世洞天</x:v>
      </x:c>
      <x:c r="H639" t="str">
        <x:v>黄星</x:v>
      </x:c>
      <x:c r="I639" t="str">
        <x:v>001rRVzh2m7RJB</x:v>
      </x:c>
      <x:c r="J639" t="str">
        <x:v>False</x:v>
      </x:c>
      <x:c r="K639" t="n">
        <x:v>31</x:v>
      </x:c>
      <x:c r="L639" t="n">
        <x:v>10</x:v>
      </x:c>
      <x:c r="M639" t="n">
        <x:v>15</x:v>
      </x:c>
      <x:c r="N639" t="n">
        <x:v>90.4943</x:v>
      </x:c>
      <x:c r="O639" t="n">
        <x:v>50.3</x:v>
      </x:c>
      <x:c r="P639" t="n">
        <x:v>0</x:v>
      </x:c>
      <x:c r="Q639" t="n">
        <x:v>0</x:v>
      </x:c>
      <x:c r="R639" t="n">
        <x:v>6.94</x:v>
      </x:c>
      <x:c r="S639" t="n">
        <x:v>71</x:v>
      </x:c>
      <x:c r="T639" t="str">
        <x:v>https://y.gtimg.cn/music/photo_new/T002R500x500M0000001ze381iKWmo_2.jpg</x:v>
      </x:c>
      <x:c r="U639" s="24" t="n">
        <x:f>IFERROR(VLOOKUP(I639,'07_字典与参数'!$G$5:$J$9,2,FALSE),"未入选")</x:f>
        <x:v>75.8</x:v>
      </x:c>
      <x:c r="V639" s="24" t="str">
        <x:f>IFERROR(VLOOKUP(I639,'07_字典与参数'!$G$5:$J$9,3,FALSE),"—")</x:f>
        <x:v>两世洞天</x:v>
      </x:c>
      <x:c r="W639" s="24" t="str">
        <x:f>IF(U639="未入选","否","是")</x:f>
        <x:v>是</x:v>
      </x:c>
    </x:row>
    <x:row r="640">
      <x:c r="A640" t="n">
        <x:v>202631</x:v>
      </x:c>
      <x:c r="B640" t="str">
        <x:v>第31期（08.03-08.09）</x:v>
      </x:c>
      <x:c r="C640" t="str">
        <x:v>2026-08-03</x:v>
      </x:c>
      <x:c r="D640" t="str">
        <x:v>2026-08-09</x:v>
      </x:c>
      <x:c r="E640" t="n">
        <x:v>36</x:v>
      </x:c>
      <x:c r="F640" t="n">
        <x:v>478777514</x:v>
      </x:c>
      <x:c r="G640" t="str">
        <x:v>有风的日落</x:v>
      </x:c>
      <x:c r="H640" t="str">
        <x:v>万海东</x:v>
      </x:c>
      <x:c r="I640" t="str">
        <x:v>0046Ffh90pkMOs</x:v>
      </x:c>
      <x:c r="J640" t="str">
        <x:v>False</x:v>
      </x:c>
      <x:c r="K640" t="n">
        <x:v>38</x:v>
      </x:c>
      <x:c r="L640" t="n">
        <x:v>13</x:v>
      </x:c>
      <x:c r="M640" t="n">
        <x:v>15</x:v>
      </x:c>
      <x:c r="N640" t="n">
        <x:v>90.40182</x:v>
      </x:c>
      <x:c r="O640" t="n">
        <x:v>80.49</x:v>
      </x:c>
      <x:c r="P640" t="n">
        <x:v>0</x:v>
      </x:c>
      <x:c r="Q640" t="n">
        <x:v>0</x:v>
      </x:c>
      <x:c r="R640" t="n">
        <x:v>39.13</x:v>
      </x:c>
      <x:c r="S640" t="n">
        <x:v>30.55</x:v>
      </x:c>
      <x:c r="T640" t="str">
        <x:v>https://y.gtimg.cn/music/photo_new/T002R500x500M000003ifChN0R3y1H_1.jpg</x:v>
      </x:c>
      <x:c r="U640" s="24" t="str">
        <x:f>IFERROR(VLOOKUP(I640,'07_字典与参数'!$G$5:$J$9,2,FALSE),"未入选")</x:f>
        <x:v>未入选</x:v>
      </x:c>
      <x:c r="V640" s="24" t="str">
        <x:f>IFERROR(VLOOKUP(I640,'07_字典与参数'!$G$5:$J$9,3,FALSE),"—")</x:f>
        <x:v>—</x:v>
      </x:c>
      <x:c r="W640" s="24" t="str">
        <x:f>IF(U640="未入选","否","是")</x:f>
        <x:v>否</x:v>
      </x:c>
    </x:row>
    <x:row r="641">
      <x:c r="A641" t="n">
        <x:v>202631</x:v>
      </x:c>
      <x:c r="B641" t="str">
        <x:v>第31期（08.03-08.09）</x:v>
      </x:c>
      <x:c r="C641" t="str">
        <x:v>2026-08-03</x:v>
      </x:c>
      <x:c r="D641" t="str">
        <x:v>2026-08-09</x:v>
      </x:c>
      <x:c r="E641" t="n">
        <x:v>37</x:v>
      </x:c>
      <x:c r="F641" t="n">
        <x:v>533095371</x:v>
      </x:c>
      <x:c r="G641" t="str">
        <x:v>媚人</x:v>
      </x:c>
      <x:c r="H641" t="str">
        <x:v>薛之谦</x:v>
      </x:c>
      <x:c r="I641" t="str">
        <x:v>001Fk1hB2OWZYH</x:v>
      </x:c>
      <x:c r="J641" t="str">
        <x:v>False</x:v>
      </x:c>
      <x:c r="K641" t="n">
        <x:v>33</x:v>
      </x:c>
      <x:c r="L641" t="n">
        <x:v>4</x:v>
      </x:c>
      <x:c r="M641" t="n">
        <x:v>8</x:v>
      </x:c>
      <x:c r="N641" t="n">
        <x:v>90.21892</x:v>
      </x:c>
      <x:c r="O641" t="n">
        <x:v>77.05</x:v>
      </x:c>
      <x:c r="P641" t="n">
        <x:v>0</x:v>
      </x:c>
      <x:c r="Q641" t="n">
        <x:v>0</x:v>
      </x:c>
      <x:c r="R641" t="n">
        <x:v>23.5</x:v>
      </x:c>
      <x:c r="S641" t="n">
        <x:v>57.54</x:v>
      </x:c>
      <x:c r="T641" t="str">
        <x:v>https://y.gtimg.cn/music/photo_new/T002R500x500M000002vfBmm41fIRe_1.jpg</x:v>
      </x:c>
      <x:c r="U641" s="24" t="str">
        <x:f>IFERROR(VLOOKUP(I641,'07_字典与参数'!$G$5:$J$9,2,FALSE),"未入选")</x:f>
        <x:v>未入选</x:v>
      </x:c>
      <x:c r="V641" s="24" t="str">
        <x:f>IFERROR(VLOOKUP(I641,'07_字典与参数'!$G$5:$J$9,3,FALSE),"—")</x:f>
        <x:v>—</x:v>
      </x:c>
      <x:c r="W641" s="24" t="str">
        <x:f>IF(U641="未入选","否","是")</x:f>
        <x:v>否</x:v>
      </x:c>
    </x:row>
    <x:row r="642">
      <x:c r="A642" t="n">
        <x:v>202631</x:v>
      </x:c>
      <x:c r="B642" t="str">
        <x:v>第31期（08.03-08.09）</x:v>
      </x:c>
      <x:c r="C642" t="str">
        <x:v>2026-08-03</x:v>
      </x:c>
      <x:c r="D642" t="str">
        <x:v>2026-08-09</x:v>
      </x:c>
      <x:c r="E642" t="n">
        <x:v>38</x:v>
      </x:c>
      <x:c r="F642" t="n">
        <x:v>480678966</x:v>
      </x:c>
      <x:c r="G642" t="str">
        <x:v>静音恋人 (两颗缠绕的心)</x:v>
      </x:c>
      <x:c r="H642" t="str">
        <x:v>礼越</x:v>
      </x:c>
      <x:c r="I642" t="str">
        <x:v>0046UbDu4Lyebe</x:v>
      </x:c>
      <x:c r="J642" t="str">
        <x:v>False</x:v>
      </x:c>
      <x:c r="K642" t="n">
        <x:v>39</x:v>
      </x:c>
      <x:c r="L642" t="n">
        <x:v>11</x:v>
      </x:c>
      <x:c r="M642" t="n">
        <x:v>18</x:v>
      </x:c>
      <x:c r="N642" t="n">
        <x:v>90.16329</x:v>
      </x:c>
      <x:c r="O642" t="n">
        <x:v>79.58</x:v>
      </x:c>
      <x:c r="P642" t="n">
        <x:v>0</x:v>
      </x:c>
      <x:c r="Q642" t="n">
        <x:v>0</x:v>
      </x:c>
      <x:c r="R642" t="n">
        <x:v>28.28</x:v>
      </x:c>
      <x:c r="S642" t="n">
        <x:v>42.06</x:v>
      </x:c>
      <x:c r="T642" t="str">
        <x:v>https://y.gtimg.cn/music/photo_new/T002R500x500M0000002luCJ26Yi4n_2.jpg</x:v>
      </x:c>
      <x:c r="U642" s="24" t="str">
        <x:f>IFERROR(VLOOKUP(I642,'07_字典与参数'!$G$5:$J$9,2,FALSE),"未入选")</x:f>
        <x:v>未入选</x:v>
      </x:c>
      <x:c r="V642" s="24" t="str">
        <x:f>IFERROR(VLOOKUP(I642,'07_字典与参数'!$G$5:$J$9,3,FALSE),"—")</x:f>
        <x:v>—</x:v>
      </x:c>
      <x:c r="W642" s="24" t="str">
        <x:f>IF(U642="未入选","否","是")</x:f>
        <x:v>否</x:v>
      </x:c>
    </x:row>
    <x:row r="643">
      <x:c r="A643" t="n">
        <x:v>202631</x:v>
      </x:c>
      <x:c r="B643" t="str">
        <x:v>第31期（08.03-08.09）</x:v>
      </x:c>
      <x:c r="C643" t="str">
        <x:v>2026-08-03</x:v>
      </x:c>
      <x:c r="D643" t="str">
        <x:v>2026-08-09</x:v>
      </x:c>
      <x:c r="E643" t="n">
        <x:v>39</x:v>
      </x:c>
      <x:c r="F643" t="n">
        <x:v>539429664</x:v>
      </x:c>
      <x:c r="G643" t="str">
        <x:v>月像</x:v>
      </x:c>
      <x:c r="H643" t="str">
        <x:v>刘宇</x:v>
      </x:c>
      <x:c r="I643" t="str">
        <x:v>000Tl2KR31gbfV</x:v>
      </x:c>
      <x:c r="J643" t="str">
        <x:v>True</x:v>
      </x:c>
      <x:c r="K643" t="n">
        <x:v>0</x:v>
      </x:c>
      <x:c r="L643" t="n">
        <x:v>1</x:v>
      </x:c>
      <x:c r="M643" t="n">
        <x:v>39</x:v>
      </x:c>
      <x:c r="N643" t="n">
        <x:v>90.1239</x:v>
      </x:c>
      <x:c r="O643" t="n">
        <x:v>60.14</x:v>
      </x:c>
      <x:c r="P643" t="n">
        <x:v>0</x:v>
      </x:c>
      <x:c r="Q643" t="n">
        <x:v>0</x:v>
      </x:c>
      <x:c r="R643" t="n">
        <x:v>61.04</x:v>
      </x:c>
      <x:c r="S643" t="n">
        <x:v>60.6</x:v>
      </x:c>
      <x:c r="T643" t="str">
        <x:v>https://y.gtimg.cn/music/photo_new/T002R500x500M000000fRo8n2EjSTq_1.jpg</x:v>
      </x:c>
      <x:c r="U643" s="24" t="str">
        <x:f>IFERROR(VLOOKUP(I643,'07_字典与参数'!$G$5:$J$9,2,FALSE),"未入选")</x:f>
        <x:v>未入选</x:v>
      </x:c>
      <x:c r="V643" s="24" t="str">
        <x:f>IFERROR(VLOOKUP(I643,'07_字典与参数'!$G$5:$J$9,3,FALSE),"—")</x:f>
        <x:v>—</x:v>
      </x:c>
      <x:c r="W643" s="24" t="str">
        <x:f>IF(U643="未入选","否","是")</x:f>
        <x:v>否</x:v>
      </x:c>
    </x:row>
    <x:row r="644">
      <x:c r="A644" t="n">
        <x:v>202631</x:v>
      </x:c>
      <x:c r="B644" t="str">
        <x:v>第31期（08.03-08.09）</x:v>
      </x:c>
      <x:c r="C644" t="str">
        <x:v>2026-08-03</x:v>
      </x:c>
      <x:c r="D644" t="str">
        <x:v>2026-08-09</x:v>
      </x:c>
      <x:c r="E644" t="n">
        <x:v>40</x:v>
      </x:c>
      <x:c r="F644" t="n">
        <x:v>499329279</x:v>
      </x:c>
      <x:c r="G644" t="str">
        <x:v>山歌追上云朵</x:v>
      </x:c>
      <x:c r="H644" t="str">
        <x:v>央金拉姆</x:v>
      </x:c>
      <x:c r="I644" t="str">
        <x:v>004RglME1g9lJV</x:v>
      </x:c>
      <x:c r="J644" t="str">
        <x:v>False</x:v>
      </x:c>
      <x:c r="K644" t="n">
        <x:v>46</x:v>
      </x:c>
      <x:c r="L644" t="n">
        <x:v>9</x:v>
      </x:c>
      <x:c r="M644" t="n">
        <x:v>39</x:v>
      </x:c>
      <x:c r="N644" t="n">
        <x:v>90.03555</x:v>
      </x:c>
      <x:c r="O644" t="n">
        <x:v>77.76</x:v>
      </x:c>
      <x:c r="P644" t="n">
        <x:v>0</x:v>
      </x:c>
      <x:c r="Q644" t="n">
        <x:v>0</x:v>
      </x:c>
      <x:c r="R644" t="n">
        <x:v>39.23</x:v>
      </x:c>
      <x:c r="S644" t="n">
        <x:v>45.73</x:v>
      </x:c>
      <x:c r="T644" t="str">
        <x:v>https://y.gtimg.cn/music/photo_new/T002R500x500M000004N13wG44oqY1_1.jpg</x:v>
      </x:c>
      <x:c r="U644" s="24" t="str">
        <x:f>IFERROR(VLOOKUP(I644,'07_字典与参数'!$G$5:$J$9,2,FALSE),"未入选")</x:f>
        <x:v>未入选</x:v>
      </x:c>
      <x:c r="V644" s="24" t="str">
        <x:f>IFERROR(VLOOKUP(I644,'07_字典与参数'!$G$5:$J$9,3,FALSE),"—")</x:f>
        <x:v>—</x:v>
      </x:c>
      <x:c r="W644" s="24" t="str">
        <x:f>IF(U644="未入选","否","是")</x:f>
        <x:v>否</x:v>
      </x:c>
    </x:row>
    <x:row r="645">
      <x:c r="A645" t="n">
        <x:v>202631</x:v>
      </x:c>
      <x:c r="B645" t="str">
        <x:v>第31期（08.03-08.09）</x:v>
      </x:c>
      <x:c r="C645" t="str">
        <x:v>2026-08-03</x:v>
      </x:c>
      <x:c r="D645" t="str">
        <x:v>2026-08-09</x:v>
      </x:c>
      <x:c r="E645" t="n">
        <x:v>41</x:v>
      </x:c>
      <x:c r="F645" t="n">
        <x:v>534557809</x:v>
      </x:c>
      <x:c r="G645" t="str">
        <x:v>回到小村落 (听着蛐蛐唱着歌)</x:v>
      </x:c>
      <x:c r="H645" t="str">
        <x:v>宋盐球</x:v>
      </x:c>
      <x:c r="I645" t="str">
        <x:v>002WC11v12UAS1</x:v>
      </x:c>
      <x:c r="J645" t="str">
        <x:v>True</x:v>
      </x:c>
      <x:c r="K645" t="n">
        <x:v>0</x:v>
      </x:c>
      <x:c r="L645" t="n">
        <x:v>1</x:v>
      </x:c>
      <x:c r="M645" t="n">
        <x:v>41</x:v>
      </x:c>
      <x:c r="N645" t="n">
        <x:v>89.95717</x:v>
      </x:c>
      <x:c r="O645" t="n">
        <x:v>78.21</x:v>
      </x:c>
      <x:c r="P645" t="n">
        <x:v>0</x:v>
      </x:c>
      <x:c r="Q645" t="n">
        <x:v>0</x:v>
      </x:c>
      <x:c r="R645" t="n">
        <x:v>28.56</x:v>
      </x:c>
      <x:c r="S645" t="n">
        <x:v>44.43</x:v>
      </x:c>
      <x:c r="T645" t="str">
        <x:v>https://y.gtimg.cn/music/photo_new/T002R500x500M000003tHcp70nBmqH_2.jpg</x:v>
      </x:c>
      <x:c r="U645" s="24" t="str">
        <x:f>IFERROR(VLOOKUP(I645,'07_字典与参数'!$G$5:$J$9,2,FALSE),"未入选")</x:f>
        <x:v>未入选</x:v>
      </x:c>
      <x:c r="V645" s="24" t="str">
        <x:f>IFERROR(VLOOKUP(I645,'07_字典与参数'!$G$5:$J$9,3,FALSE),"—")</x:f>
        <x:v>—</x:v>
      </x:c>
      <x:c r="W645" s="24" t="str">
        <x:f>IF(U645="未入选","否","是")</x:f>
        <x:v>否</x:v>
      </x:c>
    </x:row>
    <x:row r="646">
      <x:c r="A646" t="n">
        <x:v>202631</x:v>
      </x:c>
      <x:c r="B646" t="str">
        <x:v>第31期（08.03-08.09）</x:v>
      </x:c>
      <x:c r="C646" t="str">
        <x:v>2026-08-03</x:v>
      </x:c>
      <x:c r="D646" t="str">
        <x:v>2026-08-09</x:v>
      </x:c>
      <x:c r="E646" t="n">
        <x:v>42</x:v>
      </x:c>
      <x:c r="F646" t="n">
        <x:v>511364187</x:v>
      </x:c>
      <x:c r="G646" t="str">
        <x:v>挽红纱</x:v>
      </x:c>
      <x:c r="H646" t="str">
        <x:v>龚琳娜,张云雷</x:v>
      </x:c>
      <x:c r="I646" t="str">
        <x:v>000QQHy712ZX4T</x:v>
      </x:c>
      <x:c r="J646" t="str">
        <x:v>False</x:v>
      </x:c>
      <x:c r="K646" t="n">
        <x:v>48</x:v>
      </x:c>
      <x:c r="L646" t="n">
        <x:v>8</x:v>
      </x:c>
      <x:c r="M646" t="n">
        <x:v>7</x:v>
      </x:c>
      <x:c r="N646" t="n">
        <x:v>89.94005</x:v>
      </x:c>
      <x:c r="O646" t="n">
        <x:v>61.07</x:v>
      </x:c>
      <x:c r="P646" t="n">
        <x:v>0</x:v>
      </x:c>
      <x:c r="Q646" t="n">
        <x:v>0</x:v>
      </x:c>
      <x:c r="R646" t="n">
        <x:v>13.64</x:v>
      </x:c>
      <x:c r="S646" t="n">
        <x:v>66.86</x:v>
      </x:c>
      <x:c r="T646" t="str">
        <x:v>https://y.gtimg.cn/music/photo_new/T002R500x500M000000r1HER3uMIFZ_1.jpg</x:v>
      </x:c>
      <x:c r="U646" s="24" t="n">
        <x:f>IFERROR(VLOOKUP(I646,'07_字典与参数'!$G$5:$J$9,2,FALSE),"未入选")</x:f>
        <x:v>73.2</x:v>
      </x:c>
      <x:c r="V646" s="24" t="str">
        <x:f>IFERROR(VLOOKUP(I646,'07_字典与参数'!$G$5:$J$9,3,FALSE),"—")</x:f>
        <x:v>挽红纱</x:v>
      </x:c>
      <x:c r="W646" s="24" t="str">
        <x:f>IF(U646="未入选","否","是")</x:f>
        <x:v>是</x:v>
      </x:c>
    </x:row>
    <x:row r="647">
      <x:c r="A647" t="n">
        <x:v>202631</x:v>
      </x:c>
      <x:c r="B647" t="str">
        <x:v>第31期（08.03-08.09）</x:v>
      </x:c>
      <x:c r="C647" t="str">
        <x:v>2026-08-03</x:v>
      </x:c>
      <x:c r="D647" t="str">
        <x:v>2026-08-09</x:v>
      </x:c>
      <x:c r="E647" t="n">
        <x:v>43</x:v>
      </x:c>
      <x:c r="F647" t="n">
        <x:v>458320813</x:v>
      </x:c>
      <x:c r="G647" t="str">
        <x:v>Someone Like You</x:v>
      </x:c>
      <x:c r="H647" t="str">
        <x:v>张真源</x:v>
      </x:c>
      <x:c r="I647" t="str">
        <x:v>004TaA831D40QG</x:v>
      </x:c>
      <x:c r="J647" t="str">
        <x:v>False</x:v>
      </x:c>
      <x:c r="K647" t="n">
        <x:v>29</x:v>
      </x:c>
      <x:c r="L647" t="n">
        <x:v>30</x:v>
      </x:c>
      <x:c r="M647" t="n">
        <x:v>1</x:v>
      </x:c>
      <x:c r="N647" t="n">
        <x:v>89.92395</x:v>
      </x:c>
      <x:c r="O647" t="n">
        <x:v>52.92</x:v>
      </x:c>
      <x:c r="P647" t="n">
        <x:v>0</x:v>
      </x:c>
      <x:c r="Q647" t="n">
        <x:v>0</x:v>
      </x:c>
      <x:c r="R647" t="n">
        <x:v>46.69</x:v>
      </x:c>
      <x:c r="S647" t="n">
        <x:v>65.18</x:v>
      </x:c>
      <x:c r="T647" t="str">
        <x:v>https://y.gtimg.cn/music/photo_new/T002R500x500M000002P1zsF2O3TDF_1.jpg</x:v>
      </x:c>
      <x:c r="U647" s="24" t="str">
        <x:f>IFERROR(VLOOKUP(I647,'07_字典与参数'!$G$5:$J$9,2,FALSE),"未入选")</x:f>
        <x:v>未入选</x:v>
      </x:c>
      <x:c r="V647" s="24" t="str">
        <x:f>IFERROR(VLOOKUP(I647,'07_字典与参数'!$G$5:$J$9,3,FALSE),"—")</x:f>
        <x:v>—</x:v>
      </x:c>
      <x:c r="W647" s="24" t="str">
        <x:f>IF(U647="未入选","否","是")</x:f>
        <x:v>否</x:v>
      </x:c>
    </x:row>
    <x:row r="648">
      <x:c r="A648" t="n">
        <x:v>202631</x:v>
      </x:c>
      <x:c r="B648" t="str">
        <x:v>第31期（08.03-08.09）</x:v>
      </x:c>
      <x:c r="C648" t="str">
        <x:v>2026-08-03</x:v>
      </x:c>
      <x:c r="D648" t="str">
        <x:v>2026-08-09</x:v>
      </x:c>
      <x:c r="E648" t="n">
        <x:v>44</x:v>
      </x:c>
      <x:c r="F648" t="n">
        <x:v>480650227</x:v>
      </x:c>
      <x:c r="G648" t="str">
        <x:v>写故事的人</x:v>
      </x:c>
      <x:c r="H648" t="str">
        <x:v>汪苏泷</x:v>
      </x:c>
      <x:c r="I648" t="str">
        <x:v>0028t0n12nBn9U</x:v>
      </x:c>
      <x:c r="J648" t="str">
        <x:v>False</x:v>
      </x:c>
      <x:c r="K648" t="n">
        <x:v>44</x:v>
      </x:c>
      <x:c r="L648" t="n">
        <x:v>7</x:v>
      </x:c>
      <x:c r="M648" t="n">
        <x:v>13</x:v>
      </x:c>
      <x:c r="N648" t="n">
        <x:v>89.42741</x:v>
      </x:c>
      <x:c r="O648" t="n">
        <x:v>76.92</x:v>
      </x:c>
      <x:c r="P648" t="n">
        <x:v>0</x:v>
      </x:c>
      <x:c r="Q648" t="n">
        <x:v>0</x:v>
      </x:c>
      <x:c r="R648" t="n">
        <x:v>17.48</x:v>
      </x:c>
      <x:c r="S648" t="n">
        <x:v>51.2</x:v>
      </x:c>
      <x:c r="T648" t="str">
        <x:v>https://y.gtimg.cn/music/photo_new/T002R500x500M000000A1M903iHvyT_4.jpg</x:v>
      </x:c>
      <x:c r="U648" s="24" t="str">
        <x:f>IFERROR(VLOOKUP(I648,'07_字典与参数'!$G$5:$J$9,2,FALSE),"未入选")</x:f>
        <x:v>未入选</x:v>
      </x:c>
      <x:c r="V648" s="24" t="str">
        <x:f>IFERROR(VLOOKUP(I648,'07_字典与参数'!$G$5:$J$9,3,FALSE),"—")</x:f>
        <x:v>—</x:v>
      </x:c>
      <x:c r="W648" s="24" t="str">
        <x:f>IF(U648="未入选","否","是")</x:f>
        <x:v>否</x:v>
      </x:c>
    </x:row>
    <x:row r="649">
      <x:c r="A649" t="n">
        <x:v>202631</x:v>
      </x:c>
      <x:c r="B649" t="str">
        <x:v>第31期（08.03-08.09）</x:v>
      </x:c>
      <x:c r="C649" t="str">
        <x:v>2026-08-03</x:v>
      </x:c>
      <x:c r="D649" t="str">
        <x:v>2026-08-09</x:v>
      </x:c>
      <x:c r="E649" t="n">
        <x:v>45</x:v>
      </x:c>
      <x:c r="F649" t="n">
        <x:v>536395629</x:v>
      </x:c>
      <x:c r="G649" t="str">
        <x:v>也许你就在对岸</x:v>
      </x:c>
      <x:c r="H649" t="str">
        <x:v>张杰</x:v>
      </x:c>
      <x:c r="I649" t="str">
        <x:v>001C6jX625yhUv</x:v>
      </x:c>
      <x:c r="J649" t="str">
        <x:v>False</x:v>
      </x:c>
      <x:c r="K649" t="n">
        <x:v>17</x:v>
      </x:c>
      <x:c r="L649" t="n">
        <x:v>2</x:v>
      </x:c>
      <x:c r="M649" t="n">
        <x:v>17</x:v>
      </x:c>
      <x:c r="N649" t="n">
        <x:v>89.09393</x:v>
      </x:c>
      <x:c r="O649" t="n">
        <x:v>76.74</x:v>
      </x:c>
      <x:c r="P649" t="n">
        <x:v>0</x:v>
      </x:c>
      <x:c r="Q649" t="n">
        <x:v>0</x:v>
      </x:c>
      <x:c r="R649" t="n">
        <x:v>20.25</x:v>
      </x:c>
      <x:c r="S649" t="n">
        <x:v>50.49</x:v>
      </x:c>
      <x:c r="T649" t="str">
        <x:v>https://y.gtimg.cn/music/photo_new/T002R500x500M000002iSmQU4DC9Eu_2.jpg</x:v>
      </x:c>
      <x:c r="U649" s="24" t="str">
        <x:f>IFERROR(VLOOKUP(I649,'07_字典与参数'!$G$5:$J$9,2,FALSE),"未入选")</x:f>
        <x:v>未入选</x:v>
      </x:c>
      <x:c r="V649" s="24" t="str">
        <x:f>IFERROR(VLOOKUP(I649,'07_字典与参数'!$G$5:$J$9,3,FALSE),"—")</x:f>
        <x:v>—</x:v>
      </x:c>
      <x:c r="W649" s="24" t="str">
        <x:f>IF(U649="未入选","否","是")</x:f>
        <x:v>否</x:v>
      </x:c>
    </x:row>
    <x:row r="650">
      <x:c r="A650" t="n">
        <x:v>202631</x:v>
      </x:c>
      <x:c r="B650" t="str">
        <x:v>第31期（08.03-08.09）</x:v>
      </x:c>
      <x:c r="C650" t="str">
        <x:v>2026-08-03</x:v>
      </x:c>
      <x:c r="D650" t="str">
        <x:v>2026-08-09</x:v>
      </x:c>
      <x:c r="E650" t="n">
        <x:v>46</x:v>
      </x:c>
      <x:c r="F650" t="n">
        <x:v>538316151</x:v>
      </x:c>
      <x:c r="G650" t="str">
        <x:v>野草（致老狗）</x:v>
      </x:c>
      <x:c r="H650" t="str">
        <x:v>曾舜晞</x:v>
      </x:c>
      <x:c r="I650" t="str">
        <x:v>001gXxHQ1fOUPu</x:v>
      </x:c>
      <x:c r="J650" t="str">
        <x:v>True</x:v>
      </x:c>
      <x:c r="K650" t="n">
        <x:v>0</x:v>
      </x:c>
      <x:c r="L650" t="n">
        <x:v>1</x:v>
      </x:c>
      <x:c r="M650" t="n">
        <x:v>46</x:v>
      </x:c>
      <x:c r="N650" t="n">
        <x:v>89.07524</x:v>
      </x:c>
      <x:c r="O650" t="n">
        <x:v>77.19</x:v>
      </x:c>
      <x:c r="P650" t="n">
        <x:v>0</x:v>
      </x:c>
      <x:c r="Q650" t="n">
        <x:v>0</x:v>
      </x:c>
      <x:c r="R650" t="n">
        <x:v>43.17</x:v>
      </x:c>
      <x:c r="S650" t="n">
        <x:v>31.4</x:v>
      </x:c>
      <x:c r="T650" t="str">
        <x:v>https://y.gtimg.cn/music/photo_new/T002R500x500M000002NzTSB1RIBWB_1.jpg</x:v>
      </x:c>
      <x:c r="U650" s="24" t="str">
        <x:f>IFERROR(VLOOKUP(I650,'07_字典与参数'!$G$5:$J$9,2,FALSE),"未入选")</x:f>
        <x:v>未入选</x:v>
      </x:c>
      <x:c r="V650" s="24" t="str">
        <x:f>IFERROR(VLOOKUP(I650,'07_字典与参数'!$G$5:$J$9,3,FALSE),"—")</x:f>
        <x:v>—</x:v>
      </x:c>
      <x:c r="W650" s="24" t="str">
        <x:f>IF(U650="未入选","否","是")</x:f>
        <x:v>否</x:v>
      </x:c>
    </x:row>
    <x:row r="651">
      <x:c r="A651" t="n">
        <x:v>202631</x:v>
      </x:c>
      <x:c r="B651" t="str">
        <x:v>第31期（08.03-08.09）</x:v>
      </x:c>
      <x:c r="C651" t="str">
        <x:v>2026-08-03</x:v>
      </x:c>
      <x:c r="D651" t="str">
        <x:v>2026-08-09</x:v>
      </x:c>
      <x:c r="E651" t="n">
        <x:v>47</x:v>
      </x:c>
      <x:c r="F651" t="n">
        <x:v>531112810</x:v>
      </x:c>
      <x:c r="G651" t="str">
        <x:v>周旋</x:v>
      </x:c>
      <x:c r="H651" t="str">
        <x:v>王以太,艾热AIR</x:v>
      </x:c>
      <x:c r="I651" t="str">
        <x:v>0009cN231s93BH</x:v>
      </x:c>
      <x:c r="J651" t="str">
        <x:v>False</x:v>
      </x:c>
      <x:c r="K651" t="n">
        <x:v>47</x:v>
      </x:c>
      <x:c r="L651" t="n">
        <x:v>4</x:v>
      </x:c>
      <x:c r="M651" t="n">
        <x:v>27</x:v>
      </x:c>
      <x:c r="N651" t="n">
        <x:v>89.04574</x:v>
      </x:c>
      <x:c r="O651" t="n">
        <x:v>77.03</x:v>
      </x:c>
      <x:c r="P651" t="n">
        <x:v>0</x:v>
      </x:c>
      <x:c r="Q651" t="n">
        <x:v>0</x:v>
      </x:c>
      <x:c r="R651" t="n">
        <x:v>7.32</x:v>
      </x:c>
      <x:c r="S651" t="n">
        <x:v>49.72</x:v>
      </x:c>
      <x:c r="T651" t="str">
        <x:v>https://y.gtimg.cn/music/photo_new/T002R500x500M000000TFXPO1bLY2u_1.jpg</x:v>
      </x:c>
      <x:c r="U651" s="24" t="n">
        <x:f>IFERROR(VLOOKUP(I651,'07_字典与参数'!$G$5:$J$9,2,FALSE),"未入选")</x:f>
        <x:v>71.3</x:v>
      </x:c>
      <x:c r="V651" s="24" t="str">
        <x:f>IFERROR(VLOOKUP(I651,'07_字典与参数'!$G$5:$J$9,3,FALSE),"—")</x:f>
        <x:v>周旋</x:v>
      </x:c>
      <x:c r="W651" s="24" t="str">
        <x:f>IF(U651="未入选","否","是")</x:f>
        <x:v>是</x:v>
      </x:c>
    </x:row>
    <x:row r="652">
      <x:c r="A652" t="n">
        <x:v>202631</x:v>
      </x:c>
      <x:c r="B652" t="str">
        <x:v>第31期（08.03-08.09）</x:v>
      </x:c>
      <x:c r="C652" t="str">
        <x:v>2026-08-03</x:v>
      </x:c>
      <x:c r="D652" t="str">
        <x:v>2026-08-09</x:v>
      </x:c>
      <x:c r="E652" t="n">
        <x:v>48</x:v>
      </x:c>
      <x:c r="F652" t="n">
        <x:v>463774753</x:v>
      </x:c>
      <x:c r="G652" t="str">
        <x:v>Colder</x:v>
      </x:c>
      <x:c r="H652" t="str">
        <x:v>蔡徐坤</x:v>
      </x:c>
      <x:c r="I652" t="str">
        <x:v>00400RDv0ozgWg</x:v>
      </x:c>
      <x:c r="J652" t="str">
        <x:v>False</x:v>
      </x:c>
      <x:c r="K652" t="n">
        <x:v>32</x:v>
      </x:c>
      <x:c r="L652" t="n">
        <x:v>27</x:v>
      </x:c>
      <x:c r="M652" t="n">
        <x:v>2</x:v>
      </x:c>
      <x:c r="N652" t="n">
        <x:v>89.00898</x:v>
      </x:c>
      <x:c r="O652" t="n">
        <x:v>57.11</x:v>
      </x:c>
      <x:c r="P652" t="n">
        <x:v>0</x:v>
      </x:c>
      <x:c r="Q652" t="n">
        <x:v>0</x:v>
      </x:c>
      <x:c r="R652" t="n">
        <x:v>60.31</x:v>
      </x:c>
      <x:c r="S652" t="n">
        <x:v>57.21</x:v>
      </x:c>
      <x:c r="T652" t="str">
        <x:v>https://y.gtimg.cn/music/photo_new/T002R500x500M000003Q9it10RWLId_2.jpg</x:v>
      </x:c>
      <x:c r="U652" s="24" t="str">
        <x:f>IFERROR(VLOOKUP(I652,'07_字典与参数'!$G$5:$J$9,2,FALSE),"未入选")</x:f>
        <x:v>未入选</x:v>
      </x:c>
      <x:c r="V652" s="24" t="str">
        <x:f>IFERROR(VLOOKUP(I652,'07_字典与参数'!$G$5:$J$9,3,FALSE),"—")</x:f>
        <x:v>—</x:v>
      </x:c>
      <x:c r="W652" s="24" t="str">
        <x:f>IF(U652="未入选","否","是")</x:f>
        <x:v>否</x:v>
      </x:c>
    </x:row>
    <x:row r="653">
      <x:c r="A653" t="n">
        <x:v>202631</x:v>
      </x:c>
      <x:c r="B653" t="str">
        <x:v>第31期（08.03-08.09）</x:v>
      </x:c>
      <x:c r="C653" t="str">
        <x:v>2026-08-03</x:v>
      </x:c>
      <x:c r="D653" t="str">
        <x:v>2026-08-09</x:v>
      </x:c>
      <x:c r="E653" t="n">
        <x:v>49</x:v>
      </x:c>
      <x:c r="F653" t="n">
        <x:v>487550585</x:v>
      </x:c>
      <x:c r="G653" t="str">
        <x:v>主角</x:v>
      </x:c>
      <x:c r="H653" t="str">
        <x:v>王菲</x:v>
      </x:c>
      <x:c r="I653" t="str">
        <x:v>001uywZc1PxmVv</x:v>
      </x:c>
      <x:c r="J653" t="str">
        <x:v>False</x:v>
      </x:c>
      <x:c r="K653" t="n">
        <x:v>50</x:v>
      </x:c>
      <x:c r="L653" t="n">
        <x:v>14</x:v>
      </x:c>
      <x:c r="M653" t="n">
        <x:v>11</x:v>
      </x:c>
      <x:c r="N653" t="n">
        <x:v>88.85385</x:v>
      </x:c>
      <x:c r="O653" t="n">
        <x:v>77.04</x:v>
      </x:c>
      <x:c r="P653" t="n">
        <x:v>0</x:v>
      </x:c>
      <x:c r="Q653" t="n">
        <x:v>0</x:v>
      </x:c>
      <x:c r="R653" t="n">
        <x:v>40.09</x:v>
      </x:c>
      <x:c r="S653" t="n">
        <x:v>40.57</x:v>
      </x:c>
      <x:c r="T653" t="str">
        <x:v>https://y.gtimg.cn/music/photo_new/T002R500x500M0000014oHsO311mVp_1.jpg</x:v>
      </x:c>
      <x:c r="U653" s="24" t="str">
        <x:f>IFERROR(VLOOKUP(I653,'07_字典与参数'!$G$5:$J$9,2,FALSE),"未入选")</x:f>
        <x:v>未入选</x:v>
      </x:c>
      <x:c r="V653" s="24" t="str">
        <x:f>IFERROR(VLOOKUP(I653,'07_字典与参数'!$G$5:$J$9,3,FALSE),"—")</x:f>
        <x:v>—</x:v>
      </x:c>
      <x:c r="W653" s="24" t="str">
        <x:f>IF(U653="未入选","否","是")</x:f>
        <x:v>否</x:v>
      </x:c>
    </x:row>
    <x:row r="654">
      <x:c r="A654" t="n">
        <x:v>202631</x:v>
      </x:c>
      <x:c r="B654" t="str">
        <x:v>第31期（08.03-08.09）</x:v>
      </x:c>
      <x:c r="C654" t="str">
        <x:v>2026-08-03</x:v>
      </x:c>
      <x:c r="D654" t="str">
        <x:v>2026-08-09</x:v>
      </x:c>
      <x:c r="E654" t="n">
        <x:v>50</x:v>
      </x:c>
      <x:c r="F654" t="n">
        <x:v>538109339</x:v>
      </x:c>
      <x:c r="G654" t="str">
        <x:v>一诺</x:v>
      </x:c>
      <x:c r="H654" t="str">
        <x:v>刘宇宁</x:v>
      </x:c>
      <x:c r="I654" t="str">
        <x:v>003AogSY2WGKrW</x:v>
      </x:c>
      <x:c r="J654" t="str">
        <x:v>True</x:v>
      </x:c>
      <x:c r="K654" t="n">
        <x:v>0</x:v>
      </x:c>
      <x:c r="L654" t="n">
        <x:v>1</x:v>
      </x:c>
      <x:c r="M654" t="n">
        <x:v>50</x:v>
      </x:c>
      <x:c r="N654" t="n">
        <x:v>88.57857</x:v>
      </x:c>
      <x:c r="O654" t="n">
        <x:v>71.32</x:v>
      </x:c>
      <x:c r="P654" t="n">
        <x:v>0</x:v>
      </x:c>
      <x:c r="Q654" t="n">
        <x:v>0</x:v>
      </x:c>
      <x:c r="R654" t="n">
        <x:v>42.31</x:v>
      </x:c>
      <x:c r="S654" t="n">
        <x:v>58.24</x:v>
      </x:c>
      <x:c r="T654" t="str">
        <x:v>https://y.gtimg.cn/music/photo_new/T002R500x500M000000XNSki2aoKr8_1.jpg</x:v>
      </x:c>
      <x:c r="U654" s="24" t="str">
        <x:f>IFERROR(VLOOKUP(I654,'07_字典与参数'!$G$5:$J$9,2,FALSE),"未入选")</x:f>
        <x:v>未入选</x:v>
      </x:c>
      <x:c r="V654" s="24" t="str">
        <x:f>IFERROR(VLOOKUP(I654,'07_字典与参数'!$G$5:$J$9,3,FALSE),"—")</x:f>
        <x:v>—</x:v>
      </x:c>
      <x:c r="W654" s="24" t="str">
        <x:f>IF(U654="未入选","否","是")</x:f>
        <x:v>否</x:v>
      </x:c>
    </x:row>
    <x:row r="655">
      <x:c r="A655" t="n">
        <x:v>202631</x:v>
      </x:c>
      <x:c r="B655" t="str">
        <x:v>第31期（08.03-08.09）</x:v>
      </x:c>
      <x:c r="C655" t="str">
        <x:v>2026-08-03</x:v>
      </x:c>
      <x:c r="D655" t="str">
        <x:v>2026-08-09</x:v>
      </x:c>
      <x:c r="E655" t="n">
        <x:v>51</x:v>
      </x:c>
      <x:c r="F655" t="n">
        <x:v>474412516</x:v>
      </x:c>
      <x:c r="G655" t="str">
        <x:v>爱琴海</x:v>
      </x:c>
      <x:c r="H655" t="str">
        <x:v>周杰伦</x:v>
      </x:c>
      <x:c r="I655" t="str">
        <x:v>003WPrjL4dimFE</x:v>
      </x:c>
      <x:c r="J655" t="str">
        <x:v>False</x:v>
      </x:c>
      <x:c r="K655" t="n">
        <x:v>52</x:v>
      </x:c>
      <x:c r="L655" t="n">
        <x:v>20</x:v>
      </x:c>
      <x:c r="M655" t="n">
        <x:v>4</x:v>
      </x:c>
      <x:c r="N655" t="n">
        <x:v>88.05573</x:v>
      </x:c>
      <x:c r="O655" t="n">
        <x:v>77.02</x:v>
      </x:c>
      <x:c r="P655" t="n">
        <x:v>0</x:v>
      </x:c>
      <x:c r="Q655" t="n">
        <x:v>0</x:v>
      </x:c>
      <x:c r="R655" t="n">
        <x:v>23.59</x:v>
      </x:c>
      <x:c r="S655" t="n">
        <x:v>40.31</x:v>
      </x:c>
      <x:c r="T655" t="str">
        <x:v>https://y.gtimg.cn/music/photo_new/T002R500x500M0000041WVfh2vtlJE_1.jpg</x:v>
      </x:c>
      <x:c r="U655" s="24" t="str">
        <x:f>IFERROR(VLOOKUP(I655,'07_字典与参数'!$G$5:$J$9,2,FALSE),"未入选")</x:f>
        <x:v>未入选</x:v>
      </x:c>
      <x:c r="V655" s="24" t="str">
        <x:f>IFERROR(VLOOKUP(I655,'07_字典与参数'!$G$5:$J$9,3,FALSE),"—")</x:f>
        <x:v>—</x:v>
      </x:c>
      <x:c r="W655" s="24" t="str">
        <x:f>IF(U655="未入选","否","是")</x:f>
        <x:v>否</x:v>
      </x:c>
    </x:row>
    <x:row r="656">
      <x:c r="A656" t="n">
        <x:v>202631</x:v>
      </x:c>
      <x:c r="B656" t="str">
        <x:v>第31期（08.03-08.09）</x:v>
      </x:c>
      <x:c r="C656" t="str">
        <x:v>2026-08-03</x:v>
      </x:c>
      <x:c r="D656" t="str">
        <x:v>2026-08-09</x:v>
      </x:c>
      <x:c r="E656" t="n">
        <x:v>52</x:v>
      </x:c>
      <x:c r="F656" t="n">
        <x:v>515090709</x:v>
      </x:c>
      <x:c r="G656" t="str">
        <x:v>落日微醺（晚风中一杯酒）</x:v>
      </x:c>
      <x:c r="H656" t="str">
        <x:v>落日微醺</x:v>
      </x:c>
      <x:c r="I656" t="str">
        <x:v>0029j7eI4Poe44</x:v>
      </x:c>
      <x:c r="J656" t="str">
        <x:v>False</x:v>
      </x:c>
      <x:c r="K656" t="n">
        <x:v>86</x:v>
      </x:c>
      <x:c r="L656" t="n">
        <x:v>5</x:v>
      </x:c>
      <x:c r="M656" t="n">
        <x:v>52</x:v>
      </x:c>
      <x:c r="N656" t="n">
        <x:v>87.91011</x:v>
      </x:c>
      <x:c r="O656" t="n">
        <x:v>76.32</x:v>
      </x:c>
      <x:c r="P656" t="n">
        <x:v>0</x:v>
      </x:c>
      <x:c r="Q656" t="n">
        <x:v>0</x:v>
      </x:c>
      <x:c r="R656" t="n">
        <x:v>36.19</x:v>
      </x:c>
      <x:c r="S656" t="n">
        <x:v>40.7</x:v>
      </x:c>
      <x:c r="T656" t="str">
        <x:v>https://y.gtimg.cn/music/photo_new/T002R500x500M000001TMIlo2CCoNX_1.jpg</x:v>
      </x:c>
      <x:c r="U656" s="24" t="str">
        <x:f>IFERROR(VLOOKUP(I656,'07_字典与参数'!$G$5:$J$9,2,FALSE),"未入选")</x:f>
        <x:v>未入选</x:v>
      </x:c>
      <x:c r="V656" s="24" t="str">
        <x:f>IFERROR(VLOOKUP(I656,'07_字典与参数'!$G$5:$J$9,3,FALSE),"—")</x:f>
        <x:v>—</x:v>
      </x:c>
      <x:c r="W656" s="24" t="str">
        <x:f>IF(U656="未入选","否","是")</x:f>
        <x:v>否</x:v>
      </x:c>
    </x:row>
    <x:row r="657">
      <x:c r="A657" t="n">
        <x:v>202631</x:v>
      </x:c>
      <x:c r="B657" t="str">
        <x:v>第31期（08.03-08.09）</x:v>
      </x:c>
      <x:c r="C657" t="str">
        <x:v>2026-08-03</x:v>
      </x:c>
      <x:c r="D657" t="str">
        <x:v>2026-08-09</x:v>
      </x:c>
      <x:c r="E657" t="n">
        <x:v>53</x:v>
      </x:c>
      <x:c r="F657" t="n">
        <x:v>535934576</x:v>
      </x:c>
      <x:c r="G657" t="str">
        <x:v>奔赴超无限</x:v>
      </x:c>
      <x:c r="H657" t="str">
        <x:v>周深,北京环球度假区</x:v>
      </x:c>
      <x:c r="I657" t="str">
        <x:v>002sjXkp1KKKUX</x:v>
      </x:c>
      <x:c r="J657" t="str">
        <x:v>True</x:v>
      </x:c>
      <x:c r="K657" t="n">
        <x:v>122</x:v>
      </x:c>
      <x:c r="L657" t="n">
        <x:v>1</x:v>
      </x:c>
      <x:c r="M657" t="n">
        <x:v>53</x:v>
      </x:c>
      <x:c r="N657" t="n">
        <x:v>87.62967</x:v>
      </x:c>
      <x:c r="O657" t="n">
        <x:v>75.52</x:v>
      </x:c>
      <x:c r="P657" t="n">
        <x:v>0</x:v>
      </x:c>
      <x:c r="Q657" t="n">
        <x:v>0</x:v>
      </x:c>
      <x:c r="R657" t="n">
        <x:v>1.88</x:v>
      </x:c>
      <x:c r="S657" t="n">
        <x:v>50.66</x:v>
      </x:c>
      <x:c r="T657" t="str">
        <x:v>https://y.gtimg.cn/music/photo_new/T002R500x500M000004T2U7i3TrVFC_2.jpg</x:v>
      </x:c>
      <x:c r="U657" s="24" t="n">
        <x:f>IFERROR(VLOOKUP(I657,'07_字典与参数'!$G$5:$J$9,2,FALSE),"未入选")</x:f>
        <x:v>67</x:v>
      </x:c>
      <x:c r="V657" s="24" t="str">
        <x:f>IFERROR(VLOOKUP(I657,'07_字典与参数'!$G$5:$J$9,3,FALSE),"—")</x:f>
        <x:v>奔赴超无限</x:v>
      </x:c>
      <x:c r="W657" s="24" t="str">
        <x:f>IF(U657="未入选","否","是")</x:f>
        <x:v>是</x:v>
      </x:c>
    </x:row>
    <x:row r="658">
      <x:c r="A658" t="n">
        <x:v>202631</x:v>
      </x:c>
      <x:c r="B658" t="str">
        <x:v>第31期（08.03-08.09）</x:v>
      </x:c>
      <x:c r="C658" t="str">
        <x:v>2026-08-03</x:v>
      </x:c>
      <x:c r="D658" t="str">
        <x:v>2026-08-09</x:v>
      </x:c>
      <x:c r="E658" t="n">
        <x:v>54</x:v>
      </x:c>
      <x:c r="F658" t="n">
        <x:v>533897410</x:v>
      </x:c>
      <x:c r="G658" t="str">
        <x:v>汹涌</x:v>
      </x:c>
      <x:c r="H658" t="str">
        <x:v>吴莫愁</x:v>
      </x:c>
      <x:c r="I658" t="str">
        <x:v>003zLeSq0V2ECp</x:v>
      </x:c>
      <x:c r="J658" t="str">
        <x:v>False</x:v>
      </x:c>
      <x:c r="K658" t="n">
        <x:v>51</x:v>
      </x:c>
      <x:c r="L658" t="n">
        <x:v>2</x:v>
      </x:c>
      <x:c r="M658" t="n">
        <x:v>51</x:v>
      </x:c>
      <x:c r="N658" t="n">
        <x:v>87.53826</x:v>
      </x:c>
      <x:c r="O658" t="n">
        <x:v>75.78</x:v>
      </x:c>
      <x:c r="P658" t="n">
        <x:v>0</x:v>
      </x:c>
      <x:c r="Q658" t="n">
        <x:v>0</x:v>
      </x:c>
      <x:c r="R658" t="n">
        <x:v>6.17</x:v>
      </x:c>
      <x:c r="S658" t="n">
        <x:v>48.2</x:v>
      </x:c>
      <x:c r="T658" t="str">
        <x:v>https://y.gtimg.cn/music/photo_new/T002R500x500M000003mTx4M2vjsxl_1.jpg</x:v>
      </x:c>
      <x:c r="U658" s="24" t="str">
        <x:f>IFERROR(VLOOKUP(I658,'07_字典与参数'!$G$5:$J$9,2,FALSE),"未入选")</x:f>
        <x:v>未入选</x:v>
      </x:c>
      <x:c r="V658" s="24" t="str">
        <x:f>IFERROR(VLOOKUP(I658,'07_字典与参数'!$G$5:$J$9,3,FALSE),"—")</x:f>
        <x:v>—</x:v>
      </x:c>
      <x:c r="W658" s="24" t="str">
        <x:f>IF(U658="未入选","否","是")</x:f>
        <x:v>否</x:v>
      </x:c>
    </x:row>
    <x:row r="659">
      <x:c r="A659" t="n">
        <x:v>202631</x:v>
      </x:c>
      <x:c r="B659" t="str">
        <x:v>第31期（08.03-08.09）</x:v>
      </x:c>
      <x:c r="C659" t="str">
        <x:v>2026-08-03</x:v>
      </x:c>
      <x:c r="D659" t="str">
        <x:v>2026-08-09</x:v>
      </x:c>
      <x:c r="E659" t="n">
        <x:v>55</x:v>
      </x:c>
      <x:c r="F659" t="n">
        <x:v>533494200</x:v>
      </x:c>
      <x:c r="G659" t="str">
        <x:v>Glue</x:v>
      </x:c>
      <x:c r="H659" t="str">
        <x:v>希林娜依高</x:v>
      </x:c>
      <x:c r="I659" t="str">
        <x:v>000Q9lzD0ag0YJ</x:v>
      </x:c>
      <x:c r="J659" t="str">
        <x:v>False</x:v>
      </x:c>
      <x:c r="K659" t="n">
        <x:v>41</x:v>
      </x:c>
      <x:c r="L659" t="n">
        <x:v>2</x:v>
      </x:c>
      <x:c r="M659" t="n">
        <x:v>41</x:v>
      </x:c>
      <x:c r="N659" t="n">
        <x:v>87.50765</x:v>
      </x:c>
      <x:c r="O659" t="n">
        <x:v>61.12</x:v>
      </x:c>
      <x:c r="P659" t="n">
        <x:v>0</x:v>
      </x:c>
      <x:c r="Q659" t="n">
        <x:v>0</x:v>
      </x:c>
      <x:c r="R659" t="n">
        <x:v>35.62</x:v>
      </x:c>
      <x:c r="S659" t="n">
        <x:v>61.85</x:v>
      </x:c>
      <x:c r="T659" t="str">
        <x:v>https://y.gtimg.cn/music/photo_new/T002R500x500M000003RLC1r1I8Y7u_1.jpg</x:v>
      </x:c>
      <x:c r="U659" s="24" t="str">
        <x:f>IFERROR(VLOOKUP(I659,'07_字典与参数'!$G$5:$J$9,2,FALSE),"未入选")</x:f>
        <x:v>未入选</x:v>
      </x:c>
      <x:c r="V659" s="24" t="str">
        <x:f>IFERROR(VLOOKUP(I659,'07_字典与参数'!$G$5:$J$9,3,FALSE),"—")</x:f>
        <x:v>—</x:v>
      </x:c>
      <x:c r="W659" s="24" t="str">
        <x:f>IF(U659="未入选","否","是")</x:f>
        <x:v>否</x:v>
      </x:c>
    </x:row>
    <x:row r="660">
      <x:c r="A660" t="n">
        <x:v>202631</x:v>
      </x:c>
      <x:c r="B660" t="str">
        <x:v>第31期（08.03-08.09）</x:v>
      </x:c>
      <x:c r="C660" t="str">
        <x:v>2026-08-03</x:v>
      </x:c>
      <x:c r="D660" t="str">
        <x:v>2026-08-09</x:v>
      </x:c>
      <x:c r="E660" t="n">
        <x:v>56</x:v>
      </x:c>
      <x:c r="F660" t="n">
        <x:v>463431785</x:v>
      </x:c>
      <x:c r="G660" t="str">
        <x:v>巴拉莱卡（The Rod）</x:v>
      </x:c>
      <x:c r="H660" t="str">
        <x:v>门尼</x:v>
      </x:c>
      <x:c r="I660" t="str">
        <x:v>004cIIT23E42Bi</x:v>
      </x:c>
      <x:c r="J660" t="str">
        <x:v>False</x:v>
      </x:c>
      <x:c r="K660" t="n">
        <x:v>61</x:v>
      </x:c>
      <x:c r="L660" t="n">
        <x:v>20</x:v>
      </x:c>
      <x:c r="M660" t="n">
        <x:v>19</x:v>
      </x:c>
      <x:c r="N660" t="n">
        <x:v>87.04019</x:v>
      </x:c>
      <x:c r="O660" t="n">
        <x:v>75.81</x:v>
      </x:c>
      <x:c r="P660" t="n">
        <x:v>0</x:v>
      </x:c>
      <x:c r="Q660" t="n">
        <x:v>0</x:v>
      </x:c>
      <x:c r="R660" t="n">
        <x:v>26.75</x:v>
      </x:c>
      <x:c r="S660" t="n">
        <x:v>41.36</x:v>
      </x:c>
      <x:c r="T660" t="str">
        <x:v>https://y.qq.com/music/photo_new/T062R500x500M000000KuGDR0MKlCb.jpg</x:v>
      </x:c>
      <x:c r="U660" s="24" t="str">
        <x:f>IFERROR(VLOOKUP(I660,'07_字典与参数'!$G$5:$J$9,2,FALSE),"未入选")</x:f>
        <x:v>未入选</x:v>
      </x:c>
      <x:c r="V660" s="24" t="str">
        <x:f>IFERROR(VLOOKUP(I660,'07_字典与参数'!$G$5:$J$9,3,FALSE),"—")</x:f>
        <x:v>—</x:v>
      </x:c>
      <x:c r="W660" s="24" t="str">
        <x:f>IF(U660="未入选","否","是")</x:f>
        <x:v>否</x:v>
      </x:c>
    </x:row>
    <x:row r="661">
      <x:c r="A661" t="n">
        <x:v>202631</x:v>
      </x:c>
      <x:c r="B661" t="str">
        <x:v>第31期（08.03-08.09）</x:v>
      </x:c>
      <x:c r="C661" t="str">
        <x:v>2026-08-03</x:v>
      </x:c>
      <x:c r="D661" t="str">
        <x:v>2026-08-09</x:v>
      </x:c>
      <x:c r="E661" t="n">
        <x:v>57</x:v>
      </x:c>
      <x:c r="F661" t="n">
        <x:v>463774751</x:v>
      </x:c>
      <x:c r="G661" t="str">
        <x:v>Don't Call (feat. Free Nationals)</x:v>
      </x:c>
      <x:c r="H661" t="str">
        <x:v>蔡徐坤</x:v>
      </x:c>
      <x:c r="I661" t="str">
        <x:v>004O0a1f4T0RI8</x:v>
      </x:c>
      <x:c r="J661" t="str">
        <x:v>False</x:v>
      </x:c>
      <x:c r="K661" t="n">
        <x:v>37</x:v>
      </x:c>
      <x:c r="L661" t="n">
        <x:v>25</x:v>
      </x:c>
      <x:c r="M661" t="n">
        <x:v>3</x:v>
      </x:c>
      <x:c r="N661" t="n">
        <x:v>86.96666</x:v>
      </x:c>
      <x:c r="O661" t="n">
        <x:v>55.45</x:v>
      </x:c>
      <x:c r="P661" t="n">
        <x:v>0</x:v>
      </x:c>
      <x:c r="Q661" t="n">
        <x:v>0</x:v>
      </x:c>
      <x:c r="R661" t="n">
        <x:v>59.92</x:v>
      </x:c>
      <x:c r="S661" t="n">
        <x:v>50.75</x:v>
      </x:c>
      <x:c r="T661" t="str">
        <x:v>https://y.gtimg.cn/music/photo_new/T002R500x500M000003Q9it10RWLId_2.jpg</x:v>
      </x:c>
      <x:c r="U661" s="24" t="str">
        <x:f>IFERROR(VLOOKUP(I661,'07_字典与参数'!$G$5:$J$9,2,FALSE),"未入选")</x:f>
        <x:v>未入选</x:v>
      </x:c>
      <x:c r="V661" s="24" t="str">
        <x:f>IFERROR(VLOOKUP(I661,'07_字典与参数'!$G$5:$J$9,3,FALSE),"—")</x:f>
        <x:v>—</x:v>
      </x:c>
      <x:c r="W661" s="24" t="str">
        <x:f>IF(U661="未入选","否","是")</x:f>
        <x:v>否</x:v>
      </x:c>
    </x:row>
    <x:row r="662">
      <x:c r="A662" t="n">
        <x:v>202631</x:v>
      </x:c>
      <x:c r="B662" t="str">
        <x:v>第31期（08.03-08.09）</x:v>
      </x:c>
      <x:c r="C662" t="str">
        <x:v>2026-08-03</x:v>
      </x:c>
      <x:c r="D662" t="str">
        <x:v>2026-08-09</x:v>
      </x:c>
      <x:c r="E662" t="n">
        <x:v>58</x:v>
      </x:c>
      <x:c r="F662" t="n">
        <x:v>536013015</x:v>
      </x:c>
      <x:c r="G662" t="str">
        <x:v>你我他</x:v>
      </x:c>
      <x:c r="H662" t="str">
        <x:v>en (王翊恩)</x:v>
      </x:c>
      <x:c r="I662" t="str">
        <x:v>001LhXEA3xLRsJ</x:v>
      </x:c>
      <x:c r="J662" t="str">
        <x:v>False</x:v>
      </x:c>
      <x:c r="K662" t="n">
        <x:v>96</x:v>
      </x:c>
      <x:c r="L662" t="n">
        <x:v>2</x:v>
      </x:c>
      <x:c r="M662" t="n">
        <x:v>58</x:v>
      </x:c>
      <x:c r="N662" t="n">
        <x:v>86.86379</x:v>
      </x:c>
      <x:c r="O662" t="n">
        <x:v>71.52</x:v>
      </x:c>
      <x:c r="P662" t="n">
        <x:v>0</x:v>
      </x:c>
      <x:c r="Q662" t="n">
        <x:v>0</x:v>
      </x:c>
      <x:c r="R662" t="n">
        <x:v>11.19</x:v>
      </x:c>
      <x:c r="S662" t="n">
        <x:v>55.97</x:v>
      </x:c>
      <x:c r="T662" t="str">
        <x:v>https://y.gtimg.cn/music/photo_new/T002R500x500M000001cbKAD3pm4vz_1.jpg</x:v>
      </x:c>
      <x:c r="U662" s="24" t="str">
        <x:f>IFERROR(VLOOKUP(I662,'07_字典与参数'!$G$5:$J$9,2,FALSE),"未入选")</x:f>
        <x:v>未入选</x:v>
      </x:c>
      <x:c r="V662" s="24" t="str">
        <x:f>IFERROR(VLOOKUP(I662,'07_字典与参数'!$G$5:$J$9,3,FALSE),"—")</x:f>
        <x:v>—</x:v>
      </x:c>
      <x:c r="W662" s="24" t="str">
        <x:f>IF(U662="未入选","否","是")</x:f>
        <x:v>否</x:v>
      </x:c>
    </x:row>
    <x:row r="663">
      <x:c r="A663" t="n">
        <x:v>202631</x:v>
      </x:c>
      <x:c r="B663" t="str">
        <x:v>第31期（08.03-08.09）</x:v>
      </x:c>
      <x:c r="C663" t="str">
        <x:v>2026-08-03</x:v>
      </x:c>
      <x:c r="D663" t="str">
        <x:v>2026-08-09</x:v>
      </x:c>
      <x:c r="E663" t="n">
        <x:v>59</x:v>
      </x:c>
      <x:c r="F663" t="n">
        <x:v>530399436</x:v>
      </x:c>
      <x:c r="G663" t="str">
        <x:v>Badi Badi</x:v>
      </x:c>
      <x:c r="H663" t="str">
        <x:v>王俊凯</x:v>
      </x:c>
      <x:c r="I663" t="str">
        <x:v>003DPd5i2qrCU7</x:v>
      </x:c>
      <x:c r="J663" t="str">
        <x:v>False</x:v>
      </x:c>
      <x:c r="K663" t="n">
        <x:v>58</x:v>
      </x:c>
      <x:c r="L663" t="n">
        <x:v>5</x:v>
      </x:c>
      <x:c r="M663" t="n">
        <x:v>7</x:v>
      </x:c>
      <x:c r="N663" t="n">
        <x:v>86.77853</x:v>
      </x:c>
      <x:c r="O663" t="n">
        <x:v>71.53</x:v>
      </x:c>
      <x:c r="P663" t="n">
        <x:v>0</x:v>
      </x:c>
      <x:c r="Q663" t="n">
        <x:v>0</x:v>
      </x:c>
      <x:c r="R663" t="n">
        <x:v>40.31</x:v>
      </x:c>
      <x:c r="S663" t="n">
        <x:v>51.92</x:v>
      </x:c>
      <x:c r="T663" t="str">
        <x:v>https://y.qq.com/music/photo_new/T062R500x500M00000263WWe1mlRaa.jpg</x:v>
      </x:c>
      <x:c r="U663" s="24" t="str">
        <x:f>IFERROR(VLOOKUP(I663,'07_字典与参数'!$G$5:$J$9,2,FALSE),"未入选")</x:f>
        <x:v>未入选</x:v>
      </x:c>
      <x:c r="V663" s="24" t="str">
        <x:f>IFERROR(VLOOKUP(I663,'07_字典与参数'!$G$5:$J$9,3,FALSE),"—")</x:f>
        <x:v>—</x:v>
      </x:c>
      <x:c r="W663" s="24" t="str">
        <x:f>IF(U663="未入选","否","是")</x:f>
        <x:v>否</x:v>
      </x:c>
    </x:row>
    <x:row r="664">
      <x:c r="A664" t="n">
        <x:v>202631</x:v>
      </x:c>
      <x:c r="B664" t="str">
        <x:v>第31期（08.03-08.09）</x:v>
      </x:c>
      <x:c r="C664" t="str">
        <x:v>2026-08-03</x:v>
      </x:c>
      <x:c r="D664" t="str">
        <x:v>2026-08-09</x:v>
      </x:c>
      <x:c r="E664" t="n">
        <x:v>60</x:v>
      </x:c>
      <x:c r="F664" t="n">
        <x:v>515804613</x:v>
      </x:c>
      <x:c r="G664" t="str">
        <x:v>8DM</x:v>
      </x:c>
      <x:c r="H664" t="str">
        <x:v>V8,徐明浩</x:v>
      </x:c>
      <x:c r="I664" t="str">
        <x:v>001gPXbo2gpbbH</x:v>
      </x:c>
      <x:c r="J664" t="str">
        <x:v>False</x:v>
      </x:c>
      <x:c r="K664" t="n">
        <x:v>54</x:v>
      </x:c>
      <x:c r="L664" t="n">
        <x:v>6</x:v>
      </x:c>
      <x:c r="M664" t="n">
        <x:v>12</x:v>
      </x:c>
      <x:c r="N664" t="n">
        <x:v>86.62917</x:v>
      </x:c>
      <x:c r="O664" t="n">
        <x:v>50.49</x:v>
      </x:c>
      <x:c r="P664" t="n">
        <x:v>0</x:v>
      </x:c>
      <x:c r="Q664" t="n">
        <x:v>0</x:v>
      </x:c>
      <x:c r="R664" t="n">
        <x:v>22.11</x:v>
      </x:c>
      <x:c r="S664" t="n">
        <x:v>62.58</x:v>
      </x:c>
      <x:c r="T664" t="str">
        <x:v>https://y.gtimg.cn/music/photo_new/T002R500x500M000000rDsrP3UzzFm_1.jpg</x:v>
      </x:c>
      <x:c r="U664" s="24" t="str">
        <x:f>IFERROR(VLOOKUP(I664,'07_字典与参数'!$G$5:$J$9,2,FALSE),"未入选")</x:f>
        <x:v>未入选</x:v>
      </x:c>
      <x:c r="V664" s="24" t="str">
        <x:f>IFERROR(VLOOKUP(I664,'07_字典与参数'!$G$5:$J$9,3,FALSE),"—")</x:f>
        <x:v>—</x:v>
      </x:c>
      <x:c r="W664" s="24" t="str">
        <x:f>IF(U664="未入选","否","是")</x:f>
        <x:v>否</x:v>
      </x:c>
    </x:row>
    <x:row r="665">
      <x:c r="A665" t="n">
        <x:v>202631</x:v>
      </x:c>
      <x:c r="B665" t="str">
        <x:v>第31期（08.03-08.09）</x:v>
      </x:c>
      <x:c r="C665" t="str">
        <x:v>2026-08-03</x:v>
      </x:c>
      <x:c r="D665" t="str">
        <x:v>2026-08-09</x:v>
      </x:c>
      <x:c r="E665" t="n">
        <x:v>61</x:v>
      </x:c>
      <x:c r="F665" t="n">
        <x:v>537404490</x:v>
      </x:c>
      <x:c r="G665" t="str">
        <x:v>耀眼的我们</x:v>
      </x:c>
      <x:c r="H665" t="str">
        <x:v>周深</x:v>
      </x:c>
      <x:c r="I665" t="str">
        <x:v>002JZCyb4ORwy7</x:v>
      </x:c>
      <x:c r="J665" t="str">
        <x:v>False</x:v>
      </x:c>
      <x:c r="K665" t="n">
        <x:v>42</x:v>
      </x:c>
      <x:c r="L665" t="n">
        <x:v>2</x:v>
      </x:c>
      <x:c r="M665" t="n">
        <x:v>42</x:v>
      </x:c>
      <x:c r="N665" t="n">
        <x:v>86.55362</x:v>
      </x:c>
      <x:c r="O665" t="n">
        <x:v>72.99</x:v>
      </x:c>
      <x:c r="P665" t="n">
        <x:v>0</x:v>
      </x:c>
      <x:c r="Q665" t="n">
        <x:v>0</x:v>
      </x:c>
      <x:c r="R665" t="n">
        <x:v>39.96</x:v>
      </x:c>
      <x:c r="S665" t="n">
        <x:v>46.83</x:v>
      </x:c>
      <x:c r="T665" t="str">
        <x:v>https://y.qq.com/music/photo_new/T062R500x500M000000UcSCT2174o4.jpg</x:v>
      </x:c>
      <x:c r="U665" s="24" t="str">
        <x:f>IFERROR(VLOOKUP(I665,'07_字典与参数'!$G$5:$J$9,2,FALSE),"未入选")</x:f>
        <x:v>未入选</x:v>
      </x:c>
      <x:c r="V665" s="24" t="str">
        <x:f>IFERROR(VLOOKUP(I665,'07_字典与参数'!$G$5:$J$9,3,FALSE),"—")</x:f>
        <x:v>—</x:v>
      </x:c>
      <x:c r="W665" s="24" t="str">
        <x:f>IF(U665="未入选","否","是")</x:f>
        <x:v>否</x:v>
      </x:c>
    </x:row>
    <x:row r="666">
      <x:c r="A666" t="n">
        <x:v>202631</x:v>
      </x:c>
      <x:c r="B666" t="str">
        <x:v>第31期（08.03-08.09）</x:v>
      </x:c>
      <x:c r="C666" t="str">
        <x:v>2026-08-03</x:v>
      </x:c>
      <x:c r="D666" t="str">
        <x:v>2026-08-09</x:v>
      </x:c>
      <x:c r="E666" t="n">
        <x:v>62</x:v>
      </x:c>
      <x:c r="F666" t="n">
        <x:v>513661414</x:v>
      </x:c>
      <x:c r="G666" t="str">
        <x:v>多疑的恋人</x:v>
      </x:c>
      <x:c r="H666" t="str">
        <x:v>王赫野</x:v>
      </x:c>
      <x:c r="I666" t="str">
        <x:v>0023sj7z0VIWnp</x:v>
      </x:c>
      <x:c r="J666" t="str">
        <x:v>True</x:v>
      </x:c>
      <x:c r="K666" t="n">
        <x:v>0</x:v>
      </x:c>
      <x:c r="L666" t="n">
        <x:v>1</x:v>
      </x:c>
      <x:c r="M666" t="n">
        <x:v>62</x:v>
      </x:c>
      <x:c r="N666" t="n">
        <x:v>86.53642</x:v>
      </x:c>
      <x:c r="O666" t="n">
        <x:v>76.23</x:v>
      </x:c>
      <x:c r="P666" t="n">
        <x:v>0</x:v>
      </x:c>
      <x:c r="Q666" t="n">
        <x:v>0</x:v>
      </x:c>
      <x:c r="R666" t="n">
        <x:v>3.46</x:v>
      </x:c>
      <x:c r="S666" t="n">
        <x:v>19.95</x:v>
      </x:c>
      <x:c r="T666" t="str">
        <x:v>https://y.qq.com/music/photo_new/T062R500x500M000001v80sJ1AkvQs.jpg</x:v>
      </x:c>
      <x:c r="U666" s="24" t="str">
        <x:f>IFERROR(VLOOKUP(I666,'07_字典与参数'!$G$5:$J$9,2,FALSE),"未入选")</x:f>
        <x:v>未入选</x:v>
      </x:c>
      <x:c r="V666" s="24" t="str">
        <x:f>IFERROR(VLOOKUP(I666,'07_字典与参数'!$G$5:$J$9,3,FALSE),"—")</x:f>
        <x:v>—</x:v>
      </x:c>
      <x:c r="W666" s="24" t="str">
        <x:f>IF(U666="未入选","否","是")</x:f>
        <x:v>否</x:v>
      </x:c>
    </x:row>
    <x:row r="667">
      <x:c r="A667" t="n">
        <x:v>202631</x:v>
      </x:c>
      <x:c r="B667" t="str">
        <x:v>第31期（08.03-08.09）</x:v>
      </x:c>
      <x:c r="C667" t="str">
        <x:v>2026-08-03</x:v>
      </x:c>
      <x:c r="D667" t="str">
        <x:v>2026-08-09</x:v>
      </x:c>
      <x:c r="E667" t="n">
        <x:v>63</x:v>
      </x:c>
      <x:c r="F667" t="n">
        <x:v>476300984</x:v>
      </x:c>
      <x:c r="G667" t="str">
        <x:v>无人乐园</x:v>
      </x:c>
      <x:c r="H667" t="str">
        <x:v>王俊凯</x:v>
      </x:c>
      <x:c r="I667" t="str">
        <x:v>004BsuOC1hamlB</x:v>
      </x:c>
      <x:c r="J667" t="str">
        <x:v>False</x:v>
      </x:c>
      <x:c r="K667" t="n">
        <x:v>20</x:v>
      </x:c>
      <x:c r="L667" t="n">
        <x:v>20</x:v>
      </x:c>
      <x:c r="M667" t="n">
        <x:v>1</x:v>
      </x:c>
      <x:c r="N667" t="n">
        <x:v>86.48867</x:v>
      </x:c>
      <x:c r="O667" t="n">
        <x:v>68.33</x:v>
      </x:c>
      <x:c r="P667" t="n">
        <x:v>0</x:v>
      </x:c>
      <x:c r="Q667" t="n">
        <x:v>0</x:v>
      </x:c>
      <x:c r="R667" t="n">
        <x:v>20.7</x:v>
      </x:c>
      <x:c r="S667" t="n">
        <x:v>58.02</x:v>
      </x:c>
      <x:c r="T667" t="str">
        <x:v>https://y.qq.com/music/photo_new/T062R500x500M000002ExhNX0VO1Mc.jpg</x:v>
      </x:c>
      <x:c r="U667" s="24" t="str">
        <x:f>IFERROR(VLOOKUP(I667,'07_字典与参数'!$G$5:$J$9,2,FALSE),"未入选")</x:f>
        <x:v>未入选</x:v>
      </x:c>
      <x:c r="V667" s="24" t="str">
        <x:f>IFERROR(VLOOKUP(I667,'07_字典与参数'!$G$5:$J$9,3,FALSE),"—")</x:f>
        <x:v>—</x:v>
      </x:c>
      <x:c r="W667" s="24" t="str">
        <x:f>IF(U667="未入选","否","是")</x:f>
        <x:v>否</x:v>
      </x:c>
    </x:row>
    <x:row r="668">
      <x:c r="A668" t="n">
        <x:v>202631</x:v>
      </x:c>
      <x:c r="B668" t="str">
        <x:v>第31期（08.03-08.09）</x:v>
      </x:c>
      <x:c r="C668" t="str">
        <x:v>2026-08-03</x:v>
      </x:c>
      <x:c r="D668" t="str">
        <x:v>2026-08-09</x:v>
      </x:c>
      <x:c r="E668" t="n">
        <x:v>64</x:v>
      </x:c>
      <x:c r="F668" t="n">
        <x:v>537633785</x:v>
      </x:c>
      <x:c r="G668" t="str">
        <x:v>异常加载中</x:v>
      </x:c>
      <x:c r="H668" t="str">
        <x:v>TF家族,TF家族-张桂源,TF家族-张函瑞,TF家族-王橹杰,TF家族-左奇函,TF家族-陈奕恒,TF家族-杨博文,TF家族-陈思罕,TF家族-陈浚铭</x:v>
      </x:c>
      <x:c r="I668" t="str">
        <x:v>002Agcje4enxFb</x:v>
      </x:c>
      <x:c r="J668" t="str">
        <x:v>False</x:v>
      </x:c>
      <x:c r="K668" t="n">
        <x:v>45</x:v>
      </x:c>
      <x:c r="L668" t="n">
        <x:v>2</x:v>
      </x:c>
      <x:c r="M668" t="n">
        <x:v>45</x:v>
      </x:c>
      <x:c r="N668" t="n">
        <x:v>86.48792</x:v>
      </x:c>
      <x:c r="O668" t="n">
        <x:v>74.53</x:v>
      </x:c>
      <x:c r="P668" t="n">
        <x:v>0</x:v>
      </x:c>
      <x:c r="Q668" t="n">
        <x:v>0</x:v>
      </x:c>
      <x:c r="R668" t="n">
        <x:v>18.62</x:v>
      </x:c>
      <x:c r="S668" t="n">
        <x:v>46.78</x:v>
      </x:c>
      <x:c r="T668" t="str">
        <x:v>https://y.gtimg.cn/music/photo_new/T002R500x500M000000bjZ7v0vnJHl_1.jpg</x:v>
      </x:c>
      <x:c r="U668" s="24" t="str">
        <x:f>IFERROR(VLOOKUP(I668,'07_字典与参数'!$G$5:$J$9,2,FALSE),"未入选")</x:f>
        <x:v>未入选</x:v>
      </x:c>
      <x:c r="V668" s="24" t="str">
        <x:f>IFERROR(VLOOKUP(I668,'07_字典与参数'!$G$5:$J$9,3,FALSE),"—")</x:f>
        <x:v>—</x:v>
      </x:c>
      <x:c r="W668" s="24" t="str">
        <x:f>IF(U668="未入选","否","是")</x:f>
        <x:v>否</x:v>
      </x:c>
    </x:row>
    <x:row r="669">
      <x:c r="A669" t="n">
        <x:v>202631</x:v>
      </x:c>
      <x:c r="B669" t="str">
        <x:v>第31期（08.03-08.09）</x:v>
      </x:c>
      <x:c r="C669" t="str">
        <x:v>2026-08-03</x:v>
      </x:c>
      <x:c r="D669" t="str">
        <x:v>2026-08-09</x:v>
      </x:c>
      <x:c r="E669" t="n">
        <x:v>65</x:v>
      </x:c>
      <x:c r="F669" t="n">
        <x:v>535934579</x:v>
      </x:c>
      <x:c r="G669" t="str">
        <x:v>No Boundaries</x:v>
      </x:c>
      <x:c r="H669" t="str">
        <x:v>周深,北京环球度假区</x:v>
      </x:c>
      <x:c r="I669" t="str">
        <x:v>002U6qAT0IMMwf</x:v>
      </x:c>
      <x:c r="J669" t="str">
        <x:v>False</x:v>
      </x:c>
      <x:c r="K669" t="n">
        <x:v>82</x:v>
      </x:c>
      <x:c r="L669" t="n">
        <x:v>2</x:v>
      </x:c>
      <x:c r="M669" t="n">
        <x:v>65</x:v>
      </x:c>
      <x:c r="N669" t="n">
        <x:v>86.38343</x:v>
      </x:c>
      <x:c r="O669" t="n">
        <x:v>73.53</x:v>
      </x:c>
      <x:c r="P669" t="n">
        <x:v>0</x:v>
      </x:c>
      <x:c r="Q669" t="n">
        <x:v>0</x:v>
      </x:c>
      <x:c r="R669" t="n">
        <x:v>3.16</x:v>
      </x:c>
      <x:c r="S669" t="n">
        <x:v>50.73</x:v>
      </x:c>
      <x:c r="T669" t="str">
        <x:v>https://y.gtimg.cn/music/photo_new/T002R500x500M000004T2U7i3TrVFC_2.jpg</x:v>
      </x:c>
      <x:c r="U669" s="24" t="str">
        <x:f>IFERROR(VLOOKUP(I669,'07_字典与参数'!$G$5:$J$9,2,FALSE),"未入选")</x:f>
        <x:v>未入选</x:v>
      </x:c>
      <x:c r="V669" s="24" t="str">
        <x:f>IFERROR(VLOOKUP(I669,'07_字典与参数'!$G$5:$J$9,3,FALSE),"—")</x:f>
        <x:v>—</x:v>
      </x:c>
      <x:c r="W669" s="24" t="str">
        <x:f>IF(U669="未入选","否","是")</x:f>
        <x:v>否</x:v>
      </x:c>
    </x:row>
    <x:row r="670">
      <x:c r="A670" t="n">
        <x:v>202631</x:v>
      </x:c>
      <x:c r="B670" t="str">
        <x:v>第31期（08.03-08.09）</x:v>
      </x:c>
      <x:c r="C670" t="str">
        <x:v>2026-08-03</x:v>
      </x:c>
      <x:c r="D670" t="str">
        <x:v>2026-08-09</x:v>
      </x:c>
      <x:c r="E670" t="n">
        <x:v>66</x:v>
      </x:c>
      <x:c r="F670" t="n">
        <x:v>480650228</x:v>
      </x:c>
      <x:c r="G670" t="str">
        <x:v>让你知道</x:v>
      </x:c>
      <x:c r="H670" t="str">
        <x:v>汪苏泷,G.E.M. 邓紫棋</x:v>
      </x:c>
      <x:c r="I670" t="str">
        <x:v>002V5FGl3Wga6v</x:v>
      </x:c>
      <x:c r="J670" t="str">
        <x:v>False</x:v>
      </x:c>
      <x:c r="K670" t="n">
        <x:v>63</x:v>
      </x:c>
      <x:c r="L670" t="n">
        <x:v>7</x:v>
      </x:c>
      <x:c r="M670" t="n">
        <x:v>11</x:v>
      </x:c>
      <x:c r="N670" t="n">
        <x:v>86.1991</x:v>
      </x:c>
      <x:c r="O670" t="n">
        <x:v>72.51</x:v>
      </x:c>
      <x:c r="P670" t="n">
        <x:v>0</x:v>
      </x:c>
      <x:c r="Q670" t="n">
        <x:v>0</x:v>
      </x:c>
      <x:c r="R670" t="n">
        <x:v>4.92</x:v>
      </x:c>
      <x:c r="S670" t="n">
        <x:v>51.9</x:v>
      </x:c>
      <x:c r="T670" t="str">
        <x:v>https://y.gtimg.cn/music/photo_new/T002R500x500M000000A1M903iHvyT_4.jpg</x:v>
      </x:c>
      <x:c r="U670" s="24" t="str">
        <x:f>IFERROR(VLOOKUP(I670,'07_字典与参数'!$G$5:$J$9,2,FALSE),"未入选")</x:f>
        <x:v>未入选</x:v>
      </x:c>
      <x:c r="V670" s="24" t="str">
        <x:f>IFERROR(VLOOKUP(I670,'07_字典与参数'!$G$5:$J$9,3,FALSE),"—")</x:f>
        <x:v>—</x:v>
      </x:c>
      <x:c r="W670" s="24" t="str">
        <x:f>IF(U670="未入选","否","是")</x:f>
        <x:v>否</x:v>
      </x:c>
    </x:row>
    <x:row r="671">
      <x:c r="A671" t="n">
        <x:v>202631</x:v>
      </x:c>
      <x:c r="B671" t="str">
        <x:v>第31期（08.03-08.09）</x:v>
      </x:c>
      <x:c r="C671" t="str">
        <x:v>2026-08-03</x:v>
      </x:c>
      <x:c r="D671" t="str">
        <x:v>2026-08-09</x:v>
      </x:c>
      <x:c r="E671" t="n">
        <x:v>67</x:v>
      </x:c>
      <x:c r="F671" t="n">
        <x:v>517395426</x:v>
      </x:c>
      <x:c r="G671" t="str">
        <x:v>问爱</x:v>
      </x:c>
      <x:c r="H671" t="str">
        <x:v>Yamy郭颖</x:v>
      </x:c>
      <x:c r="I671" t="str">
        <x:v>002oGI0x1Go47u</x:v>
      </x:c>
      <x:c r="J671" t="str">
        <x:v>False</x:v>
      </x:c>
      <x:c r="K671" t="n">
        <x:v>74</x:v>
      </x:c>
      <x:c r="L671" t="n">
        <x:v>2</x:v>
      </x:c>
      <x:c r="M671" t="n">
        <x:v>67</x:v>
      </x:c>
      <x:c r="N671" t="n">
        <x:v>85.8429</x:v>
      </x:c>
      <x:c r="O671" t="n">
        <x:v>74.73</x:v>
      </x:c>
      <x:c r="P671" t="n">
        <x:v>0</x:v>
      </x:c>
      <x:c r="Q671" t="n">
        <x:v>0</x:v>
      </x:c>
      <x:c r="R671" t="n">
        <x:v>11.44</x:v>
      </x:c>
      <x:c r="S671" t="n">
        <x:v>41.93</x:v>
      </x:c>
      <x:c r="T671" t="str">
        <x:v>https://y.gtimg.cn/music/photo_new/T002R500x500M000000nsQXX2AYOBd_1.jpg</x:v>
      </x:c>
      <x:c r="U671" s="24" t="str">
        <x:f>IFERROR(VLOOKUP(I671,'07_字典与参数'!$G$5:$J$9,2,FALSE),"未入选")</x:f>
        <x:v>未入选</x:v>
      </x:c>
      <x:c r="V671" s="24" t="str">
        <x:f>IFERROR(VLOOKUP(I671,'07_字典与参数'!$G$5:$J$9,3,FALSE),"—")</x:f>
        <x:v>—</x:v>
      </x:c>
      <x:c r="W671" s="24" t="str">
        <x:f>IF(U671="未入选","否","是")</x:f>
        <x:v>否</x:v>
      </x:c>
    </x:row>
    <x:row r="672">
      <x:c r="A672" t="n">
        <x:v>202631</x:v>
      </x:c>
      <x:c r="B672" t="str">
        <x:v>第31期（08.03-08.09）</x:v>
      </x:c>
      <x:c r="C672" t="str">
        <x:v>2026-08-03</x:v>
      </x:c>
      <x:c r="D672" t="str">
        <x:v>2026-08-09</x:v>
      </x:c>
      <x:c r="E672" t="n">
        <x:v>68</x:v>
      </x:c>
      <x:c r="F672" t="n">
        <x:v>466782905</x:v>
      </x:c>
      <x:c r="G672" t="str">
        <x:v>梦底</x:v>
      </x:c>
      <x:c r="H672" t="str">
        <x:v>海来阿木</x:v>
      </x:c>
      <x:c r="I672" t="str">
        <x:v>001bG0HK1bhUgX</x:v>
      </x:c>
      <x:c r="J672" t="str">
        <x:v>False</x:v>
      </x:c>
      <x:c r="K672" t="n">
        <x:v>67</x:v>
      </x:c>
      <x:c r="L672" t="n">
        <x:v>23</x:v>
      </x:c>
      <x:c r="M672" t="n">
        <x:v>9</x:v>
      </x:c>
      <x:c r="N672" t="n">
        <x:v>85.83845</x:v>
      </x:c>
      <x:c r="O672" t="n">
        <x:v>74.83</x:v>
      </x:c>
      <x:c r="P672" t="n">
        <x:v>0</x:v>
      </x:c>
      <x:c r="Q672" t="n">
        <x:v>0</x:v>
      </x:c>
      <x:c r="R672" t="n">
        <x:v>25.06</x:v>
      </x:c>
      <x:c r="S672" t="n">
        <x:v>37.45</x:v>
      </x:c>
      <x:c r="T672" t="str">
        <x:v>https://y.qq.com/music/photo_new/T062R500x500M000002Lcths3JW6kx.jpg</x:v>
      </x:c>
      <x:c r="U672" s="24" t="str">
        <x:f>IFERROR(VLOOKUP(I672,'07_字典与参数'!$G$5:$J$9,2,FALSE),"未入选")</x:f>
        <x:v>未入选</x:v>
      </x:c>
      <x:c r="V672" s="24" t="str">
        <x:f>IFERROR(VLOOKUP(I672,'07_字典与参数'!$G$5:$J$9,3,FALSE),"—")</x:f>
        <x:v>—</x:v>
      </x:c>
      <x:c r="W672" s="24" t="str">
        <x:f>IF(U672="未入选","否","是")</x:f>
        <x:v>否</x:v>
      </x:c>
    </x:row>
    <x:row r="673">
      <x:c r="A673" t="n">
        <x:v>202631</x:v>
      </x:c>
      <x:c r="B673" t="str">
        <x:v>第31期（08.03-08.09）</x:v>
      </x:c>
      <x:c r="C673" t="str">
        <x:v>2026-08-03</x:v>
      </x:c>
      <x:c r="D673" t="str">
        <x:v>2026-08-09</x:v>
      </x:c>
      <x:c r="E673" t="n">
        <x:v>69</x:v>
      </x:c>
      <x:c r="F673" t="n">
        <x:v>538051491</x:v>
      </x:c>
      <x:c r="G673" t="str">
        <x:v>Hope</x:v>
      </x:c>
      <x:c r="H673" t="str">
        <x:v>王力宏</x:v>
      </x:c>
      <x:c r="I673" t="str">
        <x:v>002A38VF0Ra59O</x:v>
      </x:c>
      <x:c r="J673" t="str">
        <x:v>True</x:v>
      </x:c>
      <x:c r="K673" t="n">
        <x:v>0</x:v>
      </x:c>
      <x:c r="L673" t="n">
        <x:v>1</x:v>
      </x:c>
      <x:c r="M673" t="n">
        <x:v>69</x:v>
      </x:c>
      <x:c r="N673" t="n">
        <x:v>85.77797</x:v>
      </x:c>
      <x:c r="O673" t="n">
        <x:v>66.13</x:v>
      </x:c>
      <x:c r="P673" t="n">
        <x:v>0</x:v>
      </x:c>
      <x:c r="Q673" t="n">
        <x:v>0</x:v>
      </x:c>
      <x:c r="R673" t="n">
        <x:v>48.46</x:v>
      </x:c>
      <x:c r="S673" t="n">
        <x:v>50.19</x:v>
      </x:c>
      <x:c r="T673" t="str">
        <x:v>https://y.gtimg.cn/music/photo_new/T002R500x500M000000mBuLo4LE4H4_1.jpg</x:v>
      </x:c>
      <x:c r="U673" s="24" t="str">
        <x:f>IFERROR(VLOOKUP(I673,'07_字典与参数'!$G$5:$J$9,2,FALSE),"未入选")</x:f>
        <x:v>未入选</x:v>
      </x:c>
      <x:c r="V673" s="24" t="str">
        <x:f>IFERROR(VLOOKUP(I673,'07_字典与参数'!$G$5:$J$9,3,FALSE),"—")</x:f>
        <x:v>—</x:v>
      </x:c>
      <x:c r="W673" s="24" t="str">
        <x:f>IF(U673="未入选","否","是")</x:f>
        <x:v>否</x:v>
      </x:c>
    </x:row>
    <x:row r="674">
      <x:c r="A674" t="n">
        <x:v>202631</x:v>
      </x:c>
      <x:c r="B674" t="str">
        <x:v>第31期（08.03-08.09）</x:v>
      </x:c>
      <x:c r="C674" t="str">
        <x:v>2026-08-03</x:v>
      </x:c>
      <x:c r="D674" t="str">
        <x:v>2026-08-09</x:v>
      </x:c>
      <x:c r="E674" t="n">
        <x:v>70</x:v>
      </x:c>
      <x:c r="F674" t="n">
        <x:v>518582456</x:v>
      </x:c>
      <x:c r="G674" t="str">
        <x:v>相思锁</x:v>
      </x:c>
      <x:c r="H674" t="str">
        <x:v>张真源</x:v>
      </x:c>
      <x:c r="I674" t="str">
        <x:v>000EQX6y3kMOYI</x:v>
      </x:c>
      <x:c r="J674" t="str">
        <x:v>False</x:v>
      </x:c>
      <x:c r="K674" t="n">
        <x:v>55</x:v>
      </x:c>
      <x:c r="L674" t="n">
        <x:v>6</x:v>
      </x:c>
      <x:c r="M674" t="n">
        <x:v>2</x:v>
      </x:c>
      <x:c r="N674" t="n">
        <x:v>85.75035</x:v>
      </x:c>
      <x:c r="O674" t="n">
        <x:v>69.68</x:v>
      </x:c>
      <x:c r="P674" t="n">
        <x:v>0</x:v>
      </x:c>
      <x:c r="Q674" t="n">
        <x:v>0</x:v>
      </x:c>
      <x:c r="R674" t="n">
        <x:v>46.33</x:v>
      </x:c>
      <x:c r="S674" t="n">
        <x:v>47.4</x:v>
      </x:c>
      <x:c r="T674" t="str">
        <x:v>https://y.gtimg.cn/music/photo_new/T002R500x500M000003YtOnb3UDtqO_2.jpg</x:v>
      </x:c>
      <x:c r="U674" s="24" t="str">
        <x:f>IFERROR(VLOOKUP(I674,'07_字典与参数'!$G$5:$J$9,2,FALSE),"未入选")</x:f>
        <x:v>未入选</x:v>
      </x:c>
      <x:c r="V674" s="24" t="str">
        <x:f>IFERROR(VLOOKUP(I674,'07_字典与参数'!$G$5:$J$9,3,FALSE),"—")</x:f>
        <x:v>—</x:v>
      </x:c>
      <x:c r="W674" s="24" t="str">
        <x:f>IF(U674="未入选","否","是")</x:f>
        <x:v>否</x:v>
      </x:c>
    </x:row>
    <x:row r="675">
      <x:c r="A675" t="n">
        <x:v>202631</x:v>
      </x:c>
      <x:c r="B675" t="str">
        <x:v>第31期（08.03-08.09）</x:v>
      </x:c>
      <x:c r="C675" t="str">
        <x:v>2026-08-03</x:v>
      </x:c>
      <x:c r="D675" t="str">
        <x:v>2026-08-09</x:v>
      </x:c>
      <x:c r="E675" t="n">
        <x:v>71</x:v>
      </x:c>
      <x:c r="F675" t="n">
        <x:v>467620041</x:v>
      </x:c>
      <x:c r="G675" t="str">
        <x:v>吉量</x:v>
      </x:c>
      <x:c r="H675" t="str">
        <x:v>周深</x:v>
      </x:c>
      <x:c r="I675" t="str">
        <x:v>004VCyBy391azx</x:v>
      </x:c>
      <x:c r="J675" t="str">
        <x:v>False</x:v>
      </x:c>
      <x:c r="K675" t="n">
        <x:v>69</x:v>
      </x:c>
      <x:c r="L675" t="n">
        <x:v>25</x:v>
      </x:c>
      <x:c r="M675" t="n">
        <x:v>1</x:v>
      </x:c>
      <x:c r="N675" t="n">
        <x:v>85.70554</x:v>
      </x:c>
      <x:c r="O675" t="n">
        <x:v>67.97</x:v>
      </x:c>
      <x:c r="P675" t="n">
        <x:v>0</x:v>
      </x:c>
      <x:c r="Q675" t="n">
        <x:v>0</x:v>
      </x:c>
      <x:c r="R675" t="n">
        <x:v>15.12</x:v>
      </x:c>
      <x:c r="S675" t="n">
        <x:v>55.64</x:v>
      </x:c>
      <x:c r="T675" t="str">
        <x:v>https://y.gtimg.cn/music/photo_new/T002R500x500M0000010e79v0CExQN_2.jpg</x:v>
      </x:c>
      <x:c r="U675" s="24" t="str">
        <x:f>IFERROR(VLOOKUP(I675,'07_字典与参数'!$G$5:$J$9,2,FALSE),"未入选")</x:f>
        <x:v>未入选</x:v>
      </x:c>
      <x:c r="V675" s="24" t="str">
        <x:f>IFERROR(VLOOKUP(I675,'07_字典与参数'!$G$5:$J$9,3,FALSE),"—")</x:f>
        <x:v>—</x:v>
      </x:c>
      <x:c r="W675" s="24" t="str">
        <x:f>IF(U675="未入选","否","是")</x:f>
        <x:v>否</x:v>
      </x:c>
    </x:row>
    <x:row r="676">
      <x:c r="A676" t="n">
        <x:v>202631</x:v>
      </x:c>
      <x:c r="B676" t="str">
        <x:v>第31期（08.03-08.09）</x:v>
      </x:c>
      <x:c r="C676" t="str">
        <x:v>2026-08-03</x:v>
      </x:c>
      <x:c r="D676" t="str">
        <x:v>2026-08-09</x:v>
      </x:c>
      <x:c r="E676" t="n">
        <x:v>72</x:v>
      </x:c>
      <x:c r="F676" t="n">
        <x:v>464961899</x:v>
      </x:c>
      <x:c r="G676" t="str">
        <x:v>失眠了</x:v>
      </x:c>
      <x:c r="H676" t="str">
        <x:v>吴琳珂Moske</x:v>
      </x:c>
      <x:c r="I676" t="str">
        <x:v>001TbwI91Lu6kB</x:v>
      </x:c>
      <x:c r="J676" t="str">
        <x:v>False</x:v>
      </x:c>
      <x:c r="K676" t="n">
        <x:v>70</x:v>
      </x:c>
      <x:c r="L676" t="n">
        <x:v>24</x:v>
      </x:c>
      <x:c r="M676" t="n">
        <x:v>19</x:v>
      </x:c>
      <x:c r="N676" t="n">
        <x:v>85.55837</x:v>
      </x:c>
      <x:c r="O676" t="n">
        <x:v>74.98</x:v>
      </x:c>
      <x:c r="P676" t="n">
        <x:v>0</x:v>
      </x:c>
      <x:c r="Q676" t="n">
        <x:v>0</x:v>
      </x:c>
      <x:c r="R676" t="n">
        <x:v>2.74</x:v>
      </x:c>
      <x:c r="S676" t="n">
        <x:v>38.39</x:v>
      </x:c>
      <x:c r="T676" t="str">
        <x:v>https://y.gtimg.cn/music/photo_new/T002R500x500M000001Eq1Sr22DGRf_1.jpg</x:v>
      </x:c>
      <x:c r="U676" s="24" t="str">
        <x:f>IFERROR(VLOOKUP(I676,'07_字典与参数'!$G$5:$J$9,2,FALSE),"未入选")</x:f>
        <x:v>未入选</x:v>
      </x:c>
      <x:c r="V676" s="24" t="str">
        <x:f>IFERROR(VLOOKUP(I676,'07_字典与参数'!$G$5:$J$9,3,FALSE),"—")</x:f>
        <x:v>—</x:v>
      </x:c>
      <x:c r="W676" s="24" t="str">
        <x:f>IF(U676="未入选","否","是")</x:f>
        <x:v>否</x:v>
      </x:c>
    </x:row>
    <x:row r="677">
      <x:c r="A677" t="n">
        <x:v>202631</x:v>
      </x:c>
      <x:c r="B677" t="str">
        <x:v>第31期（08.03-08.09）</x:v>
      </x:c>
      <x:c r="C677" t="str">
        <x:v>2026-08-03</x:v>
      </x:c>
      <x:c r="D677" t="str">
        <x:v>2026-08-09</x:v>
      </x:c>
      <x:c r="E677" t="n">
        <x:v>73</x:v>
      </x:c>
      <x:c r="F677" t="n">
        <x:v>474678725</x:v>
      </x:c>
      <x:c r="G677" t="str">
        <x:v>宠</x:v>
      </x:c>
      <x:c r="H677" t="str">
        <x:v>檀健次</x:v>
      </x:c>
      <x:c r="I677" t="str">
        <x:v>004F7UlD2YXJtR</x:v>
      </x:c>
      <x:c r="J677" t="str">
        <x:v>False</x:v>
      </x:c>
      <x:c r="K677" t="n">
        <x:v>73</x:v>
      </x:c>
      <x:c r="L677" t="n">
        <x:v>21</x:v>
      </x:c>
      <x:c r="M677" t="n">
        <x:v>10</x:v>
      </x:c>
      <x:c r="N677" t="n">
        <x:v>85.45741</x:v>
      </x:c>
      <x:c r="O677" t="n">
        <x:v>61.12</x:v>
      </x:c>
      <x:c r="P677" t="n">
        <x:v>0</x:v>
      </x:c>
      <x:c r="Q677" t="n">
        <x:v>0</x:v>
      </x:c>
      <x:c r="R677" t="n">
        <x:v>19.35</x:v>
      </x:c>
      <x:c r="S677" t="n">
        <x:v>58.87</x:v>
      </x:c>
      <x:c r="T677" t="str">
        <x:v>https://y.gtimg.cn/music/photo_new/T002R500x500M000001pEKRz4LW4Vx_1.jpg</x:v>
      </x:c>
      <x:c r="U677" s="24" t="str">
        <x:f>IFERROR(VLOOKUP(I677,'07_字典与参数'!$G$5:$J$9,2,FALSE),"未入选")</x:f>
        <x:v>未入选</x:v>
      </x:c>
      <x:c r="V677" s="24" t="str">
        <x:f>IFERROR(VLOOKUP(I677,'07_字典与参数'!$G$5:$J$9,3,FALSE),"—")</x:f>
        <x:v>—</x:v>
      </x:c>
      <x:c r="W677" s="24" t="str">
        <x:f>IF(U677="未入选","否","是")</x:f>
        <x:v>否</x:v>
      </x:c>
    </x:row>
    <x:row r="678">
      <x:c r="A678" t="n">
        <x:v>202631</x:v>
      </x:c>
      <x:c r="B678" t="str">
        <x:v>第31期（08.03-08.09）</x:v>
      </x:c>
      <x:c r="C678" t="str">
        <x:v>2026-08-03</x:v>
      </x:c>
      <x:c r="D678" t="str">
        <x:v>2026-08-09</x:v>
      </x:c>
      <x:c r="E678" t="n">
        <x:v>74</x:v>
      </x:c>
      <x:c r="F678" t="n">
        <x:v>513694560</x:v>
      </x:c>
      <x:c r="G678" t="str">
        <x:v>最后的借口</x:v>
      </x:c>
      <x:c r="H678" t="str">
        <x:v>h3R3刘清云,罗可Lorkin</x:v>
      </x:c>
      <x:c r="I678" t="str">
        <x:v>0009ekdK2Ilzld</x:v>
      </x:c>
      <x:c r="J678" t="str">
        <x:v>False</x:v>
      </x:c>
      <x:c r="K678" t="n">
        <x:v>72</x:v>
      </x:c>
      <x:c r="L678" t="n">
        <x:v>5</x:v>
      </x:c>
      <x:c r="M678" t="n">
        <x:v>72</x:v>
      </x:c>
      <x:c r="N678" t="n">
        <x:v>85.37997</x:v>
      </x:c>
      <x:c r="O678" t="n">
        <x:v>74.42</x:v>
      </x:c>
      <x:c r="P678" t="n">
        <x:v>0</x:v>
      </x:c>
      <x:c r="Q678" t="n">
        <x:v>0</x:v>
      </x:c>
      <x:c r="R678" t="n">
        <x:v>9.01</x:v>
      </x:c>
      <x:c r="S678" t="n">
        <x:v>39.47</x:v>
      </x:c>
      <x:c r="T678" t="str">
        <x:v>https://y.gtimg.cn/music/photo_new/T002R500x500M0000031yTwA0yq3b5_1.jpg</x:v>
      </x:c>
      <x:c r="U678" s="24" t="str">
        <x:f>IFERROR(VLOOKUP(I678,'07_字典与参数'!$G$5:$J$9,2,FALSE),"未入选")</x:f>
        <x:v>未入选</x:v>
      </x:c>
      <x:c r="V678" s="24" t="str">
        <x:f>IFERROR(VLOOKUP(I678,'07_字典与参数'!$G$5:$J$9,3,FALSE),"—")</x:f>
        <x:v>—</x:v>
      </x:c>
      <x:c r="W678" s="24" t="str">
        <x:f>IF(U678="未入选","否","是")</x:f>
        <x:v>否</x:v>
      </x:c>
    </x:row>
    <x:row r="679">
      <x:c r="A679" t="n">
        <x:v>202631</x:v>
      </x:c>
      <x:c r="B679" t="str">
        <x:v>第31期（08.03-08.09）</x:v>
      </x:c>
      <x:c r="C679" t="str">
        <x:v>2026-08-03</x:v>
      </x:c>
      <x:c r="D679" t="str">
        <x:v>2026-08-09</x:v>
      </x:c>
      <x:c r="E679" t="n">
        <x:v>75</x:v>
      </x:c>
      <x:c r="F679" t="n">
        <x:v>471987459</x:v>
      </x:c>
      <x:c r="G679" t="str">
        <x:v>无趣生活指南</x:v>
      </x:c>
      <x:c r="H679" t="str">
        <x:v>宋亚轩</x:v>
      </x:c>
      <x:c r="I679" t="str">
        <x:v>004MTdEu3oB5ZR</x:v>
      </x:c>
      <x:c r="J679" t="str">
        <x:v>False</x:v>
      </x:c>
      <x:c r="K679" t="n">
        <x:v>65</x:v>
      </x:c>
      <x:c r="L679" t="n">
        <x:v>22</x:v>
      </x:c>
      <x:c r="M679" t="n">
        <x:v>1</x:v>
      </x:c>
      <x:c r="N679" t="n">
        <x:v>85.36108</x:v>
      </x:c>
      <x:c r="O679" t="n">
        <x:v>58.93</x:v>
      </x:c>
      <x:c r="P679" t="n">
        <x:v>0</x:v>
      </x:c>
      <x:c r="Q679" t="n">
        <x:v>0</x:v>
      </x:c>
      <x:c r="R679" t="n">
        <x:v>10.63</x:v>
      </x:c>
      <x:c r="S679" t="n">
        <x:v>59.94</x:v>
      </x:c>
      <x:c r="T679" t="str">
        <x:v>https://y.gtimg.cn/music/photo_new/T002R500x500M000003Lv1d94F8P3W_1.jpg</x:v>
      </x:c>
      <x:c r="U679" s="24" t="str">
        <x:f>IFERROR(VLOOKUP(I679,'07_字典与参数'!$G$5:$J$9,2,FALSE),"未入选")</x:f>
        <x:v>未入选</x:v>
      </x:c>
      <x:c r="V679" s="24" t="str">
        <x:f>IFERROR(VLOOKUP(I679,'07_字典与参数'!$G$5:$J$9,3,FALSE),"—")</x:f>
        <x:v>—</x:v>
      </x:c>
      <x:c r="W679" s="24" t="str">
        <x:f>IF(U679="未入选","否","是")</x:f>
        <x:v>否</x:v>
      </x:c>
    </x:row>
    <x:row r="680">
      <x:c r="A680" t="n">
        <x:v>202631</x:v>
      </x:c>
      <x:c r="B680" t="str">
        <x:v>第31期（08.03-08.09）</x:v>
      </x:c>
      <x:c r="C680" t="str">
        <x:v>2026-08-03</x:v>
      </x:c>
      <x:c r="D680" t="str">
        <x:v>2026-08-09</x:v>
      </x:c>
      <x:c r="E680" t="n">
        <x:v>76</x:v>
      </x:c>
      <x:c r="F680" t="n">
        <x:v>521720356</x:v>
      </x:c>
      <x:c r="G680" t="str">
        <x:v>疑疑疑</x:v>
      </x:c>
      <x:c r="H680" t="str">
        <x:v>王俊凯</x:v>
      </x:c>
      <x:c r="I680" t="str">
        <x:v>003Y82u91ZIDmO</x:v>
      </x:c>
      <x:c r="J680" t="str">
        <x:v>False</x:v>
      </x:c>
      <x:c r="K680" t="n">
        <x:v>68</x:v>
      </x:c>
      <x:c r="L680" t="n">
        <x:v>6</x:v>
      </x:c>
      <x:c r="M680" t="n">
        <x:v>3</x:v>
      </x:c>
      <x:c r="N680" t="n">
        <x:v>85.1615</x:v>
      </x:c>
      <x:c r="O680" t="n">
        <x:v>70.15</x:v>
      </x:c>
      <x:c r="P680" t="n">
        <x:v>0</x:v>
      </x:c>
      <x:c r="Q680" t="n">
        <x:v>0</x:v>
      </x:c>
      <x:c r="R680" t="n">
        <x:v>31.39</x:v>
      </x:c>
      <x:c r="S680" t="n">
        <x:v>50.44</x:v>
      </x:c>
      <x:c r="T680" t="str">
        <x:v>https://y.qq.com/music/photo_new/T062R500x500M000001RGf6N2Plzq6.jpg</x:v>
      </x:c>
      <x:c r="U680" s="24" t="str">
        <x:f>IFERROR(VLOOKUP(I680,'07_字典与参数'!$G$5:$J$9,2,FALSE),"未入选")</x:f>
        <x:v>未入选</x:v>
      </x:c>
      <x:c r="V680" s="24" t="str">
        <x:f>IFERROR(VLOOKUP(I680,'07_字典与参数'!$G$5:$J$9,3,FALSE),"—")</x:f>
        <x:v>—</x:v>
      </x:c>
      <x:c r="W680" s="24" t="str">
        <x:f>IF(U680="未入选","否","是")</x:f>
        <x:v>否</x:v>
      </x:c>
    </x:row>
    <x:row r="681">
      <x:c r="A681" t="n">
        <x:v>202631</x:v>
      </x:c>
      <x:c r="B681" t="str">
        <x:v>第31期（08.03-08.09）</x:v>
      </x:c>
      <x:c r="C681" t="str">
        <x:v>2026-08-03</x:v>
      </x:c>
      <x:c r="D681" t="str">
        <x:v>2026-08-09</x:v>
      </x:c>
      <x:c r="E681" t="n">
        <x:v>77</x:v>
      </x:c>
      <x:c r="F681" t="n">
        <x:v>492018231</x:v>
      </x:c>
      <x:c r="G681" t="str">
        <x:v>焰 (Born of fire)</x:v>
      </x:c>
      <x:c r="H681" t="str">
        <x:v>喻言</x:v>
      </x:c>
      <x:c r="I681" t="str">
        <x:v>002XikGC1GN4Ug</x:v>
      </x:c>
      <x:c r="J681" t="str">
        <x:v>False</x:v>
      </x:c>
      <x:c r="K681" t="n">
        <x:v>0</x:v>
      </x:c>
      <x:c r="L681" t="n">
        <x:v>11</x:v>
      </x:c>
      <x:c r="M681" t="n">
        <x:v>5</x:v>
      </x:c>
      <x:c r="N681" t="n">
        <x:v>85.1062</x:v>
      </x:c>
      <x:c r="O681" t="n">
        <x:v>44.38</x:v>
      </x:c>
      <x:c r="P681" t="n">
        <x:v>0</x:v>
      </x:c>
      <x:c r="Q681" t="n">
        <x:v>0</x:v>
      </x:c>
      <x:c r="R681" t="n">
        <x:v>2.69</x:v>
      </x:c>
      <x:c r="S681" t="n">
        <x:v>60.81</x:v>
      </x:c>
      <x:c r="T681" t="str">
        <x:v>https://y.gtimg.cn/music/photo_new/T002R500x500M000000rhRU20WI7Ce_1.jpg</x:v>
      </x:c>
      <x:c r="U681" s="24" t="str">
        <x:f>IFERROR(VLOOKUP(I681,'07_字典与参数'!$G$5:$J$9,2,FALSE),"未入选")</x:f>
        <x:v>未入选</x:v>
      </x:c>
      <x:c r="V681" s="24" t="str">
        <x:f>IFERROR(VLOOKUP(I681,'07_字典与参数'!$G$5:$J$9,3,FALSE),"—")</x:f>
        <x:v>—</x:v>
      </x:c>
      <x:c r="W681" s="24" t="str">
        <x:f>IF(U681="未入选","否","是")</x:f>
        <x:v>否</x:v>
      </x:c>
    </x:row>
    <x:row r="682">
      <x:c r="A682" t="n">
        <x:v>202631</x:v>
      </x:c>
      <x:c r="B682" t="str">
        <x:v>第31期（08.03-08.09）</x:v>
      </x:c>
      <x:c r="C682" t="str">
        <x:v>2026-08-03</x:v>
      </x:c>
      <x:c r="D682" t="str">
        <x:v>2026-08-09</x:v>
      </x:c>
      <x:c r="E682" t="n">
        <x:v>78</x:v>
      </x:c>
      <x:c r="F682" t="n">
        <x:v>512003003</x:v>
      </x:c>
      <x:c r="G682" t="str">
        <x:v>逍遥仙</x:v>
      </x:c>
      <x:c r="H682" t="str">
        <x:v>筷子兄弟</x:v>
      </x:c>
      <x:c r="I682" t="str">
        <x:v>00485M1a40O8Hi</x:v>
      </x:c>
      <x:c r="J682" t="str">
        <x:v>False</x:v>
      </x:c>
      <x:c r="K682" t="n">
        <x:v>85</x:v>
      </x:c>
      <x:c r="L682" t="n">
        <x:v>8</x:v>
      </x:c>
      <x:c r="M682" t="n">
        <x:v>28</x:v>
      </x:c>
      <x:c r="N682" t="n">
        <x:v>85.01141</x:v>
      </x:c>
      <x:c r="O682" t="n">
        <x:v>73.67</x:v>
      </x:c>
      <x:c r="P682" t="n">
        <x:v>0</x:v>
      </x:c>
      <x:c r="Q682" t="n">
        <x:v>0</x:v>
      </x:c>
      <x:c r="R682" t="n">
        <x:v>25.14</x:v>
      </x:c>
      <x:c r="S682" t="n">
        <x:v>23.81</x:v>
      </x:c>
      <x:c r="T682" t="str">
        <x:v>https://y.gtimg.cn/music/photo_new/T002R500x500M000002z6UmJ3m71jH_2.jpg</x:v>
      </x:c>
      <x:c r="U682" s="24" t="str">
        <x:f>IFERROR(VLOOKUP(I682,'07_字典与参数'!$G$5:$J$9,2,FALSE),"未入选")</x:f>
        <x:v>未入选</x:v>
      </x:c>
      <x:c r="V682" s="24" t="str">
        <x:f>IFERROR(VLOOKUP(I682,'07_字典与参数'!$G$5:$J$9,3,FALSE),"—")</x:f>
        <x:v>—</x:v>
      </x:c>
      <x:c r="W682" s="24" t="str">
        <x:f>IF(U682="未入选","否","是")</x:f>
        <x:v>否</x:v>
      </x:c>
    </x:row>
    <x:row r="683">
      <x:c r="A683" t="n">
        <x:v>202631</x:v>
      </x:c>
      <x:c r="B683" t="str">
        <x:v>第31期（08.03-08.09）</x:v>
      </x:c>
      <x:c r="C683" t="str">
        <x:v>2026-08-03</x:v>
      </x:c>
      <x:c r="D683" t="str">
        <x:v>2026-08-09</x:v>
      </x:c>
      <x:c r="E683" t="n">
        <x:v>79</x:v>
      </x:c>
      <x:c r="F683" t="n">
        <x:v>481957782</x:v>
      </x:c>
      <x:c r="G683" t="str">
        <x:v>烟花街</x:v>
      </x:c>
      <x:c r="H683" t="str">
        <x:v>崔十八,听潮阁</x:v>
      </x:c>
      <x:c r="I683" t="str">
        <x:v>002EsPoW4eUnsu</x:v>
      </x:c>
      <x:c r="J683" t="str">
        <x:v>False</x:v>
      </x:c>
      <x:c r="K683" t="n">
        <x:v>90</x:v>
      </x:c>
      <x:c r="L683" t="n">
        <x:v>7</x:v>
      </x:c>
      <x:c r="M683" t="n">
        <x:v>52</x:v>
      </x:c>
      <x:c r="N683" t="n">
        <x:v>84.98841</x:v>
      </x:c>
      <x:c r="O683" t="n">
        <x:v>50.47</x:v>
      </x:c>
      <x:c r="P683" t="n">
        <x:v>0</x:v>
      </x:c>
      <x:c r="Q683" t="n">
        <x:v>0</x:v>
      </x:c>
      <x:c r="R683" t="n">
        <x:v>10.29</x:v>
      </x:c>
      <x:c r="S683" t="n">
        <x:v>60.26</x:v>
      </x:c>
      <x:c r="T683" t="str">
        <x:v>https://y.gtimg.cn/music/photo_new/T002R500x500M000003VWOiA0YwIBI_1.jpg</x:v>
      </x:c>
      <x:c r="U683" s="24" t="str">
        <x:f>IFERROR(VLOOKUP(I683,'07_字典与参数'!$G$5:$J$9,2,FALSE),"未入选")</x:f>
        <x:v>未入选</x:v>
      </x:c>
      <x:c r="V683" s="24" t="str">
        <x:f>IFERROR(VLOOKUP(I683,'07_字典与参数'!$G$5:$J$9,3,FALSE),"—")</x:f>
        <x:v>—</x:v>
      </x:c>
      <x:c r="W683" s="24" t="str">
        <x:f>IF(U683="未入选","否","是")</x:f>
        <x:v>否</x:v>
      </x:c>
    </x:row>
    <x:row r="684">
      <x:c r="A684" t="n">
        <x:v>202631</x:v>
      </x:c>
      <x:c r="B684" t="str">
        <x:v>第31期（08.03-08.09）</x:v>
      </x:c>
      <x:c r="C684" t="str">
        <x:v>2026-08-03</x:v>
      </x:c>
      <x:c r="D684" t="str">
        <x:v>2026-08-09</x:v>
      </x:c>
      <x:c r="E684" t="n">
        <x:v>80</x:v>
      </x:c>
      <x:c r="F684" t="n">
        <x:v>532831826</x:v>
      </x:c>
      <x:c r="G684" t="str">
        <x:v>ZESTY</x:v>
      </x:c>
      <x:c r="H684" t="str">
        <x:v>袁一琦</x:v>
      </x:c>
      <x:c r="I684" t="str">
        <x:v>004Ymb8G1GWzPk</x:v>
      </x:c>
      <x:c r="J684" t="str">
        <x:v>False</x:v>
      </x:c>
      <x:c r="K684" t="n">
        <x:v>71</x:v>
      </x:c>
      <x:c r="L684" t="n">
        <x:v>4</x:v>
      </x:c>
      <x:c r="M684" t="n">
        <x:v>6</x:v>
      </x:c>
      <x:c r="N684" t="n">
        <x:v>84.90183</x:v>
      </x:c>
      <x:c r="O684" t="n">
        <x:v>54.89</x:v>
      </x:c>
      <x:c r="P684" t="n">
        <x:v>0</x:v>
      </x:c>
      <x:c r="Q684" t="n">
        <x:v>0</x:v>
      </x:c>
      <x:c r="R684" t="n">
        <x:v>5.84</x:v>
      </x:c>
      <x:c r="S684" t="n">
        <x:v>59.61</x:v>
      </x:c>
      <x:c r="T684" t="str">
        <x:v>https://y.gtimg.cn/music/photo_new/T002R500x500M000003qltM2469LMm_2.jpg</x:v>
      </x:c>
      <x:c r="U684" s="24" t="str">
        <x:f>IFERROR(VLOOKUP(I684,'07_字典与参数'!$G$5:$J$9,2,FALSE),"未入选")</x:f>
        <x:v>未入选</x:v>
      </x:c>
      <x:c r="V684" s="24" t="str">
        <x:f>IFERROR(VLOOKUP(I684,'07_字典与参数'!$G$5:$J$9,3,FALSE),"—")</x:f>
        <x:v>—</x:v>
      </x:c>
      <x:c r="W684" s="24" t="str">
        <x:f>IF(U684="未入选","否","是")</x:f>
        <x:v>否</x:v>
      </x:c>
    </x:row>
    <x:row r="685">
      <x:c r="A685" t="n">
        <x:v>202631</x:v>
      </x:c>
      <x:c r="B685" t="str">
        <x:v>第31期（08.03-08.09）</x:v>
      </x:c>
      <x:c r="C685" t="str">
        <x:v>2026-08-03</x:v>
      </x:c>
      <x:c r="D685" t="str">
        <x:v>2026-08-09</x:v>
      </x:c>
      <x:c r="E685" t="n">
        <x:v>81</x:v>
      </x:c>
      <x:c r="F685" t="n">
        <x:v>521720340</x:v>
      </x:c>
      <x:c r="G685" t="str">
        <x:v>如期</x:v>
      </x:c>
      <x:c r="H685" t="str">
        <x:v>王俊凯</x:v>
      </x:c>
      <x:c r="I685" t="str">
        <x:v>000n3xE32Sdk1C</x:v>
      </x:c>
      <x:c r="J685" t="str">
        <x:v>False</x:v>
      </x:c>
      <x:c r="K685" t="n">
        <x:v>78</x:v>
      </x:c>
      <x:c r="L685" t="n">
        <x:v>6</x:v>
      </x:c>
      <x:c r="M685" t="n">
        <x:v>25</x:v>
      </x:c>
      <x:c r="N685" t="n">
        <x:v>84.6265</x:v>
      </x:c>
      <x:c r="O685" t="n">
        <x:v>67.73</x:v>
      </x:c>
      <x:c r="P685" t="n">
        <x:v>0</x:v>
      </x:c>
      <x:c r="Q685" t="n">
        <x:v>0</x:v>
      </x:c>
      <x:c r="R685" t="n">
        <x:v>32.25</x:v>
      </x:c>
      <x:c r="S685" t="n">
        <x:v>50.65</x:v>
      </x:c>
      <x:c r="T685" t="str">
        <x:v>https://y.qq.com/music/photo_new/T062R500x500M000000axnOS3fnS48.jpg</x:v>
      </x:c>
      <x:c r="U685" s="24" t="str">
        <x:f>IFERROR(VLOOKUP(I685,'07_字典与参数'!$G$5:$J$9,2,FALSE),"未入选")</x:f>
        <x:v>未入选</x:v>
      </x:c>
      <x:c r="V685" s="24" t="str">
        <x:f>IFERROR(VLOOKUP(I685,'07_字典与参数'!$G$5:$J$9,3,FALSE),"—")</x:f>
        <x:v>—</x:v>
      </x:c>
      <x:c r="W685" s="24" t="str">
        <x:f>IF(U685="未入选","否","是")</x:f>
        <x:v>否</x:v>
      </x:c>
    </x:row>
    <x:row r="686">
      <x:c r="A686" t="n">
        <x:v>202631</x:v>
      </x:c>
      <x:c r="B686" t="str">
        <x:v>第31期（08.03-08.09）</x:v>
      </x:c>
      <x:c r="C686" t="str">
        <x:v>2026-08-03</x:v>
      </x:c>
      <x:c r="D686" t="str">
        <x:v>2026-08-09</x:v>
      </x:c>
      <x:c r="E686" t="n">
        <x:v>82</x:v>
      </x:c>
      <x:c r="F686" t="n">
        <x:v>530004147</x:v>
      </x:c>
      <x:c r="G686" t="str">
        <x:v>红尘慌慌</x:v>
      </x:c>
      <x:c r="H686" t="str">
        <x:v>周深</x:v>
      </x:c>
      <x:c r="I686" t="str">
        <x:v>003ARFyH2himMe</x:v>
      </x:c>
      <x:c r="J686" t="str">
        <x:v>False</x:v>
      </x:c>
      <x:c r="K686" t="n">
        <x:v>64</x:v>
      </x:c>
      <x:c r="L686" t="n">
        <x:v>5</x:v>
      </x:c>
      <x:c r="M686" t="n">
        <x:v>1</x:v>
      </x:c>
      <x:c r="N686" t="n">
        <x:v>84.54468</x:v>
      </x:c>
      <x:c r="O686" t="n">
        <x:v>70.35</x:v>
      </x:c>
      <x:c r="P686" t="n">
        <x:v>0</x:v>
      </x:c>
      <x:c r="Q686" t="n">
        <x:v>0</x:v>
      </x:c>
      <x:c r="R686" t="n">
        <x:v>10.83</x:v>
      </x:c>
      <x:c r="S686" t="n">
        <x:v>50.35</x:v>
      </x:c>
      <x:c r="T686" t="str">
        <x:v>https://y.qq.com/music/photo_new/T062R500x500M000002P5PQ93Mb5a2.jpg</x:v>
      </x:c>
      <x:c r="U686" s="24" t="str">
        <x:f>IFERROR(VLOOKUP(I686,'07_字典与参数'!$G$5:$J$9,2,FALSE),"未入选")</x:f>
        <x:v>未入选</x:v>
      </x:c>
      <x:c r="V686" s="24" t="str">
        <x:f>IFERROR(VLOOKUP(I686,'07_字典与参数'!$G$5:$J$9,3,FALSE),"—")</x:f>
        <x:v>—</x:v>
      </x:c>
      <x:c r="W686" s="24" t="str">
        <x:f>IF(U686="未入选","否","是")</x:f>
        <x:v>否</x:v>
      </x:c>
    </x:row>
    <x:row r="687">
      <x:c r="A687" t="n">
        <x:v>202631</x:v>
      </x:c>
      <x:c r="B687" t="str">
        <x:v>第31期（08.03-08.09）</x:v>
      </x:c>
      <x:c r="C687" t="str">
        <x:v>2026-08-03</x:v>
      </x:c>
      <x:c r="D687" t="str">
        <x:v>2026-08-09</x:v>
      </x:c>
      <x:c r="E687" t="n">
        <x:v>83</x:v>
      </x:c>
      <x:c r="F687" t="n">
        <x:v>531359848</x:v>
      </x:c>
      <x:c r="G687" t="str">
        <x:v>我只要我开心</x:v>
      </x:c>
      <x:c r="H687" t="str">
        <x:v>时代少年团</x:v>
      </x:c>
      <x:c r="I687" t="str">
        <x:v>0047kieu3p1Zrf</x:v>
      </x:c>
      <x:c r="J687" t="str">
        <x:v>False</x:v>
      </x:c>
      <x:c r="K687" t="n">
        <x:v>77</x:v>
      </x:c>
      <x:c r="L687" t="n">
        <x:v>4</x:v>
      </x:c>
      <x:c r="M687" t="n">
        <x:v>4</x:v>
      </x:c>
      <x:c r="N687" t="n">
        <x:v>84.38467</x:v>
      </x:c>
      <x:c r="O687" t="n">
        <x:v>70.92</x:v>
      </x:c>
      <x:c r="P687" t="n">
        <x:v>0</x:v>
      </x:c>
      <x:c r="Q687" t="n">
        <x:v>0</x:v>
      </x:c>
      <x:c r="R687" t="n">
        <x:v>27.05</x:v>
      </x:c>
      <x:c r="S687" t="n">
        <x:v>45.46</x:v>
      </x:c>
      <x:c r="T687" t="str">
        <x:v>https://y.gtimg.cn/music/photo_new/T002R500x500M000002zvO7r0gSXWZ_1.jpg</x:v>
      </x:c>
      <x:c r="U687" s="24" t="str">
        <x:f>IFERROR(VLOOKUP(I687,'07_字典与参数'!$G$5:$J$9,2,FALSE),"未入选")</x:f>
        <x:v>未入选</x:v>
      </x:c>
      <x:c r="V687" s="24" t="str">
        <x:f>IFERROR(VLOOKUP(I687,'07_字典与参数'!$G$5:$J$9,3,FALSE),"—")</x:f>
        <x:v>—</x:v>
      </x:c>
      <x:c r="W687" s="24" t="str">
        <x:f>IF(U687="未入选","否","是")</x:f>
        <x:v>否</x:v>
      </x:c>
    </x:row>
    <x:row r="688">
      <x:c r="A688" t="n">
        <x:v>202631</x:v>
      </x:c>
      <x:c r="B688" t="str">
        <x:v>第31期（08.03-08.09）</x:v>
      </x:c>
      <x:c r="C688" t="str">
        <x:v>2026-08-03</x:v>
      </x:c>
      <x:c r="D688" t="str">
        <x:v>2026-08-09</x:v>
      </x:c>
      <x:c r="E688" t="n">
        <x:v>84</x:v>
      </x:c>
      <x:c r="F688" t="n">
        <x:v>522467105</x:v>
      </x:c>
      <x:c r="G688" t="str">
        <x:v>北京的雨</x:v>
      </x:c>
      <x:c r="H688" t="str">
        <x:v>张艺兴</x:v>
      </x:c>
      <x:c r="I688" t="str">
        <x:v>002ubhKy3qBLES</x:v>
      </x:c>
      <x:c r="J688" t="str">
        <x:v>False</x:v>
      </x:c>
      <x:c r="K688" t="n">
        <x:v>36</x:v>
      </x:c>
      <x:c r="L688" t="n">
        <x:v>4</x:v>
      </x:c>
      <x:c r="M688" t="n">
        <x:v>11</x:v>
      </x:c>
      <x:c r="N688" t="n">
        <x:v>84.26811</x:v>
      </x:c>
      <x:c r="O688" t="n">
        <x:v>67.5</x:v>
      </x:c>
      <x:c r="P688" t="n">
        <x:v>0</x:v>
      </x:c>
      <x:c r="Q688" t="n">
        <x:v>0</x:v>
      </x:c>
      <x:c r="R688" t="n">
        <x:v>42.72</x:v>
      </x:c>
      <x:c r="S688" t="n">
        <x:v>44.7</x:v>
      </x:c>
      <x:c r="T688" t="str">
        <x:v>https://y.qq.com/music/photo_new/T062R500x500M0000004cYUv1WOARD.jpg</x:v>
      </x:c>
      <x:c r="U688" s="24" t="str">
        <x:f>IFERROR(VLOOKUP(I688,'07_字典与参数'!$G$5:$J$9,2,FALSE),"未入选")</x:f>
        <x:v>未入选</x:v>
      </x:c>
      <x:c r="V688" s="24" t="str">
        <x:f>IFERROR(VLOOKUP(I688,'07_字典与参数'!$G$5:$J$9,3,FALSE),"—")</x:f>
        <x:v>—</x:v>
      </x:c>
      <x:c r="W688" s="24" t="str">
        <x:f>IF(U688="未入选","否","是")</x:f>
        <x:v>否</x:v>
      </x:c>
    </x:row>
    <x:row r="689">
      <x:c r="A689" t="n">
        <x:v>202631</x:v>
      </x:c>
      <x:c r="B689" t="str">
        <x:v>第31期（08.03-08.09）</x:v>
      </x:c>
      <x:c r="C689" t="str">
        <x:v>2026-08-03</x:v>
      </x:c>
      <x:c r="D689" t="str">
        <x:v>2026-08-09</x:v>
      </x:c>
      <x:c r="E689" t="n">
        <x:v>85</x:v>
      </x:c>
      <x:c r="F689" t="n">
        <x:v>532518888</x:v>
      </x:c>
      <x:c r="G689" t="str">
        <x:v>都有这一天</x:v>
      </x:c>
      <x:c r="H689" t="str">
        <x:v>老中青民谣,小巷先生</x:v>
      </x:c>
      <x:c r="I689" t="str">
        <x:v>000hceWt1DIler</x:v>
      </x:c>
      <x:c r="J689" t="str">
        <x:v>True</x:v>
      </x:c>
      <x:c r="K689" t="n">
        <x:v>106</x:v>
      </x:c>
      <x:c r="L689" t="n">
        <x:v>1</x:v>
      </x:c>
      <x:c r="M689" t="n">
        <x:v>85</x:v>
      </x:c>
      <x:c r="N689" t="n">
        <x:v>84.08332</x:v>
      </x:c>
      <x:c r="O689" t="n">
        <x:v>71.92</x:v>
      </x:c>
      <x:c r="P689" t="n">
        <x:v>0</x:v>
      </x:c>
      <x:c r="Q689" t="n">
        <x:v>0</x:v>
      </x:c>
      <x:c r="R689" t="n">
        <x:v>3.41</x:v>
      </x:c>
      <x:c r="S689" t="n">
        <x:v>43.64</x:v>
      </x:c>
      <x:c r="T689" t="str">
        <x:v>https://y.gtimg.cn/music/photo_new/T002R500x500M000002CgPwJ1Sz9aU_1.jpg</x:v>
      </x:c>
      <x:c r="U689" s="24" t="str">
        <x:f>IFERROR(VLOOKUP(I689,'07_字典与参数'!$G$5:$J$9,2,FALSE),"未入选")</x:f>
        <x:v>未入选</x:v>
      </x:c>
      <x:c r="V689" s="24" t="str">
        <x:f>IFERROR(VLOOKUP(I689,'07_字典与参数'!$G$5:$J$9,3,FALSE),"—")</x:f>
        <x:v>—</x:v>
      </x:c>
      <x:c r="W689" s="24" t="str">
        <x:f>IF(U689="未入选","否","是")</x:f>
        <x:v>否</x:v>
      </x:c>
    </x:row>
    <x:row r="690">
      <x:c r="A690" t="n">
        <x:v>202631</x:v>
      </x:c>
      <x:c r="B690" t="str">
        <x:v>第31期（08.03-08.09）</x:v>
      </x:c>
      <x:c r="C690" t="str">
        <x:v>2026-08-03</x:v>
      </x:c>
      <x:c r="D690" t="str">
        <x:v>2026-08-09</x:v>
      </x:c>
      <x:c r="E690" t="n">
        <x:v>86</x:v>
      </x:c>
      <x:c r="F690" t="n">
        <x:v>535195004</x:v>
      </x:c>
      <x:c r="G690" t="str">
        <x:v>竞速游戏</x:v>
      </x:c>
      <x:c r="H690" t="str">
        <x:v>TOP登陆少年组合</x:v>
      </x:c>
      <x:c r="I690" t="str">
        <x:v>002cmsGd2ClwVJ</x:v>
      </x:c>
      <x:c r="J690" t="str">
        <x:v>False</x:v>
      </x:c>
      <x:c r="K690" t="n">
        <x:v>53</x:v>
      </x:c>
      <x:c r="L690" t="n">
        <x:v>3</x:v>
      </x:c>
      <x:c r="M690" t="n">
        <x:v>26</x:v>
      </x:c>
      <x:c r="N690" t="n">
        <x:v>83.95613</x:v>
      </x:c>
      <x:c r="O690" t="n">
        <x:v>71.29</x:v>
      </x:c>
      <x:c r="P690" t="n">
        <x:v>0</x:v>
      </x:c>
      <x:c r="Q690" t="n">
        <x:v>0</x:v>
      </x:c>
      <x:c r="R690" t="n">
        <x:v>20.6</x:v>
      </x:c>
      <x:c r="S690" t="n">
        <x:v>43.71</x:v>
      </x:c>
      <x:c r="T690" t="str">
        <x:v>https://y.gtimg.cn/music/photo_new/T002R500x500M000000ji8iX05RUPt_1.jpg</x:v>
      </x:c>
      <x:c r="U690" s="24" t="str">
        <x:f>IFERROR(VLOOKUP(I690,'07_字典与参数'!$G$5:$J$9,2,FALSE),"未入选")</x:f>
        <x:v>未入选</x:v>
      </x:c>
      <x:c r="V690" s="24" t="str">
        <x:f>IFERROR(VLOOKUP(I690,'07_字典与参数'!$G$5:$J$9,3,FALSE),"—")</x:f>
        <x:v>—</x:v>
      </x:c>
      <x:c r="W690" s="24" t="str">
        <x:f>IF(U690="未入选","否","是")</x:f>
        <x:v>否</x:v>
      </x:c>
    </x:row>
    <x:row r="691">
      <x:c r="A691" t="n">
        <x:v>202631</x:v>
      </x:c>
      <x:c r="B691" t="str">
        <x:v>第31期（08.03-08.09）</x:v>
      </x:c>
      <x:c r="C691" t="str">
        <x:v>2026-08-03</x:v>
      </x:c>
      <x:c r="D691" t="str">
        <x:v>2026-08-09</x:v>
      </x:c>
      <x:c r="E691" t="n">
        <x:v>87</x:v>
      </x:c>
      <x:c r="F691" t="n">
        <x:v>517484236</x:v>
      </x:c>
      <x:c r="G691" t="str">
        <x:v>光</x:v>
      </x:c>
      <x:c r="H691" t="str">
        <x:v>陈楚生</x:v>
      </x:c>
      <x:c r="I691" t="str">
        <x:v>004JAWWq0NadAX</x:v>
      </x:c>
      <x:c r="J691" t="str">
        <x:v>False</x:v>
      </x:c>
      <x:c r="K691" t="n">
        <x:v>110</x:v>
      </x:c>
      <x:c r="L691" t="n">
        <x:v>4</x:v>
      </x:c>
      <x:c r="M691" t="n">
        <x:v>57</x:v>
      </x:c>
      <x:c r="N691" t="n">
        <x:v>83.94899</x:v>
      </x:c>
      <x:c r="O691" t="n">
        <x:v>52.27</x:v>
      </x:c>
      <x:c r="P691" t="n">
        <x:v>0</x:v>
      </x:c>
      <x:c r="Q691" t="n">
        <x:v>0</x:v>
      </x:c>
      <x:c r="R691" t="n">
        <x:v>7.23</x:v>
      </x:c>
      <x:c r="S691" t="n">
        <x:v>58.3</x:v>
      </x:c>
      <x:c r="T691" t="str">
        <x:v>https://y.gtimg.cn/music/photo_new/T002R500x500M000002ld9Tt17lb4O_1.jpg</x:v>
      </x:c>
      <x:c r="U691" s="24" t="str">
        <x:f>IFERROR(VLOOKUP(I691,'07_字典与参数'!$G$5:$J$9,2,FALSE),"未入选")</x:f>
        <x:v>未入选</x:v>
      </x:c>
      <x:c r="V691" s="24" t="str">
        <x:f>IFERROR(VLOOKUP(I691,'07_字典与参数'!$G$5:$J$9,3,FALSE),"—")</x:f>
        <x:v>—</x:v>
      </x:c>
      <x:c r="W691" s="24" t="str">
        <x:f>IF(U691="未入选","否","是")</x:f>
        <x:v>否</x:v>
      </x:c>
    </x:row>
    <x:row r="692">
      <x:c r="A692" t="n">
        <x:v>202631</x:v>
      </x:c>
      <x:c r="B692" t="str">
        <x:v>第31期（08.03-08.09）</x:v>
      </x:c>
      <x:c r="C692" t="str">
        <x:v>2026-08-03</x:v>
      </x:c>
      <x:c r="D692" t="str">
        <x:v>2026-08-09</x:v>
      </x:c>
      <x:c r="E692" t="n">
        <x:v>88</x:v>
      </x:c>
      <x:c r="F692" t="n">
        <x:v>521720344</x:v>
      </x:c>
      <x:c r="G692" t="str">
        <x:v>无声潮汐</x:v>
      </x:c>
      <x:c r="H692" t="str">
        <x:v>王俊凯</x:v>
      </x:c>
      <x:c r="I692" t="str">
        <x:v>002OhQnJ2tqnT6</x:v>
      </x:c>
      <x:c r="J692" t="str">
        <x:v>False</x:v>
      </x:c>
      <x:c r="K692" t="n">
        <x:v>98</x:v>
      </x:c>
      <x:c r="L692" t="n">
        <x:v>6</x:v>
      </x:c>
      <x:c r="M692" t="n">
        <x:v>26</x:v>
      </x:c>
      <x:c r="N692" t="n">
        <x:v>83.94552</x:v>
      </x:c>
      <x:c r="O692" t="n">
        <x:v>66.5</x:v>
      </x:c>
      <x:c r="P692" t="n">
        <x:v>0</x:v>
      </x:c>
      <x:c r="Q692" t="n">
        <x:v>0</x:v>
      </x:c>
      <x:c r="R692" t="n">
        <x:v>31.47</x:v>
      </x:c>
      <x:c r="S692" t="n">
        <x:v>50.26</x:v>
      </x:c>
      <x:c r="T692" t="str">
        <x:v>https://y.qq.com/music/photo_new/T062R500x500M000004ATwLB1BZI0b.jpg</x:v>
      </x:c>
      <x:c r="U692" s="24" t="str">
        <x:f>IFERROR(VLOOKUP(I692,'07_字典与参数'!$G$5:$J$9,2,FALSE),"未入选")</x:f>
        <x:v>未入选</x:v>
      </x:c>
      <x:c r="V692" s="24" t="str">
        <x:f>IFERROR(VLOOKUP(I692,'07_字典与参数'!$G$5:$J$9,3,FALSE),"—")</x:f>
        <x:v>—</x:v>
      </x:c>
      <x:c r="W692" s="24" t="str">
        <x:f>IF(U692="未入选","否","是")</x:f>
        <x:v>否</x:v>
      </x:c>
    </x:row>
    <x:row r="693">
      <x:c r="A693" t="n">
        <x:v>202631</x:v>
      </x:c>
      <x:c r="B693" t="str">
        <x:v>第31期（08.03-08.09）</x:v>
      </x:c>
      <x:c r="C693" t="str">
        <x:v>2026-08-03</x:v>
      </x:c>
      <x:c r="D693" t="str">
        <x:v>2026-08-09</x:v>
      </x:c>
      <x:c r="E693" t="n">
        <x:v>89</x:v>
      </x:c>
      <x:c r="F693" t="n">
        <x:v>530763134</x:v>
      </x:c>
      <x:c r="G693" t="str">
        <x:v>你我怎么两清(甲乙丙丁)</x:v>
      </x:c>
      <x:c r="H693" t="str">
        <x:v>半糖记</x:v>
      </x:c>
      <x:c r="I693" t="str">
        <x:v>0023h5da24x3Ka</x:v>
      </x:c>
      <x:c r="J693" t="str">
        <x:v>True</x:v>
      </x:c>
      <x:c r="K693" t="n">
        <x:v>0</x:v>
      </x:c>
      <x:c r="L693" t="n">
        <x:v>1</x:v>
      </x:c>
      <x:c r="M693" t="n">
        <x:v>89</x:v>
      </x:c>
      <x:c r="N693" t="n">
        <x:v>83.9329</x:v>
      </x:c>
      <x:c r="O693" t="n">
        <x:v>73.21</x:v>
      </x:c>
      <x:c r="P693" t="n">
        <x:v>0</x:v>
      </x:c>
      <x:c r="Q693" t="n">
        <x:v>0</x:v>
      </x:c>
      <x:c r="R693" t="n">
        <x:v>10.82</x:v>
      </x:c>
      <x:c r="S693" t="n">
        <x:v>15.91</x:v>
      </x:c>
      <x:c r="T693" t="str">
        <x:v>https://y.gtimg.cn/music/photo_new/T002R500x500M000001PxsiB1VcKdm_1.jpg</x:v>
      </x:c>
      <x:c r="U693" s="24" t="str">
        <x:f>IFERROR(VLOOKUP(I693,'07_字典与参数'!$G$5:$J$9,2,FALSE),"未入选")</x:f>
        <x:v>未入选</x:v>
      </x:c>
      <x:c r="V693" s="24" t="str">
        <x:f>IFERROR(VLOOKUP(I693,'07_字典与参数'!$G$5:$J$9,3,FALSE),"—")</x:f>
        <x:v>—</x:v>
      </x:c>
      <x:c r="W693" s="24" t="str">
        <x:f>IF(U693="未入选","否","是")</x:f>
        <x:v>否</x:v>
      </x:c>
    </x:row>
    <x:row r="694">
      <x:c r="A694" t="n">
        <x:v>202631</x:v>
      </x:c>
      <x:c r="B694" t="str">
        <x:v>第31期（08.03-08.09）</x:v>
      </x:c>
      <x:c r="C694" t="str">
        <x:v>2026-08-03</x:v>
      </x:c>
      <x:c r="D694" t="str">
        <x:v>2026-08-09</x:v>
      </x:c>
      <x:c r="E694" t="n">
        <x:v>90</x:v>
      </x:c>
      <x:c r="F694" t="n">
        <x:v>472514843</x:v>
      </x:c>
      <x:c r="G694" t="str">
        <x:v>问你一个人类梦寐以求的深奥问题</x:v>
      </x:c>
      <x:c r="H694" t="str">
        <x:v>汪苏泷</x:v>
      </x:c>
      <x:c r="I694" t="str">
        <x:v>003O2jAx2Z8mad</x:v>
      </x:c>
      <x:c r="J694" t="str">
        <x:v>False</x:v>
      </x:c>
      <x:c r="K694" t="n">
        <x:v>94</x:v>
      </x:c>
      <x:c r="L694" t="n">
        <x:v>22</x:v>
      </x:c>
      <x:c r="M694" t="n">
        <x:v>5</x:v>
      </x:c>
      <x:c r="N694" t="n">
        <x:v>83.91446</x:v>
      </x:c>
      <x:c r="O694" t="n">
        <x:v>68.05</x:v>
      </x:c>
      <x:c r="P694" t="n">
        <x:v>0</x:v>
      </x:c>
      <x:c r="Q694" t="n">
        <x:v>0</x:v>
      </x:c>
      <x:c r="R694" t="n">
        <x:v>28.7</x:v>
      </x:c>
      <x:c r="S694" t="n">
        <x:v>49.3</x:v>
      </x:c>
      <x:c r="T694" t="str">
        <x:v>https://y.qq.com/music/photo_new/T062R500x500M000001MhXjs26yhdQ.jpg</x:v>
      </x:c>
      <x:c r="U694" s="24" t="str">
        <x:f>IFERROR(VLOOKUP(I694,'07_字典与参数'!$G$5:$J$9,2,FALSE),"未入选")</x:f>
        <x:v>未入选</x:v>
      </x:c>
      <x:c r="V694" s="24" t="str">
        <x:f>IFERROR(VLOOKUP(I694,'07_字典与参数'!$G$5:$J$9,3,FALSE),"—")</x:f>
        <x:v>—</x:v>
      </x:c>
      <x:c r="W694" s="24" t="str">
        <x:f>IF(U694="未入选","否","是")</x:f>
        <x:v>否</x:v>
      </x:c>
    </x:row>
    <x:row r="695">
      <x:c r="A695" t="n">
        <x:v>202631</x:v>
      </x:c>
      <x:c r="B695" t="str">
        <x:v>第31期（08.03-08.09）</x:v>
      </x:c>
      <x:c r="C695" t="str">
        <x:v>2026-08-03</x:v>
      </x:c>
      <x:c r="D695" t="str">
        <x:v>2026-08-09</x:v>
      </x:c>
      <x:c r="E695" t="n">
        <x:v>91</x:v>
      </x:c>
      <x:c r="F695" t="n">
        <x:v>530399435</x:v>
      </x:c>
      <x:c r="G695" t="str">
        <x:v>破晓</x:v>
      </x:c>
      <x:c r="H695" t="str">
        <x:v>王俊凯</x:v>
      </x:c>
      <x:c r="I695" t="str">
        <x:v>001IXEnW4OmqLF</x:v>
      </x:c>
      <x:c r="J695" t="str">
        <x:v>False</x:v>
      </x:c>
      <x:c r="K695" t="n">
        <x:v>89</x:v>
      </x:c>
      <x:c r="L695" t="n">
        <x:v>5</x:v>
      </x:c>
      <x:c r="M695" t="n">
        <x:v>1</x:v>
      </x:c>
      <x:c r="N695" t="n">
        <x:v>83.86245</x:v>
      </x:c>
      <x:c r="O695" t="n">
        <x:v>66.77</x:v>
      </x:c>
      <x:c r="P695" t="n">
        <x:v>0</x:v>
      </x:c>
      <x:c r="Q695" t="n">
        <x:v>0</x:v>
      </x:c>
      <x:c r="R695" t="n">
        <x:v>30.15</x:v>
      </x:c>
      <x:c r="S695" t="n">
        <x:v>50.21</x:v>
      </x:c>
      <x:c r="T695" t="str">
        <x:v>https://y.qq.com/music/photo_new/T062R500x500M000004EhfP90kZ9le.jpg</x:v>
      </x:c>
      <x:c r="U695" s="24" t="str">
        <x:f>IFERROR(VLOOKUP(I695,'07_字典与参数'!$G$5:$J$9,2,FALSE),"未入选")</x:f>
        <x:v>未入选</x:v>
      </x:c>
      <x:c r="V695" s="24" t="str">
        <x:f>IFERROR(VLOOKUP(I695,'07_字典与参数'!$G$5:$J$9,3,FALSE),"—")</x:f>
        <x:v>—</x:v>
      </x:c>
      <x:c r="W695" s="24" t="str">
        <x:f>IF(U695="未入选","否","是")</x:f>
        <x:v>否</x:v>
      </x:c>
    </x:row>
    <x:row r="696">
      <x:c r="A696" t="n">
        <x:v>202631</x:v>
      </x:c>
      <x:c r="B696" t="str">
        <x:v>第31期（08.03-08.09）</x:v>
      </x:c>
      <x:c r="C696" t="str">
        <x:v>2026-08-03</x:v>
      </x:c>
      <x:c r="D696" t="str">
        <x:v>2026-08-09</x:v>
      </x:c>
      <x:c r="E696" t="n">
        <x:v>92</x:v>
      </x:c>
      <x:c r="F696" t="n">
        <x:v>534168998</x:v>
      </x:c>
      <x:c r="G696" t="str">
        <x:v>失联雨季</x:v>
      </x:c>
      <x:c r="H696" t="str">
        <x:v>晃儿,千禾星摇调音台</x:v>
      </x:c>
      <x:c r="I696" t="str">
        <x:v>003YvyOb3Xn0Xx</x:v>
      </x:c>
      <x:c r="J696" t="str">
        <x:v>True</x:v>
      </x:c>
      <x:c r="K696" t="n">
        <x:v>0</x:v>
      </x:c>
      <x:c r="L696" t="n">
        <x:v>1</x:v>
      </x:c>
      <x:c r="M696" t="n">
        <x:v>92</x:v>
      </x:c>
      <x:c r="N696" t="n">
        <x:v>83.6832</x:v>
      </x:c>
      <x:c r="O696" t="n">
        <x:v>55.93</x:v>
      </x:c>
      <x:c r="P696" t="n">
        <x:v>0</x:v>
      </x:c>
      <x:c r="Q696" t="n">
        <x:v>0</x:v>
      </x:c>
      <x:c r="R696" t="n">
        <x:v>5.16</x:v>
      </x:c>
      <x:c r="S696" t="n">
        <x:v>57.01</x:v>
      </x:c>
      <x:c r="T696" t="str">
        <x:v>https://y.gtimg.cn/music/photo_new/T002R500x500M000001dThgA3iFdbi_1.jpg</x:v>
      </x:c>
      <x:c r="U696" s="24" t="str">
        <x:f>IFERROR(VLOOKUP(I696,'07_字典与参数'!$G$5:$J$9,2,FALSE),"未入选")</x:f>
        <x:v>未入选</x:v>
      </x:c>
      <x:c r="V696" s="24" t="str">
        <x:f>IFERROR(VLOOKUP(I696,'07_字典与参数'!$G$5:$J$9,3,FALSE),"—")</x:f>
        <x:v>—</x:v>
      </x:c>
      <x:c r="W696" s="24" t="str">
        <x:f>IF(U696="未入选","否","是")</x:f>
        <x:v>否</x:v>
      </x:c>
    </x:row>
    <x:row r="697">
      <x:c r="A697" t="n">
        <x:v>202631</x:v>
      </x:c>
      <x:c r="B697" t="str">
        <x:v>第31期（08.03-08.09）</x:v>
      </x:c>
      <x:c r="C697" t="str">
        <x:v>2026-08-03</x:v>
      </x:c>
      <x:c r="D697" t="str">
        <x:v>2026-08-09</x:v>
      </x:c>
      <x:c r="E697" t="n">
        <x:v>93</x:v>
      </x:c>
      <x:c r="F697" t="n">
        <x:v>491256250</x:v>
      </x:c>
      <x:c r="G697" t="str">
        <x:v>凌绝顶</x:v>
      </x:c>
      <x:c r="H697" t="str">
        <x:v>梓渝</x:v>
      </x:c>
      <x:c r="I697" t="str">
        <x:v>001SZuO01zTv4Y</x:v>
      </x:c>
      <x:c r="J697" t="str">
        <x:v>False</x:v>
      </x:c>
      <x:c r="K697" t="n">
        <x:v>84</x:v>
      </x:c>
      <x:c r="L697" t="n">
        <x:v>12</x:v>
      </x:c>
      <x:c r="M697" t="n">
        <x:v>1</x:v>
      </x:c>
      <x:c r="N697" t="n">
        <x:v>83.67322</x:v>
      </x:c>
      <x:c r="O697" t="n">
        <x:v>63.24</x:v>
      </x:c>
      <x:c r="P697" t="n">
        <x:v>0</x:v>
      </x:c>
      <x:c r="Q697" t="n">
        <x:v>0</x:v>
      </x:c>
      <x:c r="R697" t="n">
        <x:v>23.59</x:v>
      </x:c>
      <x:c r="S697" t="n">
        <x:v>52.79</x:v>
      </x:c>
      <x:c r="T697" t="str">
        <x:v>https://y.gtimg.cn/music/photo_new/T002R500x500M000004bXPkr3OymlI_1.jpg</x:v>
      </x:c>
      <x:c r="U697" s="24" t="str">
        <x:f>IFERROR(VLOOKUP(I697,'07_字典与参数'!$G$5:$J$9,2,FALSE),"未入选")</x:f>
        <x:v>未入选</x:v>
      </x:c>
      <x:c r="V697" s="24" t="str">
        <x:f>IFERROR(VLOOKUP(I697,'07_字典与参数'!$G$5:$J$9,3,FALSE),"—")</x:f>
        <x:v>—</x:v>
      </x:c>
      <x:c r="W697" s="24" t="str">
        <x:f>IF(U697="未入选","否","是")</x:f>
        <x:v>否</x:v>
      </x:c>
    </x:row>
    <x:row r="698">
      <x:c r="A698" t="n">
        <x:v>202631</x:v>
      </x:c>
      <x:c r="B698" t="str">
        <x:v>第31期（08.03-08.09）</x:v>
      </x:c>
      <x:c r="C698" t="str">
        <x:v>2026-08-03</x:v>
      </x:c>
      <x:c r="D698" t="str">
        <x:v>2026-08-09</x:v>
      </x:c>
      <x:c r="E698" t="n">
        <x:v>94</x:v>
      </x:c>
      <x:c r="F698" t="n">
        <x:v>530399437</x:v>
      </x:c>
      <x:c r="G698" t="str">
        <x:v>下一天</x:v>
      </x:c>
      <x:c r="H698" t="str">
        <x:v>王俊凯</x:v>
      </x:c>
      <x:c r="I698" t="str">
        <x:v>002d62eR3BYiWY</x:v>
      </x:c>
      <x:c r="J698" t="str">
        <x:v>False</x:v>
      </x:c>
      <x:c r="K698" t="n">
        <x:v>102</x:v>
      </x:c>
      <x:c r="L698" t="n">
        <x:v>4</x:v>
      </x:c>
      <x:c r="M698" t="n">
        <x:v>9</x:v>
      </x:c>
      <x:c r="N698" t="n">
        <x:v>83.65323</x:v>
      </x:c>
      <x:c r="O698" t="n">
        <x:v>66.07</x:v>
      </x:c>
      <x:c r="P698" t="n">
        <x:v>0</x:v>
      </x:c>
      <x:c r="Q698" t="n">
        <x:v>0</x:v>
      </x:c>
      <x:c r="R698" t="n">
        <x:v>31.22</x:v>
      </x:c>
      <x:c r="S698" t="n">
        <x:v>50.02</x:v>
      </x:c>
      <x:c r="T698" t="str">
        <x:v>https://y.qq.com/music/photo_new/T062R500x500M000000NfJyp11Nuig.jpg</x:v>
      </x:c>
      <x:c r="U698" s="24" t="str">
        <x:f>IFERROR(VLOOKUP(I698,'07_字典与参数'!$G$5:$J$9,2,FALSE),"未入选")</x:f>
        <x:v>未入选</x:v>
      </x:c>
      <x:c r="V698" s="24" t="str">
        <x:f>IFERROR(VLOOKUP(I698,'07_字典与参数'!$G$5:$J$9,3,FALSE),"—")</x:f>
        <x:v>—</x:v>
      </x:c>
      <x:c r="W698" s="24" t="str">
        <x:f>IF(U698="未入选","否","是")</x:f>
        <x:v>否</x:v>
      </x:c>
    </x:row>
    <x:row r="699">
      <x:c r="A699" t="n">
        <x:v>202631</x:v>
      </x:c>
      <x:c r="B699" t="str">
        <x:v>第31期（08.03-08.09）</x:v>
      </x:c>
      <x:c r="C699" t="str">
        <x:v>2026-08-03</x:v>
      </x:c>
      <x:c r="D699" t="str">
        <x:v>2026-08-09</x:v>
      </x:c>
      <x:c r="E699" t="n">
        <x:v>95</x:v>
      </x:c>
      <x:c r="F699" t="n">
        <x:v>478120646</x:v>
      </x:c>
      <x:c r="G699" t="str">
        <x:v>情深深雨濛濛</x:v>
      </x:c>
      <x:c r="H699" t="str">
        <x:v>梓渝</x:v>
      </x:c>
      <x:c r="I699" t="str">
        <x:v>001IodTs2xXctR</x:v>
      </x:c>
      <x:c r="J699" t="str">
        <x:v>False</x:v>
      </x:c>
      <x:c r="K699" t="n">
        <x:v>87</x:v>
      </x:c>
      <x:c r="L699" t="n">
        <x:v>19</x:v>
      </x:c>
      <x:c r="M699" t="n">
        <x:v>1</x:v>
      </x:c>
      <x:c r="N699" t="n">
        <x:v>83.63986</x:v>
      </x:c>
      <x:c r="O699" t="n">
        <x:v>63.08</x:v>
      </x:c>
      <x:c r="P699" t="n">
        <x:v>0</x:v>
      </x:c>
      <x:c r="Q699" t="n">
        <x:v>0</x:v>
      </x:c>
      <x:c r="R699" t="n">
        <x:v>26.49</x:v>
      </x:c>
      <x:c r="S699" t="n">
        <x:v>52.53</x:v>
      </x:c>
      <x:c r="T699" t="str">
        <x:v>https://y.gtimg.cn/music/photo_new/T002R500x500M000004d4d3s0RGI34_1.jpg</x:v>
      </x:c>
      <x:c r="U699" s="24" t="str">
        <x:f>IFERROR(VLOOKUP(I699,'07_字典与参数'!$G$5:$J$9,2,FALSE),"未入选")</x:f>
        <x:v>未入选</x:v>
      </x:c>
      <x:c r="V699" s="24" t="str">
        <x:f>IFERROR(VLOOKUP(I699,'07_字典与参数'!$G$5:$J$9,3,FALSE),"—")</x:f>
        <x:v>—</x:v>
      </x:c>
      <x:c r="W699" s="24" t="str">
        <x:f>IF(U699="未入选","否","是")</x:f>
        <x:v>否</x:v>
      </x:c>
    </x:row>
    <x:row r="700">
      <x:c r="A700" t="n">
        <x:v>202631</x:v>
      </x:c>
      <x:c r="B700" t="str">
        <x:v>第31期（08.03-08.09）</x:v>
      </x:c>
      <x:c r="C700" t="str">
        <x:v>2026-08-03</x:v>
      </x:c>
      <x:c r="D700" t="str">
        <x:v>2026-08-09</x:v>
      </x:c>
      <x:c r="E700" t="n">
        <x:v>96</x:v>
      </x:c>
      <x:c r="F700" t="n">
        <x:v>521720357</x:v>
      </x:c>
      <x:c r="G700" t="str">
        <x:v>Stay</x:v>
      </x:c>
      <x:c r="H700" t="str">
        <x:v>王俊凯</x:v>
      </x:c>
      <x:c r="I700" t="str">
        <x:v>002TplNQ18uPB9</x:v>
      </x:c>
      <x:c r="J700" t="str">
        <x:v>False</x:v>
      </x:c>
      <x:c r="K700" t="n">
        <x:v>100</x:v>
      </x:c>
      <x:c r="L700" t="n">
        <x:v>5</x:v>
      </x:c>
      <x:c r="M700" t="n">
        <x:v>24</x:v>
      </x:c>
      <x:c r="N700" t="n">
        <x:v>83.59238</x:v>
      </x:c>
      <x:c r="O700" t="n">
        <x:v>66.28</x:v>
      </x:c>
      <x:c r="P700" t="n">
        <x:v>0</x:v>
      </x:c>
      <x:c r="Q700" t="n">
        <x:v>0</x:v>
      </x:c>
      <x:c r="R700" t="n">
        <x:v>29.21</x:v>
      </x:c>
      <x:c r="S700" t="n">
        <x:v>50.1</x:v>
      </x:c>
      <x:c r="T700" t="str">
        <x:v>https://y.qq.com/music/photo_new/T062R500x500M000000yKB6w1WY6fo.jpg</x:v>
      </x:c>
      <x:c r="U700" s="24" t="str">
        <x:f>IFERROR(VLOOKUP(I700,'07_字典与参数'!$G$5:$J$9,2,FALSE),"未入选")</x:f>
        <x:v>未入选</x:v>
      </x:c>
      <x:c r="V700" s="24" t="str">
        <x:f>IFERROR(VLOOKUP(I700,'07_字典与参数'!$G$5:$J$9,3,FALSE),"—")</x:f>
        <x:v>—</x:v>
      </x:c>
      <x:c r="W700" s="24" t="str">
        <x:f>IF(U700="未入选","否","是")</x:f>
        <x:v>否</x:v>
      </x:c>
    </x:row>
    <x:row r="701">
      <x:c r="A701" t="n">
        <x:v>202631</x:v>
      </x:c>
      <x:c r="B701" t="str">
        <x:v>第31期（08.03-08.09）</x:v>
      </x:c>
      <x:c r="C701" t="str">
        <x:v>2026-08-03</x:v>
      </x:c>
      <x:c r="D701" t="str">
        <x:v>2026-08-09</x:v>
      </x:c>
      <x:c r="E701" t="n">
        <x:v>97</x:v>
      </x:c>
      <x:c r="F701" t="n">
        <x:v>521720355</x:v>
      </x:c>
      <x:c r="G701" t="str">
        <x:v>幻梦</x:v>
      </x:c>
      <x:c r="H701" t="str">
        <x:v>王俊凯</x:v>
      </x:c>
      <x:c r="I701" t="str">
        <x:v>000bbwzf2E0nwB</x:v>
      </x:c>
      <x:c r="J701" t="str">
        <x:v>False</x:v>
      </x:c>
      <x:c r="K701" t="n">
        <x:v>99</x:v>
      </x:c>
      <x:c r="L701" t="n">
        <x:v>5</x:v>
      </x:c>
      <x:c r="M701" t="n">
        <x:v>23</x:v>
      </x:c>
      <x:c r="N701" t="n">
        <x:v>83.52713</x:v>
      </x:c>
      <x:c r="O701" t="n">
        <x:v>66.07</x:v>
      </x:c>
      <x:c r="P701" t="n">
        <x:v>0</x:v>
      </x:c>
      <x:c r="Q701" t="n">
        <x:v>0</x:v>
      </x:c>
      <x:c r="R701" t="n">
        <x:v>30.33</x:v>
      </x:c>
      <x:c r="S701" t="n">
        <x:v>49.91</x:v>
      </x:c>
      <x:c r="T701" t="str">
        <x:v>https://y.qq.com/music/photo_new/T062R500x500M000003tjnfQ2DkfyZ.jpg</x:v>
      </x:c>
      <x:c r="U701" s="24" t="str">
        <x:f>IFERROR(VLOOKUP(I701,'07_字典与参数'!$G$5:$J$9,2,FALSE),"未入选")</x:f>
        <x:v>未入选</x:v>
      </x:c>
      <x:c r="V701" s="24" t="str">
        <x:f>IFERROR(VLOOKUP(I701,'07_字典与参数'!$G$5:$J$9,3,FALSE),"—")</x:f>
        <x:v>—</x:v>
      </x:c>
      <x:c r="W701" s="24" t="str">
        <x:f>IF(U701="未入选","否","是")</x:f>
        <x:v>否</x:v>
      </x:c>
    </x:row>
    <x:row r="702">
      <x:c r="A702" t="n">
        <x:v>202631</x:v>
      </x:c>
      <x:c r="B702" t="str">
        <x:v>第31期（08.03-08.09）</x:v>
      </x:c>
      <x:c r="C702" t="str">
        <x:v>2026-08-03</x:v>
      </x:c>
      <x:c r="D702" t="str">
        <x:v>2026-08-09</x:v>
      </x:c>
      <x:c r="E702" t="n">
        <x:v>98</x:v>
      </x:c>
      <x:c r="F702" t="n">
        <x:v>515780030</x:v>
      </x:c>
      <x:c r="G702" t="str">
        <x:v>真相</x:v>
      </x:c>
      <x:c r="H702" t="str">
        <x:v>王俊凯</x:v>
      </x:c>
      <x:c r="I702" t="str">
        <x:v>004WWjMC2Dt1ip</x:v>
      </x:c>
      <x:c r="J702" t="str">
        <x:v>False</x:v>
      </x:c>
      <x:c r="K702" t="n">
        <x:v>49</x:v>
      </x:c>
      <x:c r="L702" t="n">
        <x:v>6</x:v>
      </x:c>
      <x:c r="M702" t="n">
        <x:v>5</x:v>
      </x:c>
      <x:c r="N702" t="n">
        <x:v>83.51291</x:v>
      </x:c>
      <x:c r="O702" t="n">
        <x:v>65.51</x:v>
      </x:c>
      <x:c r="P702" t="n">
        <x:v>0</x:v>
      </x:c>
      <x:c r="Q702" t="n">
        <x:v>0</x:v>
      </x:c>
      <x:c r="R702" t="n">
        <x:v>26.12</x:v>
      </x:c>
      <x:c r="S702" t="n">
        <x:v>50.76</x:v>
      </x:c>
      <x:c r="T702" t="str">
        <x:v>https://y.qq.com/music/photo_new/T062R500x500M000004YwMvf2ekLnQ.jpg</x:v>
      </x:c>
      <x:c r="U702" s="24" t="str">
        <x:f>IFERROR(VLOOKUP(I702,'07_字典与参数'!$G$5:$J$9,2,FALSE),"未入选")</x:f>
        <x:v>未入选</x:v>
      </x:c>
      <x:c r="V702" s="24" t="str">
        <x:f>IFERROR(VLOOKUP(I702,'07_字典与参数'!$G$5:$J$9,3,FALSE),"—")</x:f>
        <x:v>—</x:v>
      </x:c>
      <x:c r="W702" s="24" t="str">
        <x:f>IF(U702="未入选","否","是")</x:f>
        <x:v>否</x:v>
      </x:c>
    </x:row>
    <x:row r="703">
      <x:c r="A703" t="n">
        <x:v>202631</x:v>
      </x:c>
      <x:c r="B703" t="str">
        <x:v>第31期（08.03-08.09）</x:v>
      </x:c>
      <x:c r="C703" t="str">
        <x:v>2026-08-03</x:v>
      </x:c>
      <x:c r="D703" t="str">
        <x:v>2026-08-09</x:v>
      </x:c>
      <x:c r="E703" t="n">
        <x:v>99</x:v>
      </x:c>
      <x:c r="F703" t="n">
        <x:v>515780154</x:v>
      </x:c>
      <x:c r="G703" t="str">
        <x:v>从前</x:v>
      </x:c>
      <x:c r="H703" t="str">
        <x:v>王俊凯</x:v>
      </x:c>
      <x:c r="I703" t="str">
        <x:v>000Ji0xi2WKRll</x:v>
      </x:c>
      <x:c r="J703" t="str">
        <x:v>False</x:v>
      </x:c>
      <x:c r="K703" t="n">
        <x:v>101</x:v>
      </x:c>
      <x:c r="L703" t="n">
        <x:v>5</x:v>
      </x:c>
      <x:c r="M703" t="n">
        <x:v>6</x:v>
      </x:c>
      <x:c r="N703" t="n">
        <x:v>83.47433</x:v>
      </x:c>
      <x:c r="O703" t="n">
        <x:v>66.19</x:v>
      </x:c>
      <x:c r="P703" t="n">
        <x:v>0</x:v>
      </x:c>
      <x:c r="Q703" t="n">
        <x:v>0</x:v>
      </x:c>
      <x:c r="R703" t="n">
        <x:v>23.78</x:v>
      </x:c>
      <x:c r="S703" t="n">
        <x:v>50.49</x:v>
      </x:c>
      <x:c r="T703" t="str">
        <x:v>https://y.qq.com/music/photo_new/T062R500x500M000001q4lBQ4YRSPD.jpg</x:v>
      </x:c>
      <x:c r="U703" s="24" t="str">
        <x:f>IFERROR(VLOOKUP(I703,'07_字典与参数'!$G$5:$J$9,2,FALSE),"未入选")</x:f>
        <x:v>未入选</x:v>
      </x:c>
      <x:c r="V703" s="24" t="str">
        <x:f>IFERROR(VLOOKUP(I703,'07_字典与参数'!$G$5:$J$9,3,FALSE),"—")</x:f>
        <x:v>—</x:v>
      </x:c>
      <x:c r="W703" s="24" t="str">
        <x:f>IF(U703="未入选","否","是")</x:f>
        <x:v>否</x:v>
      </x:c>
    </x:row>
    <x:row r="704">
      <x:c r="A704" t="n">
        <x:v>202631</x:v>
      </x:c>
      <x:c r="B704" t="str">
        <x:v>第31期（08.03-08.09）</x:v>
      </x:c>
      <x:c r="C704" t="str">
        <x:v>2026-08-03</x:v>
      </x:c>
      <x:c r="D704" t="str">
        <x:v>2026-08-09</x:v>
      </x:c>
      <x:c r="E704" t="n">
        <x:v>100</x:v>
      </x:c>
      <x:c r="F704" t="n">
        <x:v>515779634</x:v>
      </x:c>
      <x:c r="G704" t="str">
        <x:v>I Love This Life</x:v>
      </x:c>
      <x:c r="H704" t="str">
        <x:v>王俊凯</x:v>
      </x:c>
      <x:c r="I704" t="str">
        <x:v>002snOiL3DNzr2</x:v>
      </x:c>
      <x:c r="J704" t="str">
        <x:v>False</x:v>
      </x:c>
      <x:c r="K704" t="n">
        <x:v>103</x:v>
      </x:c>
      <x:c r="L704" t="n">
        <x:v>5</x:v>
      </x:c>
      <x:c r="M704" t="n">
        <x:v>7</x:v>
      </x:c>
      <x:c r="N704" t="n">
        <x:v>83.46513</x:v>
      </x:c>
      <x:c r="O704" t="n">
        <x:v>66.03</x:v>
      </x:c>
      <x:c r="P704" t="n">
        <x:v>0</x:v>
      </x:c>
      <x:c r="Q704" t="n">
        <x:v>0</x:v>
      </x:c>
      <x:c r="R704" t="n">
        <x:v>25.06</x:v>
      </x:c>
      <x:c r="S704" t="n">
        <x:v>50.44</x:v>
      </x:c>
      <x:c r="T704" t="str">
        <x:v>https://y.qq.com/music/photo_new/T062R500x500M0000033JXxr402Nw0.jpg</x:v>
      </x:c>
      <x:c r="U704" s="24" t="str">
        <x:f>IFERROR(VLOOKUP(I704,'07_字典与参数'!$G$5:$J$9,2,FALSE),"未入选")</x:f>
        <x:v>未入选</x:v>
      </x:c>
      <x:c r="V704" s="24" t="str">
        <x:f>IFERROR(VLOOKUP(I704,'07_字典与参数'!$G$5:$J$9,3,FALSE),"—")</x:f>
        <x:v>—</x:v>
      </x:c>
      <x:c r="W704" s="24" t="str">
        <x:f>IF(U704="未入选","否","是")</x:f>
        <x:v>否</x:v>
      </x:c>
    </x:row>
    <x:row r="705">
      <x:c r="A705" t="n">
        <x:v>202631</x:v>
      </x:c>
      <x:c r="B705" t="str">
        <x:v>第31期（08.03-08.09）</x:v>
      </x:c>
      <x:c r="C705" t="str">
        <x:v>2026-08-03</x:v>
      </x:c>
      <x:c r="D705" t="str">
        <x:v>2026-08-09</x:v>
      </x:c>
      <x:c r="E705" t="n">
        <x:v>101</x:v>
      </x:c>
      <x:c r="F705" t="n">
        <x:v>537908907</x:v>
      </x:c>
      <x:c r="G705" t="str">
        <x:v>只是片刻</x:v>
      </x:c>
      <x:c r="H705" t="str">
        <x:v>冯建宇,赵志刚</x:v>
      </x:c>
      <x:c r="I705" t="str">
        <x:v>003WV2yK46imws</x:v>
      </x:c>
      <x:c r="J705" t="str">
        <x:v>False</x:v>
      </x:c>
      <x:c r="K705" t="n">
        <x:v>0</x:v>
      </x:c>
      <x:c r="L705" t="n">
        <x:v>0</x:v>
      </x:c>
      <x:c r="M705" t="n">
        <x:v>0</x:v>
      </x:c>
      <x:c r="N705" t="n">
        <x:v>83.31265</x:v>
      </x:c>
      <x:c r="O705" t="n">
        <x:v>63.32</x:v>
      </x:c>
      <x:c r="P705" t="n">
        <x:v>0</x:v>
      </x:c>
      <x:c r="Q705" t="n">
        <x:v>0</x:v>
      </x:c>
      <x:c r="R705" t="n">
        <x:v>43.46</x:v>
      </x:c>
      <x:c r="S705" t="n">
        <x:v>45.68</x:v>
      </x:c>
      <x:c r="T705" t="str">
        <x:v>https://y.gtimg.cn/music/photo_new/T002R500x500M000004cfmXV3sXhR5_2.jpg</x:v>
      </x:c>
      <x:c r="U705" s="24" t="str">
        <x:f>IFERROR(VLOOKUP(I705,'07_字典与参数'!$G$5:$J$9,2,FALSE),"未入选")</x:f>
        <x:v>未入选</x:v>
      </x:c>
      <x:c r="V705" s="24" t="str">
        <x:f>IFERROR(VLOOKUP(I705,'07_字典与参数'!$G$5:$J$9,3,FALSE),"—")</x:f>
        <x:v>—</x:v>
      </x:c>
      <x:c r="W705" s="24" t="str">
        <x:f>IF(U705="未入选","否","是")</x:f>
        <x:v>否</x:v>
      </x:c>
    </x:row>
    <x:row r="706">
      <x:c r="A706" t="n">
        <x:v>202631</x:v>
      </x:c>
      <x:c r="B706" t="str">
        <x:v>第31期（08.03-08.09）</x:v>
      </x:c>
      <x:c r="C706" t="str">
        <x:v>2026-08-03</x:v>
      </x:c>
      <x:c r="D706" t="str">
        <x:v>2026-08-09</x:v>
      </x:c>
      <x:c r="E706" t="n">
        <x:v>102</x:v>
      </x:c>
      <x:c r="F706" t="n">
        <x:v>538946782</x:v>
      </x:c>
      <x:c r="G706" t="str">
        <x:v>Think About It</x:v>
      </x:c>
      <x:c r="H706" t="str">
        <x:v>D.N.A,张艺兴,颜人中,GALI,TEN,李治廷</x:v>
      </x:c>
      <x:c r="I706" t="str">
        <x:v>002CsOmp02LLF5</x:v>
      </x:c>
      <x:c r="J706" t="str">
        <x:v>False</x:v>
      </x:c>
      <x:c r="K706" t="n">
        <x:v>0</x:v>
      </x:c>
      <x:c r="L706" t="n">
        <x:v>0</x:v>
      </x:c>
      <x:c r="M706" t="n">
        <x:v>0</x:v>
      </x:c>
      <x:c r="N706" t="n">
        <x:v>83.16947</x:v>
      </x:c>
      <x:c r="O706" t="n">
        <x:v>62.29</x:v>
      </x:c>
      <x:c r="P706" t="n">
        <x:v>0</x:v>
      </x:c>
      <x:c r="Q706" t="n">
        <x:v>0</x:v>
      </x:c>
      <x:c r="R706" t="n">
        <x:v>23.83</x:v>
      </x:c>
      <x:c r="S706" t="n">
        <x:v>52.38</x:v>
      </x:c>
      <x:c r="T706" t="str">
        <x:v>https://y.gtimg.cn/music/photo_new/T002R500x500M000000GcT6i25V6Kn_1.jpg</x:v>
      </x:c>
      <x:c r="U706" s="24" t="str">
        <x:f>IFERROR(VLOOKUP(I706,'07_字典与参数'!$G$5:$J$9,2,FALSE),"未入选")</x:f>
        <x:v>未入选</x:v>
      </x:c>
      <x:c r="V706" s="24" t="str">
        <x:f>IFERROR(VLOOKUP(I706,'07_字典与参数'!$G$5:$J$9,3,FALSE),"—")</x:f>
        <x:v>—</x:v>
      </x:c>
      <x:c r="W706" s="24" t="str">
        <x:f>IF(U706="未入选","否","是")</x:f>
        <x:v>否</x:v>
      </x:c>
    </x:row>
    <x:row r="707">
      <x:c r="A707" t="n">
        <x:v>202631</x:v>
      </x:c>
      <x:c r="B707" t="str">
        <x:v>第31期（08.03-08.09）</x:v>
      </x:c>
      <x:c r="C707" t="str">
        <x:v>2026-08-03</x:v>
      </x:c>
      <x:c r="D707" t="str">
        <x:v>2026-08-09</x:v>
      </x:c>
      <x:c r="E707" t="n">
        <x:v>103</x:v>
      </x:c>
      <x:c r="F707" t="n">
        <x:v>513694963</x:v>
      </x:c>
      <x:c r="G707" t="str">
        <x:v>爱你是我的秘密</x:v>
      </x:c>
      <x:c r="H707" t="str">
        <x:v>庄淇玟29</x:v>
      </x:c>
      <x:c r="I707" t="str">
        <x:v>000fQYli0zRiOx</x:v>
      </x:c>
      <x:c r="J707" t="str">
        <x:v>False</x:v>
      </x:c>
      <x:c r="K707" t="n">
        <x:v>126</x:v>
      </x:c>
      <x:c r="L707" t="n">
        <x:v>0</x:v>
      </x:c>
      <x:c r="M707" t="n">
        <x:v>0</x:v>
      </x:c>
      <x:c r="N707" t="n">
        <x:v>82.891</x:v>
      </x:c>
      <x:c r="O707" t="n">
        <x:v>71.71</x:v>
      </x:c>
      <x:c r="P707" t="n">
        <x:v>0</x:v>
      </x:c>
      <x:c r="Q707" t="n">
        <x:v>0</x:v>
      </x:c>
      <x:c r="R707" t="n">
        <x:v>7.03</x:v>
      </x:c>
      <x:c r="S707" t="n">
        <x:v>36.41</x:v>
      </x:c>
      <x:c r="T707" t="str">
        <x:v>https://y.gtimg.cn/music/photo_new/T002R500x500M000003Wra153uFebP_1.jpg</x:v>
      </x:c>
      <x:c r="U707" s="24" t="str">
        <x:f>IFERROR(VLOOKUP(I707,'07_字典与参数'!$G$5:$J$9,2,FALSE),"未入选")</x:f>
        <x:v>未入选</x:v>
      </x:c>
      <x:c r="V707" s="24" t="str">
        <x:f>IFERROR(VLOOKUP(I707,'07_字典与参数'!$G$5:$J$9,3,FALSE),"—")</x:f>
        <x:v>—</x:v>
      </x:c>
      <x:c r="W707" s="24" t="str">
        <x:f>IF(U707="未入选","否","是")</x:f>
        <x:v>否</x:v>
      </x:c>
    </x:row>
    <x:row r="708">
      <x:c r="A708" t="n">
        <x:v>202631</x:v>
      </x:c>
      <x:c r="B708" t="str">
        <x:v>第31期（08.03-08.09）</x:v>
      </x:c>
      <x:c r="C708" t="str">
        <x:v>2026-08-03</x:v>
      </x:c>
      <x:c r="D708" t="str">
        <x:v>2026-08-09</x:v>
      </x:c>
      <x:c r="E708" t="n">
        <x:v>104</x:v>
      </x:c>
      <x:c r="F708" t="n">
        <x:v>531377175</x:v>
      </x:c>
      <x:c r="G708" t="str">
        <x:v>破晓</x:v>
      </x:c>
      <x:c r="H708" t="str">
        <x:v>十个勤天</x:v>
      </x:c>
      <x:c r="I708" t="str">
        <x:v>0040bFEa46eiwG</x:v>
      </x:c>
      <x:c r="J708" t="str">
        <x:v>False</x:v>
      </x:c>
      <x:c r="K708" t="n">
        <x:v>170</x:v>
      </x:c>
      <x:c r="L708" t="n">
        <x:v>0</x:v>
      </x:c>
      <x:c r="M708" t="n">
        <x:v>0</x:v>
      </x:c>
      <x:c r="N708" t="n">
        <x:v>82.67626</x:v>
      </x:c>
      <x:c r="O708" t="n">
        <x:v>53.92</x:v>
      </x:c>
      <x:c r="P708" t="n">
        <x:v>0</x:v>
      </x:c>
      <x:c r="Q708" t="n">
        <x:v>0</x:v>
      </x:c>
      <x:c r="R708" t="n">
        <x:v>1.24</x:v>
      </x:c>
      <x:c r="S708" t="n">
        <x:v>55.72</x:v>
      </x:c>
      <x:c r="T708" t="str">
        <x:v>https://y.gtimg.cn/music/photo_new/T002R500x500M000003jlUc82XQcof_1.jpg</x:v>
      </x:c>
      <x:c r="U708" s="24" t="str">
        <x:f>IFERROR(VLOOKUP(I708,'07_字典与参数'!$G$5:$J$9,2,FALSE),"未入选")</x:f>
        <x:v>未入选</x:v>
      </x:c>
      <x:c r="V708" s="24" t="str">
        <x:f>IFERROR(VLOOKUP(I708,'07_字典与参数'!$G$5:$J$9,3,FALSE),"—")</x:f>
        <x:v>—</x:v>
      </x:c>
      <x:c r="W708" s="24" t="str">
        <x:f>IF(U708="未入选","否","是")</x:f>
        <x:v>否</x:v>
      </x:c>
    </x:row>
    <x:row r="709">
      <x:c r="A709" t="n">
        <x:v>202631</x:v>
      </x:c>
      <x:c r="B709" t="str">
        <x:v>第31期（08.03-08.09）</x:v>
      </x:c>
      <x:c r="C709" t="str">
        <x:v>2026-08-03</x:v>
      </x:c>
      <x:c r="D709" t="str">
        <x:v>2026-08-09</x:v>
      </x:c>
      <x:c r="E709" t="n">
        <x:v>105</x:v>
      </x:c>
      <x:c r="F709" t="n">
        <x:v>534985489</x:v>
      </x:c>
      <x:c r="G709" t="str">
        <x:v>清风微微</x:v>
      </x:c>
      <x:c r="H709" t="str">
        <x:v>曾舜晞</x:v>
      </x:c>
      <x:c r="I709" t="str">
        <x:v>002r2KrX1JWd1p</x:v>
      </x:c>
      <x:c r="J709" t="str">
        <x:v>False</x:v>
      </x:c>
      <x:c r="K709" t="n">
        <x:v>168</x:v>
      </x:c>
      <x:c r="L709" t="n">
        <x:v>0</x:v>
      </x:c>
      <x:c r="M709" t="n">
        <x:v>0</x:v>
      </x:c>
      <x:c r="N709" t="n">
        <x:v>82.65417</x:v>
      </x:c>
      <x:c r="O709" t="n">
        <x:v>72.1</x:v>
      </x:c>
      <x:c r="P709" t="n">
        <x:v>0</x:v>
      </x:c>
      <x:c r="Q709" t="n">
        <x:v>0</x:v>
      </x:c>
      <x:c r="R709" t="n">
        <x:v>2.36</x:v>
      </x:c>
      <x:c r="S709" t="n">
        <x:v>19.14</x:v>
      </x:c>
      <x:c r="T709" t="str">
        <x:v>https://y.gtimg.cn/music/photo_new/T002R500x500M000001lOTOO3XaXbu_1.jpg</x:v>
      </x:c>
      <x:c r="U709" s="24" t="str">
        <x:f>IFERROR(VLOOKUP(I709,'07_字典与参数'!$G$5:$J$9,2,FALSE),"未入选")</x:f>
        <x:v>未入选</x:v>
      </x:c>
      <x:c r="V709" s="24" t="str">
        <x:f>IFERROR(VLOOKUP(I709,'07_字典与参数'!$G$5:$J$9,3,FALSE),"—")</x:f>
        <x:v>—</x:v>
      </x:c>
      <x:c r="W709" s="24" t="str">
        <x:f>IF(U709="未入选","否","是")</x:f>
        <x:v>否</x:v>
      </x:c>
    </x:row>
    <x:row r="710">
      <x:c r="A710" t="n">
        <x:v>202631</x:v>
      </x:c>
      <x:c r="B710" t="str">
        <x:v>第31期（08.03-08.09）</x:v>
      </x:c>
      <x:c r="C710" t="str">
        <x:v>2026-08-03</x:v>
      </x:c>
      <x:c r="D710" t="str">
        <x:v>2026-08-09</x:v>
      </x:c>
      <x:c r="E710" t="n">
        <x:v>106</x:v>
      </x:c>
      <x:c r="F710" t="n">
        <x:v>530838888</x:v>
      </x:c>
      <x:c r="G710" t="str">
        <x:v>窝囊废</x:v>
      </x:c>
      <x:c r="H710" t="str">
        <x:v>刘凤瑶,曾一鸣,张玮,李琦,派克特</x:v>
      </x:c>
      <x:c r="I710" t="str">
        <x:v>002oy5sA18Y1vl</x:v>
      </x:c>
      <x:c r="J710" t="str">
        <x:v>False</x:v>
      </x:c>
      <x:c r="K710" t="n">
        <x:v>114</x:v>
      </x:c>
      <x:c r="L710" t="n">
        <x:v>0</x:v>
      </x:c>
      <x:c r="M710" t="n">
        <x:v>0</x:v>
      </x:c>
      <x:c r="N710" t="n">
        <x:v>82.57244</x:v>
      </x:c>
      <x:c r="O710" t="n">
        <x:v>71.37</x:v>
      </x:c>
      <x:c r="P710" t="n">
        <x:v>0</x:v>
      </x:c>
      <x:c r="Q710" t="n">
        <x:v>0</x:v>
      </x:c>
      <x:c r="R710" t="n">
        <x:v>7.85</x:v>
      </x:c>
      <x:c r="S710" t="n">
        <x:v>36.09</x:v>
      </x:c>
      <x:c r="T710" t="str">
        <x:v>https://y.gtimg.cn/music/photo_new/T002R500x500M000000i2YjH2563cV_1.jpg</x:v>
      </x:c>
      <x:c r="U710" s="24" t="str">
        <x:f>IFERROR(VLOOKUP(I710,'07_字典与参数'!$G$5:$J$9,2,FALSE),"未入选")</x:f>
        <x:v>未入选</x:v>
      </x:c>
      <x:c r="V710" s="24" t="str">
        <x:f>IFERROR(VLOOKUP(I710,'07_字典与参数'!$G$5:$J$9,3,FALSE),"—")</x:f>
        <x:v>—</x:v>
      </x:c>
      <x:c r="W710" s="24" t="str">
        <x:f>IF(U710="未入选","否","是")</x:f>
        <x:v>否</x:v>
      </x:c>
    </x:row>
    <x:row r="711">
      <x:c r="A711" t="n">
        <x:v>202631</x:v>
      </x:c>
      <x:c r="B711" t="str">
        <x:v>第31期（08.03-08.09）</x:v>
      </x:c>
      <x:c r="C711" t="str">
        <x:v>2026-08-03</x:v>
      </x:c>
      <x:c r="D711" t="str">
        <x:v>2026-08-09</x:v>
      </x:c>
      <x:c r="E711" t="n">
        <x:v>107</x:v>
      </x:c>
      <x:c r="F711" t="n">
        <x:v>536556331</x:v>
      </x:c>
      <x:c r="G711" t="str">
        <x:v>爱你太多</x:v>
      </x:c>
      <x:c r="H711" t="str">
        <x:v>刘一手</x:v>
      </x:c>
      <x:c r="I711" t="str">
        <x:v>000lR5lC0KRAFT</x:v>
      </x:c>
      <x:c r="J711" t="str">
        <x:v>False</x:v>
      </x:c>
      <x:c r="K711" t="n">
        <x:v>0</x:v>
      </x:c>
      <x:c r="L711" t="n">
        <x:v>0</x:v>
      </x:c>
      <x:c r="M711" t="n">
        <x:v>0</x:v>
      </x:c>
      <x:c r="N711" t="n">
        <x:v>82.38434</x:v>
      </x:c>
      <x:c r="O711" t="n">
        <x:v>71.24</x:v>
      </x:c>
      <x:c r="P711" t="n">
        <x:v>0</x:v>
      </x:c>
      <x:c r="Q711" t="n">
        <x:v>0</x:v>
      </x:c>
      <x:c r="R711" t="n">
        <x:v>5.77</x:v>
      </x:c>
      <x:c r="S711" t="n">
        <x:v>35.99</x:v>
      </x:c>
      <x:c r="T711" t="str">
        <x:v>https://y.gtimg.cn/music/photo_new/T002R500x500M000002BYJAV40Y92k_2.jpg</x:v>
      </x:c>
      <x:c r="U711" s="24" t="str">
        <x:f>IFERROR(VLOOKUP(I711,'07_字典与参数'!$G$5:$J$9,2,FALSE),"未入选")</x:f>
        <x:v>未入选</x:v>
      </x:c>
      <x:c r="V711" s="24" t="str">
        <x:f>IFERROR(VLOOKUP(I711,'07_字典与参数'!$G$5:$J$9,3,FALSE),"—")</x:f>
        <x:v>—</x:v>
      </x:c>
      <x:c r="W711" s="24" t="str">
        <x:f>IF(U711="未入选","否","是")</x:f>
        <x:v>否</x:v>
      </x:c>
    </x:row>
    <x:row r="712">
      <x:c r="A712" t="n">
        <x:v>202631</x:v>
      </x:c>
      <x:c r="B712" t="str">
        <x:v>第31期（08.03-08.09）</x:v>
      </x:c>
      <x:c r="C712" t="str">
        <x:v>2026-08-03</x:v>
      </x:c>
      <x:c r="D712" t="str">
        <x:v>2026-08-09</x:v>
      </x:c>
      <x:c r="E712" t="n">
        <x:v>108</x:v>
      </x:c>
      <x:c r="F712" t="n">
        <x:v>491996814</x:v>
      </x:c>
      <x:c r="G712" t="str">
        <x:v>本末</x:v>
      </x:c>
      <x:c r="H712" t="str">
        <x:v>任素汐</x:v>
      </x:c>
      <x:c r="I712" t="str">
        <x:v>001sTnpM1Kw5aa</x:v>
      </x:c>
      <x:c r="J712" t="str">
        <x:v>False</x:v>
      </x:c>
      <x:c r="K712" t="n">
        <x:v>121</x:v>
      </x:c>
      <x:c r="L712" t="n">
        <x:v>0</x:v>
      </x:c>
      <x:c r="M712" t="n">
        <x:v>0</x:v>
      </x:c>
      <x:c r="N712" t="n">
        <x:v>82.27623</x:v>
      </x:c>
      <x:c r="O712" t="n">
        <x:v>71.14</x:v>
      </x:c>
      <x:c r="P712" t="n">
        <x:v>0</x:v>
      </x:c>
      <x:c r="Q712" t="n">
        <x:v>0</x:v>
      </x:c>
      <x:c r="R712" t="n">
        <x:v>7.05</x:v>
      </x:c>
      <x:c r="S712" t="n">
        <x:v>35.07</x:v>
      </x:c>
      <x:c r="T712" t="str">
        <x:v>https://y.gtimg.cn/music/photo_new/T002R500x500M0000033vNiW2uLR2S_1.jpg</x:v>
      </x:c>
      <x:c r="U712" s="24" t="str">
        <x:f>IFERROR(VLOOKUP(I712,'07_字典与参数'!$G$5:$J$9,2,FALSE),"未入选")</x:f>
        <x:v>未入选</x:v>
      </x:c>
      <x:c r="V712" s="24" t="str">
        <x:f>IFERROR(VLOOKUP(I712,'07_字典与参数'!$G$5:$J$9,3,FALSE),"—")</x:f>
        <x:v>—</x:v>
      </x:c>
      <x:c r="W712" s="24" t="str">
        <x:f>IF(U712="未入选","否","是")</x:f>
        <x:v>否</x:v>
      </x:c>
    </x:row>
    <x:row r="713">
      <x:c r="A713" t="n">
        <x:v>202631</x:v>
      </x:c>
      <x:c r="B713" t="str">
        <x:v>第31期（08.03-08.09）</x:v>
      </x:c>
      <x:c r="C713" t="str">
        <x:v>2026-08-03</x:v>
      </x:c>
      <x:c r="D713" t="str">
        <x:v>2026-08-09</x:v>
      </x:c>
      <x:c r="E713" t="n">
        <x:v>109</x:v>
      </x:c>
      <x:c r="F713" t="n">
        <x:v>524521641</x:v>
      </x:c>
      <x:c r="G713" t="str">
        <x:v>漫游</x:v>
      </x:c>
      <x:c r="H713" t="str">
        <x:v>黄子弘凡</x:v>
      </x:c>
      <x:c r="I713" t="str">
        <x:v>0009xPxG0R6G9c</x:v>
      </x:c>
      <x:c r="J713" t="str">
        <x:v>False</x:v>
      </x:c>
      <x:c r="K713" t="n">
        <x:v>120</x:v>
      </x:c>
      <x:c r="L713" t="n">
        <x:v>0</x:v>
      </x:c>
      <x:c r="M713" t="n">
        <x:v>0</x:v>
      </x:c>
      <x:c r="N713" t="n">
        <x:v>82.04829</x:v>
      </x:c>
      <x:c r="O713" t="n">
        <x:v>62.72</x:v>
      </x:c>
      <x:c r="P713" t="n">
        <x:v>0</x:v>
      </x:c>
      <x:c r="Q713" t="n">
        <x:v>0</x:v>
      </x:c>
      <x:c r="R713" t="n">
        <x:v>13.87</x:v>
      </x:c>
      <x:c r="S713" t="n">
        <x:v>50.63</x:v>
      </x:c>
      <x:c r="T713" t="str">
        <x:v>https://y.qq.com/music/photo_new/T062R500x500M0000011NdbQ2F154j.jpg</x:v>
      </x:c>
      <x:c r="U713" s="24" t="str">
        <x:f>IFERROR(VLOOKUP(I713,'07_字典与参数'!$G$5:$J$9,2,FALSE),"未入选")</x:f>
        <x:v>未入选</x:v>
      </x:c>
      <x:c r="V713" s="24" t="str">
        <x:f>IFERROR(VLOOKUP(I713,'07_字典与参数'!$G$5:$J$9,3,FALSE),"—")</x:f>
        <x:v>—</x:v>
      </x:c>
      <x:c r="W713" s="24" t="str">
        <x:f>IF(U713="未入选","否","是")</x:f>
        <x:v>否</x:v>
      </x:c>
    </x:row>
    <x:row r="714">
      <x:c r="A714" t="n">
        <x:v>202631</x:v>
      </x:c>
      <x:c r="B714" t="str">
        <x:v>第31期（08.03-08.09）</x:v>
      </x:c>
      <x:c r="C714" t="str">
        <x:v>2026-08-03</x:v>
      </x:c>
      <x:c r="D714" t="str">
        <x:v>2026-08-09</x:v>
      </x:c>
      <x:c r="E714" t="n">
        <x:v>110</x:v>
      </x:c>
      <x:c r="F714" t="n">
        <x:v>536573515</x:v>
      </x:c>
      <x:c r="G714" t="str">
        <x:v>放弃的界限</x:v>
      </x:c>
      <x:c r="H714" t="str">
        <x:v>张敬轩</x:v>
      </x:c>
      <x:c r="I714" t="str">
        <x:v>004A3P4m3iHPY8</x:v>
      </x:c>
      <x:c r="J714" t="str">
        <x:v>False</x:v>
      </x:c>
      <x:c r="K714" t="n">
        <x:v>57</x:v>
      </x:c>
      <x:c r="L714" t="n">
        <x:v>0</x:v>
      </x:c>
      <x:c r="M714" t="n">
        <x:v>0</x:v>
      </x:c>
      <x:c r="N714" t="n">
        <x:v>81.93812</x:v>
      </x:c>
      <x:c r="O714" t="n">
        <x:v>69.48</x:v>
      </x:c>
      <x:c r="P714" t="n">
        <x:v>0</x:v>
      </x:c>
      <x:c r="Q714" t="n">
        <x:v>0</x:v>
      </x:c>
      <x:c r="R714" t="n">
        <x:v>8.97</x:v>
      </x:c>
      <x:c r="S714" t="n">
        <x:v>42.68</x:v>
      </x:c>
      <x:c r="T714" t="str">
        <x:v>https://y.gtimg.cn/music/photo_new/T002R500x500M000000El1e90HegZ3_1.jpg</x:v>
      </x:c>
      <x:c r="U714" s="24" t="str">
        <x:f>IFERROR(VLOOKUP(I714,'07_字典与参数'!$G$5:$J$9,2,FALSE),"未入选")</x:f>
        <x:v>未入选</x:v>
      </x:c>
      <x:c r="V714" s="24" t="str">
        <x:f>IFERROR(VLOOKUP(I714,'07_字典与参数'!$G$5:$J$9,3,FALSE),"—")</x:f>
        <x:v>—</x:v>
      </x:c>
      <x:c r="W714" s="24" t="str">
        <x:f>IF(U714="未入选","否","是")</x:f>
        <x:v>否</x:v>
      </x:c>
    </x:row>
    <x:row r="715">
      <x:c r="A715" t="n">
        <x:v>202631</x:v>
      </x:c>
      <x:c r="B715" t="str">
        <x:v>第31期（08.03-08.09）</x:v>
      </x:c>
      <x:c r="C715" t="str">
        <x:v>2026-08-03</x:v>
      </x:c>
      <x:c r="D715" t="str">
        <x:v>2026-08-09</x:v>
      </x:c>
      <x:c r="E715" t="n">
        <x:v>111</x:v>
      </x:c>
      <x:c r="F715" t="n">
        <x:v>532547067</x:v>
      </x:c>
      <x:c r="G715" t="str">
        <x:v>如果你也刚好抬头看树</x:v>
      </x:c>
      <x:c r="H715" t="str">
        <x:v>孙天宇</x:v>
      </x:c>
      <x:c r="I715" t="str">
        <x:v>0005HuT83Cze8P</x:v>
      </x:c>
      <x:c r="J715" t="str">
        <x:v>False</x:v>
      </x:c>
      <x:c r="K715" t="n">
        <x:v>105</x:v>
      </x:c>
      <x:c r="L715" t="n">
        <x:v>0</x:v>
      </x:c>
      <x:c r="M715" t="n">
        <x:v>0</x:v>
      </x:c>
      <x:c r="N715" t="n">
        <x:v>81.87627</x:v>
      </x:c>
      <x:c r="O715" t="n">
        <x:v>70.49</x:v>
      </x:c>
      <x:c r="P715" t="n">
        <x:v>0</x:v>
      </x:c>
      <x:c r="Q715" t="n">
        <x:v>0</x:v>
      </x:c>
      <x:c r="R715" t="n">
        <x:v>4.96</x:v>
      </x:c>
      <x:c r="S715" t="n">
        <x:v>40.31</x:v>
      </x:c>
      <x:c r="T715" t="str">
        <x:v>https://y.gtimg.cn/music/photo_new/T002R500x500M000002w4MPC0gdACF_1.jpg</x:v>
      </x:c>
      <x:c r="U715" s="24" t="str">
        <x:f>IFERROR(VLOOKUP(I715,'07_字典与参数'!$G$5:$J$9,2,FALSE),"未入选")</x:f>
        <x:v>未入选</x:v>
      </x:c>
      <x:c r="V715" s="24" t="str">
        <x:f>IFERROR(VLOOKUP(I715,'07_字典与参数'!$G$5:$J$9,3,FALSE),"—")</x:f>
        <x:v>—</x:v>
      </x:c>
      <x:c r="W715" s="24" t="str">
        <x:f>IF(U715="未入选","否","是")</x:f>
        <x:v>否</x:v>
      </x:c>
    </x:row>
    <x:row r="716">
      <x:c r="A716" t="n">
        <x:v>202631</x:v>
      </x:c>
      <x:c r="B716" t="str">
        <x:v>第31期（08.03-08.09）</x:v>
      </x:c>
      <x:c r="C716" t="str">
        <x:v>2026-08-03</x:v>
      </x:c>
      <x:c r="D716" t="str">
        <x:v>2026-08-09</x:v>
      </x:c>
      <x:c r="E716" t="n">
        <x:v>112</x:v>
      </x:c>
      <x:c r="F716" t="n">
        <x:v>536669686</x:v>
      </x:c>
      <x:c r="G716" t="str">
        <x:v>像我这样爱你的人</x:v>
      </x:c>
      <x:c r="H716" t="str">
        <x:v>落日微醺本薰,张多金</x:v>
      </x:c>
      <x:c r="I716" t="str">
        <x:v>003omTCf30mBhR</x:v>
      </x:c>
      <x:c r="J716" t="str">
        <x:v>False</x:v>
      </x:c>
      <x:c r="K716" t="n">
        <x:v>0</x:v>
      </x:c>
      <x:c r="L716" t="n">
        <x:v>0</x:v>
      </x:c>
      <x:c r="M716" t="n">
        <x:v>0</x:v>
      </x:c>
      <x:c r="N716" t="n">
        <x:v>81.7712</x:v>
      </x:c>
      <x:c r="O716" t="n">
        <x:v>66.54</x:v>
      </x:c>
      <x:c r="P716" t="n">
        <x:v>0</x:v>
      </x:c>
      <x:c r="Q716" t="n">
        <x:v>0</x:v>
      </x:c>
      <x:c r="R716" t="n">
        <x:v>12.46</x:v>
      </x:c>
      <x:c r="S716" t="n">
        <x:v>45.42</x:v>
      </x:c>
      <x:c r="T716" t="str">
        <x:v>https://y.gtimg.cn/music/photo_new/T002R500x500M000004Benog1vkGNt_1.jpg</x:v>
      </x:c>
      <x:c r="U716" s="24" t="str">
        <x:f>IFERROR(VLOOKUP(I716,'07_字典与参数'!$G$5:$J$9,2,FALSE),"未入选")</x:f>
        <x:v>未入选</x:v>
      </x:c>
      <x:c r="V716" s="24" t="str">
        <x:f>IFERROR(VLOOKUP(I716,'07_字典与参数'!$G$5:$J$9,3,FALSE),"—")</x:f>
        <x:v>—</x:v>
      </x:c>
      <x:c r="W716" s="24" t="str">
        <x:f>IF(U716="未入选","否","是")</x:f>
        <x:v>否</x:v>
      </x:c>
    </x:row>
    <x:row r="717">
      <x:c r="A717" t="n">
        <x:v>202631</x:v>
      </x:c>
      <x:c r="B717" t="str">
        <x:v>第31期（08.03-08.09）</x:v>
      </x:c>
      <x:c r="C717" t="str">
        <x:v>2026-08-03</x:v>
      </x:c>
      <x:c r="D717" t="str">
        <x:v>2026-08-09</x:v>
      </x:c>
      <x:c r="E717" t="n">
        <x:v>113</x:v>
      </x:c>
      <x:c r="F717" t="n">
        <x:v>539515559</x:v>
      </x:c>
      <x:c r="G717" t="str">
        <x:v>痕迹</x:v>
      </x:c>
      <x:c r="H717" t="str">
        <x:v>何浩楠</x:v>
      </x:c>
      <x:c r="I717" t="str">
        <x:v>000x1b2W1JOuQT</x:v>
      </x:c>
      <x:c r="J717" t="str">
        <x:v>False</x:v>
      </x:c>
      <x:c r="K717" t="n">
        <x:v>0</x:v>
      </x:c>
      <x:c r="L717" t="n">
        <x:v>0</x:v>
      </x:c>
      <x:c r="M717" t="n">
        <x:v>0</x:v>
      </x:c>
      <x:c r="N717" t="n">
        <x:v>81.69622</x:v>
      </x:c>
      <x:c r="O717" t="n">
        <x:v>64.76</x:v>
      </x:c>
      <x:c r="P717" t="n">
        <x:v>0</x:v>
      </x:c>
      <x:c r="Q717" t="n">
        <x:v>0</x:v>
      </x:c>
      <x:c r="R717" t="n">
        <x:v>12.41</x:v>
      </x:c>
      <x:c r="S717" t="n">
        <x:v>47.42</x:v>
      </x:c>
      <x:c r="T717" t="str">
        <x:v>https://y.gtimg.cn/music/photo_new/T002R500x500M000004dgBHu2OiKow_1.jpg</x:v>
      </x:c>
      <x:c r="U717" s="24" t="str">
        <x:f>IFERROR(VLOOKUP(I717,'07_字典与参数'!$G$5:$J$9,2,FALSE),"未入选")</x:f>
        <x:v>未入选</x:v>
      </x:c>
      <x:c r="V717" s="24" t="str">
        <x:f>IFERROR(VLOOKUP(I717,'07_字典与参数'!$G$5:$J$9,3,FALSE),"—")</x:f>
        <x:v>—</x:v>
      </x:c>
      <x:c r="W717" s="24" t="str">
        <x:f>IF(U717="未入选","否","是")</x:f>
        <x:v>否</x:v>
      </x:c>
    </x:row>
    <x:row r="718">
      <x:c r="A718" t="n">
        <x:v>202631</x:v>
      </x:c>
      <x:c r="B718" t="str">
        <x:v>第31期（08.03-08.09）</x:v>
      </x:c>
      <x:c r="C718" t="str">
        <x:v>2026-08-03</x:v>
      </x:c>
      <x:c r="D718" t="str">
        <x:v>2026-08-09</x:v>
      </x:c>
      <x:c r="E718" t="n">
        <x:v>114</x:v>
      </x:c>
      <x:c r="F718" t="n">
        <x:v>513183075</x:v>
      </x:c>
      <x:c r="G718" t="str">
        <x:v>一见如故</x:v>
      </x:c>
      <x:c r="H718" t="str">
        <x:v>许嵩</x:v>
      </x:c>
      <x:c r="I718" t="str">
        <x:v>002ioSAK2ftAqy</x:v>
      </x:c>
      <x:c r="J718" t="str">
        <x:v>False</x:v>
      </x:c>
      <x:c r="K718" t="n">
        <x:v>130</x:v>
      </x:c>
      <x:c r="L718" t="n">
        <x:v>0</x:v>
      </x:c>
      <x:c r="M718" t="n">
        <x:v>0</x:v>
      </x:c>
      <x:c r="N718" t="n">
        <x:v>81.51137</x:v>
      </x:c>
      <x:c r="O718" t="n">
        <x:v>69.82</x:v>
      </x:c>
      <x:c r="P718" t="n">
        <x:v>0</x:v>
      </x:c>
      <x:c r="Q718" t="n">
        <x:v>0</x:v>
      </x:c>
      <x:c r="R718" t="n">
        <x:v>5.82</x:v>
      </x:c>
      <x:c r="S718" t="n">
        <x:v>40.9</x:v>
      </x:c>
      <x:c r="T718" t="str">
        <x:v>https://y.gtimg.cn/music/photo_new/T002R500x500M000001Oqn952HAPRk_1.jpg</x:v>
      </x:c>
      <x:c r="U718" s="24" t="str">
        <x:f>IFERROR(VLOOKUP(I718,'07_字典与参数'!$G$5:$J$9,2,FALSE),"未入选")</x:f>
        <x:v>未入选</x:v>
      </x:c>
      <x:c r="V718" s="24" t="str">
        <x:f>IFERROR(VLOOKUP(I718,'07_字典与参数'!$G$5:$J$9,3,FALSE),"—")</x:f>
        <x:v>—</x:v>
      </x:c>
      <x:c r="W718" s="24" t="str">
        <x:f>IF(U718="未入选","否","是")</x:f>
        <x:v>否</x:v>
      </x:c>
    </x:row>
    <x:row r="719">
      <x:c r="A719" t="n">
        <x:v>202631</x:v>
      </x:c>
      <x:c r="B719" t="str">
        <x:v>第31期（08.03-08.09）</x:v>
      </x:c>
      <x:c r="C719" t="str">
        <x:v>2026-08-03</x:v>
      </x:c>
      <x:c r="D719" t="str">
        <x:v>2026-08-09</x:v>
      </x:c>
      <x:c r="E719" t="n">
        <x:v>115</x:v>
      </x:c>
      <x:c r="F719" t="n">
        <x:v>530772974</x:v>
      </x:c>
      <x:c r="G719" t="str">
        <x:v>Metal Flower</x:v>
      </x:c>
      <x:c r="H719" t="str">
        <x:v>R.E.D</x:v>
      </x:c>
      <x:c r="I719" t="str">
        <x:v>0043j4Cx4XEcBt</x:v>
      </x:c>
      <x:c r="J719" t="str">
        <x:v>False</x:v>
      </x:c>
      <x:c r="K719" t="n">
        <x:v>112</x:v>
      </x:c>
      <x:c r="L719" t="n">
        <x:v>0</x:v>
      </x:c>
      <x:c r="M719" t="n">
        <x:v>0</x:v>
      </x:c>
      <x:c r="N719" t="n">
        <x:v>81.35693</x:v>
      </x:c>
      <x:c r="O719" t="n">
        <x:v>56.85</x:v>
      </x:c>
      <x:c r="P719" t="n">
        <x:v>0</x:v>
      </x:c>
      <x:c r="Q719" t="n">
        <x:v>0</x:v>
      </x:c>
      <x:c r="R719" t="n">
        <x:v>2.04</x:v>
      </x:c>
      <x:c r="S719" t="n">
        <x:v>52.38</x:v>
      </x:c>
      <x:c r="T719" t="str">
        <x:v>https://y.gtimg.cn/music/photo_new/T002R500x500M000000u1Owg2RJzL5_1.jpg</x:v>
      </x:c>
      <x:c r="U719" s="24" t="str">
        <x:f>IFERROR(VLOOKUP(I719,'07_字典与参数'!$G$5:$J$9,2,FALSE),"未入选")</x:f>
        <x:v>未入选</x:v>
      </x:c>
      <x:c r="V719" s="24" t="str">
        <x:f>IFERROR(VLOOKUP(I719,'07_字典与参数'!$G$5:$J$9,3,FALSE),"—")</x:f>
        <x:v>—</x:v>
      </x:c>
      <x:c r="W719" s="24" t="str">
        <x:f>IF(U719="未入选","否","是")</x:f>
        <x:v>否</x:v>
      </x:c>
    </x:row>
    <x:row r="720">
      <x:c r="A720" t="n">
        <x:v>202631</x:v>
      </x:c>
      <x:c r="B720" t="str">
        <x:v>第31期（08.03-08.09）</x:v>
      </x:c>
      <x:c r="C720" t="str">
        <x:v>2026-08-03</x:v>
      </x:c>
      <x:c r="D720" t="str">
        <x:v>2026-08-09</x:v>
      </x:c>
      <x:c r="E720" t="n">
        <x:v>116</x:v>
      </x:c>
      <x:c r="F720" t="n">
        <x:v>534977256</x:v>
      </x:c>
      <x:c r="G720" t="str">
        <x:v>爱旧爱（怪我曾爱你爱的太深）</x:v>
      </x:c>
      <x:c r="H720" t="str">
        <x:v>恩几</x:v>
      </x:c>
      <x:c r="I720" t="str">
        <x:v>002BW1w04c8Ixz</x:v>
      </x:c>
      <x:c r="J720" t="str">
        <x:v>False</x:v>
      </x:c>
      <x:c r="K720" t="n">
        <x:v>109</x:v>
      </x:c>
      <x:c r="L720" t="n">
        <x:v>0</x:v>
      </x:c>
      <x:c r="M720" t="n">
        <x:v>0</x:v>
      </x:c>
      <x:c r="N720" t="n">
        <x:v>81.21781</x:v>
      </x:c>
      <x:c r="O720" t="n">
        <x:v>70.26</x:v>
      </x:c>
      <x:c r="P720" t="n">
        <x:v>0</x:v>
      </x:c>
      <x:c r="Q720" t="n">
        <x:v>0</x:v>
      </x:c>
      <x:c r="R720" t="n">
        <x:v>11.64</x:v>
      </x:c>
      <x:c r="S720" t="n">
        <x:v>24.94</x:v>
      </x:c>
      <x:c r="T720" t="str">
        <x:v>https://y.gtimg.cn/music/photo_new/T002R500x500M000003SOJ190L6pju_2.jpg</x:v>
      </x:c>
      <x:c r="U720" s="24" t="str">
        <x:f>IFERROR(VLOOKUP(I720,'07_字典与参数'!$G$5:$J$9,2,FALSE),"未入选")</x:f>
        <x:v>未入选</x:v>
      </x:c>
      <x:c r="V720" s="24" t="str">
        <x:f>IFERROR(VLOOKUP(I720,'07_字典与参数'!$G$5:$J$9,3,FALSE),"—")</x:f>
        <x:v>—</x:v>
      </x:c>
      <x:c r="W720" s="24" t="str">
        <x:f>IF(U720="未入选","否","是")</x:f>
        <x:v>否</x:v>
      </x:c>
    </x:row>
    <x:row r="721">
      <x:c r="A721" t="n">
        <x:v>202631</x:v>
      </x:c>
      <x:c r="B721" t="str">
        <x:v>第31期（08.03-08.09）</x:v>
      </x:c>
      <x:c r="C721" t="str">
        <x:v>2026-08-03</x:v>
      </x:c>
      <x:c r="D721" t="str">
        <x:v>2026-08-09</x:v>
      </x:c>
      <x:c r="E721" t="n">
        <x:v>117</x:v>
      </x:c>
      <x:c r="F721" t="n">
        <x:v>537001997</x:v>
      </x:c>
      <x:c r="G721" t="str">
        <x:v>南方没有你北方没有雨</x:v>
      </x:c>
      <x:c r="H721" t="str">
        <x:v>魏佳艺</x:v>
      </x:c>
      <x:c r="I721" t="str">
        <x:v>0023yXZO0CRehG</x:v>
      </x:c>
      <x:c r="J721" t="str">
        <x:v>False</x:v>
      </x:c>
      <x:c r="K721" t="n">
        <x:v>0</x:v>
      </x:c>
      <x:c r="L721" t="n">
        <x:v>0</x:v>
      </x:c>
      <x:c r="M721" t="n">
        <x:v>0</x:v>
      </x:c>
      <x:c r="N721" t="n">
        <x:v>81.21281</x:v>
      </x:c>
      <x:c r="O721" t="n">
        <x:v>70.69</x:v>
      </x:c>
      <x:c r="P721" t="n">
        <x:v>0</x:v>
      </x:c>
      <x:c r="Q721" t="n">
        <x:v>0</x:v>
      </x:c>
      <x:c r="R721" t="n">
        <x:v>3.3</x:v>
      </x:c>
      <x:c r="S721" t="n">
        <x:v>10.32</x:v>
      </x:c>
      <x:c r="T721" t="str">
        <x:v>https://y.gtimg.cn/music/photo_new/T002R500x500M000003fQp094DHwv6_1.jpg</x:v>
      </x:c>
      <x:c r="U721" s="24" t="str">
        <x:f>IFERROR(VLOOKUP(I721,'07_字典与参数'!$G$5:$J$9,2,FALSE),"未入选")</x:f>
        <x:v>未入选</x:v>
      </x:c>
      <x:c r="V721" s="24" t="str">
        <x:f>IFERROR(VLOOKUP(I721,'07_字典与参数'!$G$5:$J$9,3,FALSE),"—")</x:f>
        <x:v>—</x:v>
      </x:c>
      <x:c r="W721" s="24" t="str">
        <x:f>IF(U721="未入选","否","是")</x:f>
        <x:v>否</x:v>
      </x:c>
    </x:row>
    <x:row r="722">
      <x:c r="A722" t="n">
        <x:v>202631</x:v>
      </x:c>
      <x:c r="B722" t="str">
        <x:v>第31期（08.03-08.09）</x:v>
      </x:c>
      <x:c r="C722" t="str">
        <x:v>2026-08-03</x:v>
      </x:c>
      <x:c r="D722" t="str">
        <x:v>2026-08-09</x:v>
      </x:c>
      <x:c r="E722" t="n">
        <x:v>118</x:v>
      </x:c>
      <x:c r="F722" t="n">
        <x:v>536864840</x:v>
      </x:c>
      <x:c r="G722" t="str">
        <x:v>灵魂相愿</x:v>
      </x:c>
      <x:c r="H722" t="str">
        <x:v>张敬轩</x:v>
      </x:c>
      <x:c r="I722" t="str">
        <x:v>004aV04M0IgIn8</x:v>
      </x:c>
      <x:c r="J722" t="str">
        <x:v>False</x:v>
      </x:c>
      <x:c r="K722" t="n">
        <x:v>88</x:v>
      </x:c>
      <x:c r="L722" t="n">
        <x:v>0</x:v>
      </x:c>
      <x:c r="M722" t="n">
        <x:v>0</x:v>
      </x:c>
      <x:c r="N722" t="n">
        <x:v>81.20944</x:v>
      </x:c>
      <x:c r="O722" t="n">
        <x:v>67.78</x:v>
      </x:c>
      <x:c r="P722" t="n">
        <x:v>0</x:v>
      </x:c>
      <x:c r="Q722" t="n">
        <x:v>0</x:v>
      </x:c>
      <x:c r="R722" t="n">
        <x:v>6.03</x:v>
      </x:c>
      <x:c r="S722" t="n">
        <x:v>42.3</x:v>
      </x:c>
      <x:c r="T722" t="str">
        <x:v>https://y.gtimg.cn/music/photo_new/T002R500x500M0000000DEVM1yYbfG_3.jpg</x:v>
      </x:c>
      <x:c r="U722" s="24" t="str">
        <x:f>IFERROR(VLOOKUP(I722,'07_字典与参数'!$G$5:$J$9,2,FALSE),"未入选")</x:f>
        <x:v>未入选</x:v>
      </x:c>
      <x:c r="V722" s="24" t="str">
        <x:f>IFERROR(VLOOKUP(I722,'07_字典与参数'!$G$5:$J$9,3,FALSE),"—")</x:f>
        <x:v>—</x:v>
      </x:c>
      <x:c r="W722" s="24" t="str">
        <x:f>IF(U722="未入选","否","是")</x:f>
        <x:v>否</x:v>
      </x:c>
    </x:row>
    <x:row r="723">
      <x:c r="A723" t="n">
        <x:v>202631</x:v>
      </x:c>
      <x:c r="B723" t="str">
        <x:v>第31期（08.03-08.09）</x:v>
      </x:c>
      <x:c r="C723" t="str">
        <x:v>2026-08-03</x:v>
      </x:c>
      <x:c r="D723" t="str">
        <x:v>2026-08-09</x:v>
      </x:c>
      <x:c r="E723" t="n">
        <x:v>119</x:v>
      </x:c>
      <x:c r="F723" t="n">
        <x:v>513296573</x:v>
      </x:c>
      <x:c r="G723" t="str">
        <x:v>街角的晚风1997</x:v>
      </x:c>
      <x:c r="H723" t="str">
        <x:v>曾舜晞</x:v>
      </x:c>
      <x:c r="I723" t="str">
        <x:v>004Ge20S1FuiOF</x:v>
      </x:c>
      <x:c r="J723" t="str">
        <x:v>False</x:v>
      </x:c>
      <x:c r="K723" t="n">
        <x:v>115</x:v>
      </x:c>
      <x:c r="L723" t="n">
        <x:v>0</x:v>
      </x:c>
      <x:c r="M723" t="n">
        <x:v>0</x:v>
      </x:c>
      <x:c r="N723" t="n">
        <x:v>81.20061</x:v>
      </x:c>
      <x:c r="O723" t="n">
        <x:v>70.38</x:v>
      </x:c>
      <x:c r="P723" t="n">
        <x:v>0</x:v>
      </x:c>
      <x:c r="Q723" t="n">
        <x:v>0</x:v>
      </x:c>
      <x:c r="R723" t="n">
        <x:v>12.57</x:v>
      </x:c>
      <x:c r="S723" t="n">
        <x:v>15.28</x:v>
      </x:c>
      <x:c r="T723" t="str">
        <x:v>https://y.gtimg.cn/music/photo_new/T002R500x500M000002eea6O0cudxW_2.jpg</x:v>
      </x:c>
      <x:c r="U723" s="24" t="str">
        <x:f>IFERROR(VLOOKUP(I723,'07_字典与参数'!$G$5:$J$9,2,FALSE),"未入选")</x:f>
        <x:v>未入选</x:v>
      </x:c>
      <x:c r="V723" s="24" t="str">
        <x:f>IFERROR(VLOOKUP(I723,'07_字典与参数'!$G$5:$J$9,3,FALSE),"—")</x:f>
        <x:v>—</x:v>
      </x:c>
      <x:c r="W723" s="24" t="str">
        <x:f>IF(U723="未入选","否","是")</x:f>
        <x:v>否</x:v>
      </x:c>
    </x:row>
    <x:row r="724">
      <x:c r="A724" t="n">
        <x:v>202631</x:v>
      </x:c>
      <x:c r="B724" t="str">
        <x:v>第31期（08.03-08.09）</x:v>
      </x:c>
      <x:c r="C724" t="str">
        <x:v>2026-08-03</x:v>
      </x:c>
      <x:c r="D724" t="str">
        <x:v>2026-08-09</x:v>
      </x:c>
      <x:c r="E724" t="n">
        <x:v>120</x:v>
      </x:c>
      <x:c r="F724" t="n">
        <x:v>513183119</x:v>
      </x:c>
      <x:c r="G724" t="str">
        <x:v>心安之地</x:v>
      </x:c>
      <x:c r="H724" t="str">
        <x:v>许嵩</x:v>
      </x:c>
      <x:c r="I724" t="str">
        <x:v>000h1psW2HN90S</x:v>
      </x:c>
      <x:c r="J724" t="str">
        <x:v>False</x:v>
      </x:c>
      <x:c r="K724" t="n">
        <x:v>127</x:v>
      </x:c>
      <x:c r="L724" t="n">
        <x:v>0</x:v>
      </x:c>
      <x:c r="M724" t="n">
        <x:v>0</x:v>
      </x:c>
      <x:c r="N724" t="n">
        <x:v>81.17958</x:v>
      </x:c>
      <x:c r="O724" t="n">
        <x:v>68.07</x:v>
      </x:c>
      <x:c r="P724" t="n">
        <x:v>0</x:v>
      </x:c>
      <x:c r="Q724" t="n">
        <x:v>0</x:v>
      </x:c>
      <x:c r="R724" t="n">
        <x:v>9.33</x:v>
      </x:c>
      <x:c r="S724" t="n">
        <x:v>41.47</x:v>
      </x:c>
      <x:c r="T724" t="str">
        <x:v>https://y.gtimg.cn/music/photo_new/T002R500x500M000001Oqn952HAPRk_1.jpg</x:v>
      </x:c>
      <x:c r="U724" s="24" t="str">
        <x:f>IFERROR(VLOOKUP(I724,'07_字典与参数'!$G$5:$J$9,2,FALSE),"未入选")</x:f>
        <x:v>未入选</x:v>
      </x:c>
      <x:c r="V724" s="24" t="str">
        <x:f>IFERROR(VLOOKUP(I724,'07_字典与参数'!$G$5:$J$9,3,FALSE),"—")</x:f>
        <x:v>—</x:v>
      </x:c>
      <x:c r="W724" s="24" t="str">
        <x:f>IF(U724="未入选","否","是")</x:f>
        <x:v>否</x:v>
      </x:c>
    </x:row>
    <x:row r="725">
      <x:c r="A725" t="n">
        <x:v>202631</x:v>
      </x:c>
      <x:c r="B725" t="str">
        <x:v>第31期（08.03-08.09）</x:v>
      </x:c>
      <x:c r="C725" t="str">
        <x:v>2026-08-03</x:v>
      </x:c>
      <x:c r="D725" t="str">
        <x:v>2026-08-09</x:v>
      </x:c>
      <x:c r="E725" t="n">
        <x:v>121</x:v>
      </x:c>
      <x:c r="F725" t="n">
        <x:v>539205299</x:v>
      </x:c>
      <x:c r="G725" t="str">
        <x:v>忘情火鸡面</x:v>
      </x:c>
      <x:c r="H725" t="str">
        <x:v>马健涛</x:v>
      </x:c>
      <x:c r="I725" t="str">
        <x:v>001lA3sd1ce339</x:v>
      </x:c>
      <x:c r="J725" t="str">
        <x:v>False</x:v>
      </x:c>
      <x:c r="K725" t="n">
        <x:v>0</x:v>
      </x:c>
      <x:c r="L725" t="n">
        <x:v>0</x:v>
      </x:c>
      <x:c r="M725" t="n">
        <x:v>0</x:v>
      </x:c>
      <x:c r="N725" t="n">
        <x:v>81.08602</x:v>
      </x:c>
      <x:c r="O725" t="n">
        <x:v>55.9</x:v>
      </x:c>
      <x:c r="P725" t="n">
        <x:v>0</x:v>
      </x:c>
      <x:c r="Q725" t="n">
        <x:v>0</x:v>
      </x:c>
      <x:c r="R725" t="n">
        <x:v>1.91</x:v>
      </x:c>
      <x:c r="S725" t="n">
        <x:v>52.09</x:v>
      </x:c>
      <x:c r="T725" t="str">
        <x:v>https://y.gtimg.cn/music/photo_new/T002R500x500M000001YB4c3254Rz1_1.jpg</x:v>
      </x:c>
      <x:c r="U725" s="24" t="str">
        <x:f>IFERROR(VLOOKUP(I725,'07_字典与参数'!$G$5:$J$9,2,FALSE),"未入选")</x:f>
        <x:v>未入选</x:v>
      </x:c>
      <x:c r="V725" s="24" t="str">
        <x:f>IFERROR(VLOOKUP(I725,'07_字典与参数'!$G$5:$J$9,3,FALSE),"—")</x:f>
        <x:v>—</x:v>
      </x:c>
      <x:c r="W725" s="24" t="str">
        <x:f>IF(U725="未入选","否","是")</x:f>
        <x:v>否</x:v>
      </x:c>
    </x:row>
    <x:row r="726">
      <x:c r="A726" t="n">
        <x:v>202631</x:v>
      </x:c>
      <x:c r="B726" t="str">
        <x:v>第31期（08.03-08.09）</x:v>
      </x:c>
      <x:c r="C726" t="str">
        <x:v>2026-08-03</x:v>
      </x:c>
      <x:c r="D726" t="str">
        <x:v>2026-08-09</x:v>
      </x:c>
      <x:c r="E726" t="n">
        <x:v>122</x:v>
      </x:c>
      <x:c r="F726" t="n">
        <x:v>522467109</x:v>
      </x:c>
      <x:c r="G726" t="str">
        <x:v>生日不快乐</x:v>
      </x:c>
      <x:c r="H726" t="str">
        <x:v>张艺兴</x:v>
      </x:c>
      <x:c r="I726" t="str">
        <x:v>001PSlNu3003Td</x:v>
      </x:c>
      <x:c r="J726" t="str">
        <x:v>False</x:v>
      </x:c>
      <x:c r="K726" t="n">
        <x:v>13</x:v>
      </x:c>
      <x:c r="L726" t="n">
        <x:v>0</x:v>
      </x:c>
      <x:c r="M726" t="n">
        <x:v>0</x:v>
      </x:c>
      <x:c r="N726" t="n">
        <x:v>81.08276</x:v>
      </x:c>
      <x:c r="O726" t="n">
        <x:v>61.36</x:v>
      </x:c>
      <x:c r="P726" t="n">
        <x:v>0</x:v>
      </x:c>
      <x:c r="Q726" t="n">
        <x:v>0</x:v>
      </x:c>
      <x:c r="R726" t="n">
        <x:v>32.61</x:v>
      </x:c>
      <x:c r="S726" t="n">
        <x:v>45.4</x:v>
      </x:c>
      <x:c r="T726" t="str">
        <x:v>https://y.gtimg.cn/music/photo_new/T002R500x500M000001w138z3PZEcz_1.jpg</x:v>
      </x:c>
      <x:c r="U726" s="24" t="str">
        <x:f>IFERROR(VLOOKUP(I726,'07_字典与参数'!$G$5:$J$9,2,FALSE),"未入选")</x:f>
        <x:v>未入选</x:v>
      </x:c>
      <x:c r="V726" s="24" t="str">
        <x:f>IFERROR(VLOOKUP(I726,'07_字典与参数'!$G$5:$J$9,3,FALSE),"—")</x:f>
        <x:v>—</x:v>
      </x:c>
      <x:c r="W726" s="24" t="str">
        <x:f>IF(U726="未入选","否","是")</x:f>
        <x:v>否</x:v>
      </x:c>
    </x:row>
    <x:row r="727">
      <x:c r="A727" t="n">
        <x:v>202631</x:v>
      </x:c>
      <x:c r="B727" t="str">
        <x:v>第31期（08.03-08.09）</x:v>
      </x:c>
      <x:c r="C727" t="str">
        <x:v>2026-08-03</x:v>
      </x:c>
      <x:c r="D727" t="str">
        <x:v>2026-08-09</x:v>
      </x:c>
      <x:c r="E727" t="n">
        <x:v>123</x:v>
      </x:c>
      <x:c r="F727" t="n">
        <x:v>522662100</x:v>
      </x:c>
      <x:c r="G727" t="str">
        <x:v>UP IT</x:v>
      </x:c>
      <x:c r="H727" t="str">
        <x:v>刘耀文</x:v>
      </x:c>
      <x:c r="I727" t="str">
        <x:v>003envMt4H3x7x</x:v>
      </x:c>
      <x:c r="J727" t="str">
        <x:v>False</x:v>
      </x:c>
      <x:c r="K727" t="n">
        <x:v>142</x:v>
      </x:c>
      <x:c r="L727" t="n">
        <x:v>0</x:v>
      </x:c>
      <x:c r="M727" t="n">
        <x:v>0</x:v>
      </x:c>
      <x:c r="N727" t="n">
        <x:v>81.06768</x:v>
      </x:c>
      <x:c r="O727" t="n">
        <x:v>61.01</x:v>
      </x:c>
      <x:c r="P727" t="n">
        <x:v>0</x:v>
      </x:c>
      <x:c r="Q727" t="n">
        <x:v>0</x:v>
      </x:c>
      <x:c r="R727" t="n">
        <x:v>32.52</x:v>
      </x:c>
      <x:c r="S727" t="n">
        <x:v>45.83</x:v>
      </x:c>
      <x:c r="T727" t="str">
        <x:v>https://y.gtimg.cn/music/photo_new/T002R500x500M000003Q3flT1zkBX3_1.jpg</x:v>
      </x:c>
      <x:c r="U727" s="24" t="str">
        <x:f>IFERROR(VLOOKUP(I727,'07_字典与参数'!$G$5:$J$9,2,FALSE),"未入选")</x:f>
        <x:v>未入选</x:v>
      </x:c>
      <x:c r="V727" s="24" t="str">
        <x:f>IFERROR(VLOOKUP(I727,'07_字典与参数'!$G$5:$J$9,3,FALSE),"—")</x:f>
        <x:v>—</x:v>
      </x:c>
      <x:c r="W727" s="24" t="str">
        <x:f>IF(U727="未入选","否","是")</x:f>
        <x:v>否</x:v>
      </x:c>
    </x:row>
    <x:row r="728">
      <x:c r="A728" t="n">
        <x:v>202631</x:v>
      </x:c>
      <x:c r="B728" t="str">
        <x:v>第31期（08.03-08.09）</x:v>
      </x:c>
      <x:c r="C728" t="str">
        <x:v>2026-08-03</x:v>
      </x:c>
      <x:c r="D728" t="str">
        <x:v>2026-08-09</x:v>
      </x:c>
      <x:c r="E728" t="n">
        <x:v>124</x:v>
      </x:c>
      <x:c r="F728" t="n">
        <x:v>530494384</x:v>
      </x:c>
      <x:c r="G728" t="str">
        <x:v>青玉恋</x:v>
      </x:c>
      <x:c r="H728" t="str">
        <x:v>刘宇</x:v>
      </x:c>
      <x:c r="I728" t="str">
        <x:v>001Mlxo70U5jA2</x:v>
      </x:c>
      <x:c r="J728" t="str">
        <x:v>False</x:v>
      </x:c>
      <x:c r="K728" t="n">
        <x:v>117</x:v>
      </x:c>
      <x:c r="L728" t="n">
        <x:v>0</x:v>
      </x:c>
      <x:c r="M728" t="n">
        <x:v>0</x:v>
      </x:c>
      <x:c r="N728" t="n">
        <x:v>81.00847</x:v>
      </x:c>
      <x:c r="O728" t="n">
        <x:v>61.19</x:v>
      </x:c>
      <x:c r="P728" t="n">
        <x:v>0</x:v>
      </x:c>
      <x:c r="Q728" t="n">
        <x:v>0</x:v>
      </x:c>
      <x:c r="R728" t="n">
        <x:v>14.65</x:v>
      </x:c>
      <x:c r="S728" t="n">
        <x:v>49.06</x:v>
      </x:c>
      <x:c r="T728" t="str">
        <x:v>https://y.gtimg.cn/music/photo_new/T002R500x500M000003zREKb4gJGUF_1.jpg</x:v>
      </x:c>
      <x:c r="U728" s="24" t="str">
        <x:f>IFERROR(VLOOKUP(I728,'07_字典与参数'!$G$5:$J$9,2,FALSE),"未入选")</x:f>
        <x:v>未入选</x:v>
      </x:c>
      <x:c r="V728" s="24" t="str">
        <x:f>IFERROR(VLOOKUP(I728,'07_字典与参数'!$G$5:$J$9,3,FALSE),"—")</x:f>
        <x:v>—</x:v>
      </x:c>
      <x:c r="W728" s="24" t="str">
        <x:f>IF(U728="未入选","否","是")</x:f>
        <x:v>否</x:v>
      </x:c>
    </x:row>
    <x:row r="729">
      <x:c r="A729" t="n">
        <x:v>202631</x:v>
      </x:c>
      <x:c r="B729" t="str">
        <x:v>第31期（08.03-08.09）</x:v>
      </x:c>
      <x:c r="C729" t="str">
        <x:v>2026-08-03</x:v>
      </x:c>
      <x:c r="D729" t="str">
        <x:v>2026-08-09</x:v>
      </x:c>
      <x:c r="E729" t="n">
        <x:v>125</x:v>
      </x:c>
      <x:c r="F729" t="n">
        <x:v>507703039</x:v>
      </x:c>
      <x:c r="G729" t="str">
        <x:v>也许在下雨天 (眼泪才不被看见)</x:v>
      </x:c>
      <x:c r="H729" t="str">
        <x:v>何遇Hayu,Crybird</x:v>
      </x:c>
      <x:c r="I729" t="str">
        <x:v>003hjJ9O4AiBl9</x:v>
      </x:c>
      <x:c r="J729" t="str">
        <x:v>False</x:v>
      </x:c>
      <x:c r="K729" t="n">
        <x:v>124</x:v>
      </x:c>
      <x:c r="L729" t="n">
        <x:v>0</x:v>
      </x:c>
      <x:c r="M729" t="n">
        <x:v>0</x:v>
      </x:c>
      <x:c r="N729" t="n">
        <x:v>80.8722</x:v>
      </x:c>
      <x:c r="O729" t="n">
        <x:v>69.34</x:v>
      </x:c>
      <x:c r="P729" t="n">
        <x:v>0</x:v>
      </x:c>
      <x:c r="Q729" t="n">
        <x:v>0</x:v>
      </x:c>
      <x:c r="R729" t="n">
        <x:v>16.62</x:v>
      </x:c>
      <x:c r="S729" t="n">
        <x:v>24.66</x:v>
      </x:c>
      <x:c r="T729" t="str">
        <x:v>https://y.gtimg.cn/music/photo_new/T002R500x500M000001xNQMK1OvExE_2.jpg</x:v>
      </x:c>
      <x:c r="U729" s="24" t="str">
        <x:f>IFERROR(VLOOKUP(I729,'07_字典与参数'!$G$5:$J$9,2,FALSE),"未入选")</x:f>
        <x:v>未入选</x:v>
      </x:c>
      <x:c r="V729" s="24" t="str">
        <x:f>IFERROR(VLOOKUP(I729,'07_字典与参数'!$G$5:$J$9,3,FALSE),"—")</x:f>
        <x:v>—</x:v>
      </x:c>
      <x:c r="W729" s="24" t="str">
        <x:f>IF(U729="未入选","否","是")</x:f>
        <x:v>否</x:v>
      </x:c>
    </x:row>
    <x:row r="730">
      <x:c r="A730" t="n">
        <x:v>202631</x:v>
      </x:c>
      <x:c r="B730" t="str">
        <x:v>第31期（08.03-08.09）</x:v>
      </x:c>
      <x:c r="C730" t="str">
        <x:v>2026-08-03</x:v>
      </x:c>
      <x:c r="D730" t="str">
        <x:v>2026-08-09</x:v>
      </x:c>
      <x:c r="E730" t="n">
        <x:v>126</x:v>
      </x:c>
      <x:c r="F730" t="n">
        <x:v>529851668</x:v>
      </x:c>
      <x:c r="G730" t="str">
        <x:v>全世界陪我出发</x:v>
      </x:c>
      <x:c r="H730" t="str">
        <x:v>TF家族,TF家族-官俊臣,TF家族-张桂源,TF家族-张函瑞,TF家族-王橹杰,TF家族-王烁然,TF家族-左奇函,TF家族-陈奕恒,TF家族-杨博文,TF家族-杨涵博,TF家族-张奕然,TF家族-聂玮辰,TF家族-陈思罕,TF家族-魏子宸,TF家族-李煜东,TF家族-陈浚铭</x:v>
      </x:c>
      <x:c r="I730" t="str">
        <x:v>003RIqye0gr9MB</x:v>
      </x:c>
      <x:c r="J730" t="str">
        <x:v>False</x:v>
      </x:c>
      <x:c r="K730" t="n">
        <x:v>136</x:v>
      </x:c>
      <x:c r="L730" t="n">
        <x:v>0</x:v>
      </x:c>
      <x:c r="M730" t="n">
        <x:v>0</x:v>
      </x:c>
      <x:c r="N730" t="n">
        <x:v>80.83873</x:v>
      </x:c>
      <x:c r="O730" t="n">
        <x:v>67.08</x:v>
      </x:c>
      <x:c r="P730" t="n">
        <x:v>0</x:v>
      </x:c>
      <x:c r="Q730" t="n">
        <x:v>0</x:v>
      </x:c>
      <x:c r="R730" t="n">
        <x:v>16.04</x:v>
      </x:c>
      <x:c r="S730" t="n">
        <x:v>40.71</x:v>
      </x:c>
      <x:c r="T730" t="str">
        <x:v>https://y.gtimg.cn/music/photo_new/T002R500x500M000000dn6vm1EN6ax_1.jpg</x:v>
      </x:c>
      <x:c r="U730" s="24" t="str">
        <x:f>IFERROR(VLOOKUP(I730,'07_字典与参数'!$G$5:$J$9,2,FALSE),"未入选")</x:f>
        <x:v>未入选</x:v>
      </x:c>
      <x:c r="V730" s="24" t="str">
        <x:f>IFERROR(VLOOKUP(I730,'07_字典与参数'!$G$5:$J$9,3,FALSE),"—")</x:f>
        <x:v>—</x:v>
      </x:c>
      <x:c r="W730" s="24" t="str">
        <x:f>IF(U730="未入选","否","是")</x:f>
        <x:v>否</x:v>
      </x:c>
    </x:row>
    <x:row r="731">
      <x:c r="A731" t="n">
        <x:v>202631</x:v>
      </x:c>
      <x:c r="B731" t="str">
        <x:v>第31期（08.03-08.09）</x:v>
      </x:c>
      <x:c r="C731" t="str">
        <x:v>2026-08-03</x:v>
      </x:c>
      <x:c r="D731" t="str">
        <x:v>2026-08-09</x:v>
      </x:c>
      <x:c r="E731" t="n">
        <x:v>127</x:v>
      </x:c>
      <x:c r="F731" t="n">
        <x:v>524476063</x:v>
      </x:c>
      <x:c r="G731" t="str">
        <x:v>一直下</x:v>
      </x:c>
      <x:c r="H731" t="str">
        <x:v>陈宇祥</x:v>
      </x:c>
      <x:c r="I731" t="str">
        <x:v>002GlLlX2IsyYr</x:v>
      </x:c>
      <x:c r="J731" t="str">
        <x:v>False</x:v>
      </x:c>
      <x:c r="K731" t="n">
        <x:v>60</x:v>
      </x:c>
      <x:c r="L731" t="n">
        <x:v>0</x:v>
      </x:c>
      <x:c r="M731" t="n">
        <x:v>0</x:v>
      </x:c>
      <x:c r="N731" t="n">
        <x:v>80.82694</x:v>
      </x:c>
      <x:c r="O731" t="n">
        <x:v>70.36</x:v>
      </x:c>
      <x:c r="P731" t="n">
        <x:v>0</x:v>
      </x:c>
      <x:c r="Q731" t="n">
        <x:v>0</x:v>
      </x:c>
      <x:c r="R731" t="n">
        <x:v>1.22</x:v>
      </x:c>
      <x:c r="S731" t="n">
        <x:v>10.24</x:v>
      </x:c>
      <x:c r="T731" t="str">
        <x:v>https://y.gtimg.cn/music/photo_new/T002R500x500M0000036ad3O39VsR1_1.jpg</x:v>
      </x:c>
      <x:c r="U731" s="24" t="str">
        <x:f>IFERROR(VLOOKUP(I731,'07_字典与参数'!$G$5:$J$9,2,FALSE),"未入选")</x:f>
        <x:v>未入选</x:v>
      </x:c>
      <x:c r="V731" s="24" t="str">
        <x:f>IFERROR(VLOOKUP(I731,'07_字典与参数'!$G$5:$J$9,3,FALSE),"—")</x:f>
        <x:v>—</x:v>
      </x:c>
      <x:c r="W731" s="24" t="str">
        <x:f>IF(U731="未入选","否","是")</x:f>
        <x:v>否</x:v>
      </x:c>
    </x:row>
    <x:row r="732">
      <x:c r="A732" t="n">
        <x:v>202631</x:v>
      </x:c>
      <x:c r="B732" t="str">
        <x:v>第31期（08.03-08.09）</x:v>
      </x:c>
      <x:c r="C732" t="str">
        <x:v>2026-08-03</x:v>
      </x:c>
      <x:c r="D732" t="str">
        <x:v>2026-08-09</x:v>
      </x:c>
      <x:c r="E732" t="n">
        <x:v>128</x:v>
      </x:c>
      <x:c r="F732" t="n">
        <x:v>511979926</x:v>
      </x:c>
      <x:c r="G732" t="str">
        <x:v>古风2026</x:v>
      </x:c>
      <x:c r="H732" t="str">
        <x:v>一颗狼星,糯米Nomi,倪浩毅,指尖笑,草帽酱,执素兮,平生不晚,浅影阿</x:v>
      </x:c>
      <x:c r="I732" t="str">
        <x:v>002BNkDq46SfPr</x:v>
      </x:c>
      <x:c r="J732" t="str">
        <x:v>False</x:v>
      </x:c>
      <x:c r="K732" t="n">
        <x:v>139</x:v>
      </x:c>
      <x:c r="L732" t="n">
        <x:v>0</x:v>
      </x:c>
      <x:c r="M732" t="n">
        <x:v>0</x:v>
      </x:c>
      <x:c r="N732" t="n">
        <x:v>80.78083</x:v>
      </x:c>
      <x:c r="O732" t="n">
        <x:v>70.18</x:v>
      </x:c>
      <x:c r="P732" t="n">
        <x:v>0</x:v>
      </x:c>
      <x:c r="Q732" t="n">
        <x:v>0</x:v>
      </x:c>
      <x:c r="R732" t="n">
        <x:v>3.78</x:v>
      </x:c>
      <x:c r="S732" t="n">
        <x:v>15.54</x:v>
      </x:c>
      <x:c r="T732" t="str">
        <x:v>https://y.gtimg.cn/music/photo_new/T002R500x500M000002KRyi405Zmjv_1.jpg</x:v>
      </x:c>
      <x:c r="U732" s="24" t="str">
        <x:f>IFERROR(VLOOKUP(I732,'07_字典与参数'!$G$5:$J$9,2,FALSE),"未入选")</x:f>
        <x:v>未入选</x:v>
      </x:c>
      <x:c r="V732" s="24" t="str">
        <x:f>IFERROR(VLOOKUP(I732,'07_字典与参数'!$G$5:$J$9,3,FALSE),"—")</x:f>
        <x:v>—</x:v>
      </x:c>
      <x:c r="W732" s="24" t="str">
        <x:f>IF(U732="未入选","否","是")</x:f>
        <x:v>否</x:v>
      </x:c>
    </x:row>
    <x:row r="733">
      <x:c r="A733" t="n">
        <x:v>202631</x:v>
      </x:c>
      <x:c r="B733" t="str">
        <x:v>第31期（08.03-08.09）</x:v>
      </x:c>
      <x:c r="C733" t="str">
        <x:v>2026-08-03</x:v>
      </x:c>
      <x:c r="D733" t="str">
        <x:v>2026-08-09</x:v>
      </x:c>
      <x:c r="E733" t="n">
        <x:v>129</x:v>
      </x:c>
      <x:c r="F733" t="n">
        <x:v>512975549</x:v>
      </x:c>
      <x:c r="G733" t="str">
        <x:v>洛阳纸</x:v>
      </x:c>
      <x:c r="H733" t="str">
        <x:v>许嵩</x:v>
      </x:c>
      <x:c r="I733" t="str">
        <x:v>000iOs7F4gQ4VR</x:v>
      </x:c>
      <x:c r="J733" t="str">
        <x:v>False</x:v>
      </x:c>
      <x:c r="K733" t="n">
        <x:v>137</x:v>
      </x:c>
      <x:c r="L733" t="n">
        <x:v>0</x:v>
      </x:c>
      <x:c r="M733" t="n">
        <x:v>0</x:v>
      </x:c>
      <x:c r="N733" t="n">
        <x:v>80.75839</x:v>
      </x:c>
      <x:c r="O733" t="n">
        <x:v>68.12</x:v>
      </x:c>
      <x:c r="P733" t="n">
        <x:v>0</x:v>
      </x:c>
      <x:c r="Q733" t="n">
        <x:v>0</x:v>
      </x:c>
      <x:c r="R733" t="n">
        <x:v>4.77</x:v>
      </x:c>
      <x:c r="S733" t="n">
        <x:v>40.23</x:v>
      </x:c>
      <x:c r="T733" t="str">
        <x:v>https://y.gtimg.cn/music/photo_new/T002R500x500M000001Oqn952HAPRk_1.jpg</x:v>
      </x:c>
      <x:c r="U733" s="24" t="str">
        <x:f>IFERROR(VLOOKUP(I733,'07_字典与参数'!$G$5:$J$9,2,FALSE),"未入选")</x:f>
        <x:v>未入选</x:v>
      </x:c>
      <x:c r="V733" s="24" t="str">
        <x:f>IFERROR(VLOOKUP(I733,'07_字典与参数'!$G$5:$J$9,3,FALSE),"—")</x:f>
        <x:v>—</x:v>
      </x:c>
      <x:c r="W733" s="24" t="str">
        <x:f>IF(U733="未入选","否","是")</x:f>
        <x:v>否</x:v>
      </x:c>
    </x:row>
    <x:row r="734">
      <x:c r="A734" t="n">
        <x:v>202631</x:v>
      </x:c>
      <x:c r="B734" t="str">
        <x:v>第31期（08.03-08.09）</x:v>
      </x:c>
      <x:c r="C734" t="str">
        <x:v>2026-08-03</x:v>
      </x:c>
      <x:c r="D734" t="str">
        <x:v>2026-08-09</x:v>
      </x:c>
      <x:c r="E734" t="n">
        <x:v>130</x:v>
      </x:c>
      <x:c r="F734" t="n">
        <x:v>514417457</x:v>
      </x:c>
      <x:c r="G734" t="str">
        <x:v>略略略略略</x:v>
      </x:c>
      <x:c r="H734" t="str">
        <x:v>TOP登陆少年组合</x:v>
      </x:c>
      <x:c r="I734" t="str">
        <x:v>000QuvKj4aCfBU</x:v>
      </x:c>
      <x:c r="J734" t="str">
        <x:v>False</x:v>
      </x:c>
      <x:c r="K734" t="n">
        <x:v>134</x:v>
      </x:c>
      <x:c r="L734" t="n">
        <x:v>0</x:v>
      </x:c>
      <x:c r="M734" t="n">
        <x:v>0</x:v>
      </x:c>
      <x:c r="N734" t="n">
        <x:v>80.70874</x:v>
      </x:c>
      <x:c r="O734" t="n">
        <x:v>66.43</x:v>
      </x:c>
      <x:c r="P734" t="n">
        <x:v>0</x:v>
      </x:c>
      <x:c r="Q734" t="n">
        <x:v>0</x:v>
      </x:c>
      <x:c r="R734" t="n">
        <x:v>20.67</x:v>
      </x:c>
      <x:c r="S734" t="n">
        <x:v>40.47</x:v>
      </x:c>
      <x:c r="T734" t="str">
        <x:v>https://y.gtimg.cn/music/photo_new/T002R500x500M000002rYBVh2iOMHZ_2.jpg</x:v>
      </x:c>
      <x:c r="U734" s="24" t="str">
        <x:f>IFERROR(VLOOKUP(I734,'07_字典与参数'!$G$5:$J$9,2,FALSE),"未入选")</x:f>
        <x:v>未入选</x:v>
      </x:c>
      <x:c r="V734" s="24" t="str">
        <x:f>IFERROR(VLOOKUP(I734,'07_字典与参数'!$G$5:$J$9,3,FALSE),"—")</x:f>
        <x:v>—</x:v>
      </x:c>
      <x:c r="W734" s="24" t="str">
        <x:f>IF(U734="未入选","否","是")</x:f>
        <x:v>否</x:v>
      </x:c>
    </x:row>
    <x:row r="735">
      <x:c r="A735" t="n">
        <x:v>202631</x:v>
      </x:c>
      <x:c r="B735" t="str">
        <x:v>第31期（08.03-08.09）</x:v>
      </x:c>
      <x:c r="C735" t="str">
        <x:v>2026-08-03</x:v>
      </x:c>
      <x:c r="D735" t="str">
        <x:v>2026-08-09</x:v>
      </x:c>
      <x:c r="E735" t="n">
        <x:v>131</x:v>
      </x:c>
      <x:c r="F735" t="n">
        <x:v>524048324</x:v>
      </x:c>
      <x:c r="G735" t="str">
        <x:v>香烟与吻痕 (我在月光下许过情真)</x:v>
      </x:c>
      <x:c r="H735" t="str">
        <x:v>黄龄</x:v>
      </x:c>
      <x:c r="I735" t="str">
        <x:v>002L0ilt0Sk1xo</x:v>
      </x:c>
      <x:c r="J735" t="str">
        <x:v>False</x:v>
      </x:c>
      <x:c r="K735" t="n">
        <x:v>128</x:v>
      </x:c>
      <x:c r="L735" t="n">
        <x:v>0</x:v>
      </x:c>
      <x:c r="M735" t="n">
        <x:v>0</x:v>
      </x:c>
      <x:c r="N735" t="n">
        <x:v>80.66216</x:v>
      </x:c>
      <x:c r="O735" t="n">
        <x:v>70.13</x:v>
      </x:c>
      <x:c r="P735" t="n">
        <x:v>0</x:v>
      </x:c>
      <x:c r="Q735" t="n">
        <x:v>0</x:v>
      </x:c>
      <x:c r="R735" t="n">
        <x:v>1.97</x:v>
      </x:c>
      <x:c r="S735" t="n">
        <x:v>13.55</x:v>
      </x:c>
      <x:c r="T735" t="str">
        <x:v>https://y.gtimg.cn/music/photo_new/T002R500x500M000001k5VY01qCYXb_1.jpg</x:v>
      </x:c>
      <x:c r="U735" s="24" t="str">
        <x:f>IFERROR(VLOOKUP(I735,'07_字典与参数'!$G$5:$J$9,2,FALSE),"未入选")</x:f>
        <x:v>未入选</x:v>
      </x:c>
      <x:c r="V735" s="24" t="str">
        <x:f>IFERROR(VLOOKUP(I735,'07_字典与参数'!$G$5:$J$9,3,FALSE),"—")</x:f>
        <x:v>—</x:v>
      </x:c>
      <x:c r="W735" s="24" t="str">
        <x:f>IF(U735="未入选","否","是")</x:f>
        <x:v>否</x:v>
      </x:c>
    </x:row>
    <x:row r="736">
      <x:c r="A736" t="n">
        <x:v>202631</x:v>
      </x:c>
      <x:c r="B736" t="str">
        <x:v>第31期（08.03-08.09）</x:v>
      </x:c>
      <x:c r="C736" t="str">
        <x:v>2026-08-03</x:v>
      </x:c>
      <x:c r="D736" t="str">
        <x:v>2026-08-09</x:v>
      </x:c>
      <x:c r="E736" t="n">
        <x:v>132</x:v>
      </x:c>
      <x:c r="F736" t="n">
        <x:v>522467110</x:v>
      </x:c>
      <x:c r="G736" t="str">
        <x:v>休止符</x:v>
      </x:c>
      <x:c r="H736" t="str">
        <x:v>张艺兴</x:v>
      </x:c>
      <x:c r="I736" t="str">
        <x:v>002O5gy93O0q2o</x:v>
      </x:c>
      <x:c r="J736" t="str">
        <x:v>False</x:v>
      </x:c>
      <x:c r="K736" t="n">
        <x:v>104</x:v>
      </x:c>
      <x:c r="L736" t="n">
        <x:v>0</x:v>
      </x:c>
      <x:c r="M736" t="n">
        <x:v>0</x:v>
      </x:c>
      <x:c r="N736" t="n">
        <x:v>80.53799</x:v>
      </x:c>
      <x:c r="O736" t="n">
        <x:v>62.44</x:v>
      </x:c>
      <x:c r="P736" t="n">
        <x:v>0</x:v>
      </x:c>
      <x:c r="Q736" t="n">
        <x:v>0</x:v>
      </x:c>
      <x:c r="R736" t="n">
        <x:v>34.45</x:v>
      </x:c>
      <x:c r="S736" t="n">
        <x:v>41.12</x:v>
      </x:c>
      <x:c r="T736" t="str">
        <x:v>https://y.gtimg.cn/music/photo_new/T002R500x500M000001w138z3PZEcz_1.jpg</x:v>
      </x:c>
      <x:c r="U736" s="24" t="str">
        <x:f>IFERROR(VLOOKUP(I736,'07_字典与参数'!$G$5:$J$9,2,FALSE),"未入选")</x:f>
        <x:v>未入选</x:v>
      </x:c>
      <x:c r="V736" s="24" t="str">
        <x:f>IFERROR(VLOOKUP(I736,'07_字典与参数'!$G$5:$J$9,3,FALSE),"—")</x:f>
        <x:v>—</x:v>
      </x:c>
      <x:c r="W736" s="24" t="str">
        <x:f>IF(U736="未入选","否","是")</x:f>
        <x:v>否</x:v>
      </x:c>
    </x:row>
    <x:row r="737">
      <x:c r="A737" t="n">
        <x:v>202631</x:v>
      </x:c>
      <x:c r="B737" t="str">
        <x:v>第31期（08.03-08.09）</x:v>
      </x:c>
      <x:c r="C737" t="str">
        <x:v>2026-08-03</x:v>
      </x:c>
      <x:c r="D737" t="str">
        <x:v>2026-08-09</x:v>
      </x:c>
      <x:c r="E737" t="n">
        <x:v>133</x:v>
      </x:c>
      <x:c r="F737" t="n">
        <x:v>521535510</x:v>
      </x:c>
      <x:c r="G737" t="str">
        <x:v>如果他真的温柔</x:v>
      </x:c>
      <x:c r="H737" t="str">
        <x:v>郑大钱</x:v>
      </x:c>
      <x:c r="I737" t="str">
        <x:v>0025Atda0RmmVT</x:v>
      </x:c>
      <x:c r="J737" t="str">
        <x:v>False</x:v>
      </x:c>
      <x:c r="K737" t="n">
        <x:v>159</x:v>
      </x:c>
      <x:c r="L737" t="n">
        <x:v>0</x:v>
      </x:c>
      <x:c r="M737" t="n">
        <x:v>0</x:v>
      </x:c>
      <x:c r="N737" t="n">
        <x:v>80.52277</x:v>
      </x:c>
      <x:c r="O737" t="n">
        <x:v>70.08</x:v>
      </x:c>
      <x:c r="P737" t="n">
        <x:v>0</x:v>
      </x:c>
      <x:c r="Q737" t="n">
        <x:v>0</x:v>
      </x:c>
      <x:c r="R737" t="n">
        <x:v>2.99</x:v>
      </x:c>
      <x:c r="S737" t="n">
        <x:v>2.78</x:v>
      </x:c>
      <x:c r="T737" t="str">
        <x:v>https://y.gtimg.cn/music/photo_new/T002R500x500M000000hz6RF2BHIwB_1.jpg</x:v>
      </x:c>
      <x:c r="U737" s="24" t="str">
        <x:f>IFERROR(VLOOKUP(I737,'07_字典与参数'!$G$5:$J$9,2,FALSE),"未入选")</x:f>
        <x:v>未入选</x:v>
      </x:c>
      <x:c r="V737" s="24" t="str">
        <x:f>IFERROR(VLOOKUP(I737,'07_字典与参数'!$G$5:$J$9,3,FALSE),"—")</x:f>
        <x:v>—</x:v>
      </x:c>
      <x:c r="W737" s="24" t="str">
        <x:f>IF(U737="未入选","否","是")</x:f>
        <x:v>否</x:v>
      </x:c>
    </x:row>
    <x:row r="738">
      <x:c r="A738" t="n">
        <x:v>202631</x:v>
      </x:c>
      <x:c r="B738" t="str">
        <x:v>第31期（08.03-08.09）</x:v>
      </x:c>
      <x:c r="C738" t="str">
        <x:v>2026-08-03</x:v>
      </x:c>
      <x:c r="D738" t="str">
        <x:v>2026-08-09</x:v>
      </x:c>
      <x:c r="E738" t="n">
        <x:v>134</x:v>
      </x:c>
      <x:c r="F738" t="n">
        <x:v>535019785</x:v>
      </x:c>
      <x:c r="G738" t="str">
        <x:v>水为媒</x:v>
      </x:c>
      <x:c r="H738" t="str">
        <x:v>礼越</x:v>
      </x:c>
      <x:c r="I738" t="str">
        <x:v>000y19M71Kashy</x:v>
      </x:c>
      <x:c r="J738" t="str">
        <x:v>False</x:v>
      </x:c>
      <x:c r="K738" t="n">
        <x:v>0</x:v>
      </x:c>
      <x:c r="L738" t="n">
        <x:v>0</x:v>
      </x:c>
      <x:c r="M738" t="n">
        <x:v>0</x:v>
      </x:c>
      <x:c r="N738" t="n">
        <x:v>80.47921</x:v>
      </x:c>
      <x:c r="O738" t="n">
        <x:v>67.95</x:v>
      </x:c>
      <x:c r="P738" t="n">
        <x:v>0</x:v>
      </x:c>
      <x:c r="Q738" t="n">
        <x:v>0</x:v>
      </x:c>
      <x:c r="R738" t="n">
        <x:v>2.13</x:v>
      </x:c>
      <x:c r="S738" t="n">
        <x:v>37.76</x:v>
      </x:c>
      <x:c r="T738" t="str">
        <x:v>https://y.gtimg.cn/music/photo_new/T002R500x500M0000030XKey0zuXng_1.jpg</x:v>
      </x:c>
      <x:c r="U738" s="24" t="str">
        <x:f>IFERROR(VLOOKUP(I738,'07_字典与参数'!$G$5:$J$9,2,FALSE),"未入选")</x:f>
        <x:v>未入选</x:v>
      </x:c>
      <x:c r="V738" s="24" t="str">
        <x:f>IFERROR(VLOOKUP(I738,'07_字典与参数'!$G$5:$J$9,3,FALSE),"—")</x:f>
        <x:v>—</x:v>
      </x:c>
      <x:c r="W738" s="24" t="str">
        <x:f>IF(U738="未入选","否","是")</x:f>
        <x:v>否</x:v>
      </x:c>
    </x:row>
    <x:row r="739">
      <x:c r="A739" t="n">
        <x:v>202631</x:v>
      </x:c>
      <x:c r="B739" t="str">
        <x:v>第31期（08.03-08.09）</x:v>
      </x:c>
      <x:c r="C739" t="str">
        <x:v>2026-08-03</x:v>
      </x:c>
      <x:c r="D739" t="str">
        <x:v>2026-08-09</x:v>
      </x:c>
      <x:c r="E739" t="n">
        <x:v>135</x:v>
      </x:c>
      <x:c r="F739" t="n">
        <x:v>492295463</x:v>
      </x:c>
      <x:c r="G739" t="str">
        <x:v>隐瞒</x:v>
      </x:c>
      <x:c r="H739" t="str">
        <x:v>TF_ING邓佳鑫</x:v>
      </x:c>
      <x:c r="I739" t="str">
        <x:v>002Bw7Br2V7OZF</x:v>
      </x:c>
      <x:c r="J739" t="str">
        <x:v>False</x:v>
      </x:c>
      <x:c r="K739" t="n">
        <x:v>107</x:v>
      </x:c>
      <x:c r="L739" t="n">
        <x:v>0</x:v>
      </x:c>
      <x:c r="M739" t="n">
        <x:v>0</x:v>
      </x:c>
      <x:c r="N739" t="n">
        <x:v>80.44305</x:v>
      </x:c>
      <x:c r="O739" t="n">
        <x:v>51.64</x:v>
      </x:c>
      <x:c r="P739" t="n">
        <x:v>0</x:v>
      </x:c>
      <x:c r="Q739" t="n">
        <x:v>0</x:v>
      </x:c>
      <x:c r="R739" t="n">
        <x:v>15.45</x:v>
      </x:c>
      <x:c r="S739" t="n">
        <x:v>51.14</x:v>
      </x:c>
      <x:c r="T739" t="str">
        <x:v>https://y.gtimg.cn/music/photo_new/T002R500x500M000004A6rAz2YPGz5_1.jpg</x:v>
      </x:c>
      <x:c r="U739" s="24" t="str">
        <x:f>IFERROR(VLOOKUP(I739,'07_字典与参数'!$G$5:$J$9,2,FALSE),"未入选")</x:f>
        <x:v>未入选</x:v>
      </x:c>
      <x:c r="V739" s="24" t="str">
        <x:f>IFERROR(VLOOKUP(I739,'07_字典与参数'!$G$5:$J$9,3,FALSE),"—")</x:f>
        <x:v>—</x:v>
      </x:c>
      <x:c r="W739" s="24" t="str">
        <x:f>IF(U739="未入选","否","是")</x:f>
        <x:v>否</x:v>
      </x:c>
    </x:row>
    <x:row r="740">
      <x:c r="A740" t="n">
        <x:v>202631</x:v>
      </x:c>
      <x:c r="B740" t="str">
        <x:v>第31期（08.03-08.09）</x:v>
      </x:c>
      <x:c r="C740" t="str">
        <x:v>2026-08-03</x:v>
      </x:c>
      <x:c r="D740" t="str">
        <x:v>2026-08-09</x:v>
      </x:c>
      <x:c r="E740" t="n">
        <x:v>136</x:v>
      </x:c>
      <x:c r="F740" t="n">
        <x:v>516975210</x:v>
      </x:c>
      <x:c r="G740" t="str">
        <x:v>千香</x:v>
      </x:c>
      <x:c r="H740" t="str">
        <x:v>周深</x:v>
      </x:c>
      <x:c r="I740" t="str">
        <x:v>004Uik3G0sMdUW</x:v>
      </x:c>
      <x:c r="J740" t="str">
        <x:v>False</x:v>
      </x:c>
      <x:c r="K740" t="n">
        <x:v>123</x:v>
      </x:c>
      <x:c r="L740" t="n">
        <x:v>0</x:v>
      </x:c>
      <x:c r="M740" t="n">
        <x:v>0</x:v>
      </x:c>
      <x:c r="N740" t="n">
        <x:v>80.43964</x:v>
      </x:c>
      <x:c r="O740" t="n">
        <x:v>62.45</x:v>
      </x:c>
      <x:c r="P740" t="n">
        <x:v>0</x:v>
      </x:c>
      <x:c r="Q740" t="n">
        <x:v>0</x:v>
      </x:c>
      <x:c r="R740" t="n">
        <x:v>6.5</x:v>
      </x:c>
      <x:c r="S740" t="n">
        <x:v>46.06</x:v>
      </x:c>
      <x:c r="T740" t="str">
        <x:v>https://y.qq.com/music/photo_new/T062R500x500M000001xCpOz3ARHzs.jpg</x:v>
      </x:c>
      <x:c r="U740" s="24" t="str">
        <x:f>IFERROR(VLOOKUP(I740,'07_字典与参数'!$G$5:$J$9,2,FALSE),"未入选")</x:f>
        <x:v>未入选</x:v>
      </x:c>
      <x:c r="V740" s="24" t="str">
        <x:f>IFERROR(VLOOKUP(I740,'07_字典与参数'!$G$5:$J$9,3,FALSE),"—")</x:f>
        <x:v>—</x:v>
      </x:c>
      <x:c r="W740" s="24" t="str">
        <x:f>IF(U740="未入选","否","是")</x:f>
        <x:v>否</x:v>
      </x:c>
    </x:row>
    <x:row r="741">
      <x:c r="A741" t="n">
        <x:v>202631</x:v>
      </x:c>
      <x:c r="B741" t="str">
        <x:v>第31期（08.03-08.09）</x:v>
      </x:c>
      <x:c r="C741" t="str">
        <x:v>2026-08-03</x:v>
      </x:c>
      <x:c r="D741" t="str">
        <x:v>2026-08-09</x:v>
      </x:c>
      <x:c r="E741" t="n">
        <x:v>137</x:v>
      </x:c>
      <x:c r="F741" t="n">
        <x:v>522436401</x:v>
      </x:c>
      <x:c r="G741" t="str">
        <x:v>爱谁谁</x:v>
      </x:c>
      <x:c r="H741" t="str">
        <x:v>张艺兴</x:v>
      </x:c>
      <x:c r="I741" t="str">
        <x:v>0022DCpn01uwgJ</x:v>
      </x:c>
      <x:c r="J741" t="str">
        <x:v>False</x:v>
      </x:c>
      <x:c r="K741" t="n">
        <x:v>66</x:v>
      </x:c>
      <x:c r="L741" t="n">
        <x:v>0</x:v>
      </x:c>
      <x:c r="M741" t="n">
        <x:v>0</x:v>
      </x:c>
      <x:c r="N741" t="n">
        <x:v>80.42761</x:v>
      </x:c>
      <x:c r="O741" t="n">
        <x:v>56.12</x:v>
      </x:c>
      <x:c r="P741" t="n">
        <x:v>0</x:v>
      </x:c>
      <x:c r="Q741" t="n">
        <x:v>0</x:v>
      </x:c>
      <x:c r="R741" t="n">
        <x:v>41.59</x:v>
      </x:c>
      <x:c r="S741" t="n">
        <x:v>42.03</x:v>
      </x:c>
      <x:c r="T741" t="str">
        <x:v>https://y.gtimg.cn/music/photo_new/T002R500x500M000001w138z3PZEcz_1.jpg</x:v>
      </x:c>
      <x:c r="U741" s="24" t="str">
        <x:f>IFERROR(VLOOKUP(I741,'07_字典与参数'!$G$5:$J$9,2,FALSE),"未入选")</x:f>
        <x:v>未入选</x:v>
      </x:c>
      <x:c r="V741" s="24" t="str">
        <x:f>IFERROR(VLOOKUP(I741,'07_字典与参数'!$G$5:$J$9,3,FALSE),"—")</x:f>
        <x:v>—</x:v>
      </x:c>
      <x:c r="W741" s="24" t="str">
        <x:f>IF(U741="未入选","否","是")</x:f>
        <x:v>否</x:v>
      </x:c>
    </x:row>
    <x:row r="742">
      <x:c r="A742" t="n">
        <x:v>202631</x:v>
      </x:c>
      <x:c r="B742" t="str">
        <x:v>第31期（08.03-08.09）</x:v>
      </x:c>
      <x:c r="C742" t="str">
        <x:v>2026-08-03</x:v>
      </x:c>
      <x:c r="D742" t="str">
        <x:v>2026-08-09</x:v>
      </x:c>
      <x:c r="E742" t="n">
        <x:v>138</x:v>
      </x:c>
      <x:c r="F742" t="n">
        <x:v>534992742</x:v>
      </x:c>
      <x:c r="G742" t="str">
        <x:v>风若是拦不住</x:v>
      </x:c>
      <x:c r="H742" t="str">
        <x:v>亚飞</x:v>
      </x:c>
      <x:c r="I742" t="str">
        <x:v>000Fbq5L1xH8sK</x:v>
      </x:c>
      <x:c r="J742" t="str">
        <x:v>False</x:v>
      </x:c>
      <x:c r="K742" t="n">
        <x:v>0</x:v>
      </x:c>
      <x:c r="L742" t="n">
        <x:v>0</x:v>
      </x:c>
      <x:c r="M742" t="n">
        <x:v>0</x:v>
      </x:c>
      <x:c r="N742" t="n">
        <x:v>80.39992</x:v>
      </x:c>
      <x:c r="O742" t="n">
        <x:v>66.02</x:v>
      </x:c>
      <x:c r="P742" t="n">
        <x:v>0</x:v>
      </x:c>
      <x:c r="Q742" t="n">
        <x:v>0</x:v>
      </x:c>
      <x:c r="R742" t="n">
        <x:v>12.17</x:v>
      </x:c>
      <x:c r="S742" t="n">
        <x:v>40.74</x:v>
      </x:c>
      <x:c r="T742" t="str">
        <x:v>https://y.gtimg.cn/music/photo_new/T002R500x500M000000iPUch04ItU4_2.jpg</x:v>
      </x:c>
      <x:c r="U742" s="24" t="str">
        <x:f>IFERROR(VLOOKUP(I742,'07_字典与参数'!$G$5:$J$9,2,FALSE),"未入选")</x:f>
        <x:v>未入选</x:v>
      </x:c>
      <x:c r="V742" s="24" t="str">
        <x:f>IFERROR(VLOOKUP(I742,'07_字典与参数'!$G$5:$J$9,3,FALSE),"—")</x:f>
        <x:v>—</x:v>
      </x:c>
      <x:c r="W742" s="24" t="str">
        <x:f>IF(U742="未入选","否","是")</x:f>
        <x:v>否</x:v>
      </x:c>
    </x:row>
    <x:row r="743">
      <x:c r="A743" t="n">
        <x:v>202631</x:v>
      </x:c>
      <x:c r="B743" t="str">
        <x:v>第31期（08.03-08.09）</x:v>
      </x:c>
      <x:c r="C743" t="str">
        <x:v>2026-08-03</x:v>
      </x:c>
      <x:c r="D743" t="str">
        <x:v>2026-08-09</x:v>
      </x:c>
      <x:c r="E743" t="n">
        <x:v>139</x:v>
      </x:c>
      <x:c r="F743" t="n">
        <x:v>493167498</x:v>
      </x:c>
      <x:c r="G743" t="str">
        <x:v>着火的沉默世界</x:v>
      </x:c>
      <x:c r="H743" t="str">
        <x:v>鞠婧祎</x:v>
      </x:c>
      <x:c r="I743" t="str">
        <x:v>001hEuIs1wa2cl</x:v>
      </x:c>
      <x:c r="J743" t="str">
        <x:v>False</x:v>
      </x:c>
      <x:c r="K743" t="n">
        <x:v>193</x:v>
      </x:c>
      <x:c r="L743" t="n">
        <x:v>0</x:v>
      </x:c>
      <x:c r="M743" t="n">
        <x:v>0</x:v>
      </x:c>
      <x:c r="N743" t="n">
        <x:v>80.28148</x:v>
      </x:c>
      <x:c r="O743" t="n">
        <x:v>56.19</x:v>
      </x:c>
      <x:c r="P743" t="n">
        <x:v>0</x:v>
      </x:c>
      <x:c r="Q743" t="n">
        <x:v>0</x:v>
      </x:c>
      <x:c r="R743" t="n">
        <x:v>3.87</x:v>
      </x:c>
      <x:c r="S743" t="n">
        <x:v>50.34</x:v>
      </x:c>
      <x:c r="T743" t="str">
        <x:v>https://y.gtimg.cn/music/photo_new/T002R500x500M000004KDXGi1hJ81f_1.jpg</x:v>
      </x:c>
      <x:c r="U743" s="24" t="str">
        <x:f>IFERROR(VLOOKUP(I743,'07_字典与参数'!$G$5:$J$9,2,FALSE),"未入选")</x:f>
        <x:v>未入选</x:v>
      </x:c>
      <x:c r="V743" s="24" t="str">
        <x:f>IFERROR(VLOOKUP(I743,'07_字典与参数'!$G$5:$J$9,3,FALSE),"—")</x:f>
        <x:v>—</x:v>
      </x:c>
      <x:c r="W743" s="24" t="str">
        <x:f>IF(U743="未入选","否","是")</x:f>
        <x:v>否</x:v>
      </x:c>
    </x:row>
    <x:row r="744">
      <x:c r="A744" t="n">
        <x:v>202631</x:v>
      </x:c>
      <x:c r="B744" t="str">
        <x:v>第31期（08.03-08.09）</x:v>
      </x:c>
      <x:c r="C744" t="str">
        <x:v>2026-08-03</x:v>
      </x:c>
      <x:c r="D744" t="str">
        <x:v>2026-08-09</x:v>
      </x:c>
      <x:c r="E744" t="n">
        <x:v>140</x:v>
      </x:c>
      <x:c r="F744" t="n">
        <x:v>538034176</x:v>
      </x:c>
      <x:c r="G744" t="str">
        <x:v>点歌的人2026</x:v>
      </x:c>
      <x:c r="H744" t="str">
        <x:v>海来阿木</x:v>
      </x:c>
      <x:c r="I744" t="str">
        <x:v>0004a29f099HDf</x:v>
      </x:c>
      <x:c r="J744" t="str">
        <x:v>False</x:v>
      </x:c>
      <x:c r="K744" t="n">
        <x:v>0</x:v>
      </x:c>
      <x:c r="L744" t="n">
        <x:v>0</x:v>
      </x:c>
      <x:c r="M744" t="n">
        <x:v>0</x:v>
      </x:c>
      <x:c r="N744" t="n">
        <x:v>80.23057</x:v>
      </x:c>
      <x:c r="O744" t="n">
        <x:v>65.87</x:v>
      </x:c>
      <x:c r="P744" t="n">
        <x:v>0</x:v>
      </x:c>
      <x:c r="Q744" t="n">
        <x:v>0</x:v>
      </x:c>
      <x:c r="R744" t="n">
        <x:v>8.05</x:v>
      </x:c>
      <x:c r="S744" t="n">
        <x:v>40.7</x:v>
      </x:c>
      <x:c r="T744" t="str">
        <x:v>https://y.gtimg.cn/music/photo_new/T002R500x500M000001w2zCk1viYbe_1.jpg</x:v>
      </x:c>
      <x:c r="U744" s="24" t="str">
        <x:f>IFERROR(VLOOKUP(I744,'07_字典与参数'!$G$5:$J$9,2,FALSE),"未入选")</x:f>
        <x:v>未入选</x:v>
      </x:c>
      <x:c r="V744" s="24" t="str">
        <x:f>IFERROR(VLOOKUP(I744,'07_字典与参数'!$G$5:$J$9,3,FALSE),"—")</x:f>
        <x:v>—</x:v>
      </x:c>
      <x:c r="W744" s="24" t="str">
        <x:f>IF(U744="未入选","否","是")</x:f>
        <x:v>否</x:v>
      </x:c>
    </x:row>
    <x:row r="745">
      <x:c r="A745" t="n">
        <x:v>202631</x:v>
      </x:c>
      <x:c r="B745" t="str">
        <x:v>第31期（08.03-08.09）</x:v>
      </x:c>
      <x:c r="C745" t="str">
        <x:v>2026-08-03</x:v>
      </x:c>
      <x:c r="D745" t="str">
        <x:v>2026-08-09</x:v>
      </x:c>
      <x:c r="E745" t="n">
        <x:v>141</x:v>
      </x:c>
      <x:c r="F745" t="n">
        <x:v>533373322</x:v>
      </x:c>
      <x:c r="G745" t="str">
        <x:v>Cold Blooded</x:v>
      </x:c>
      <x:c r="H745" t="str">
        <x:v>严浩翔</x:v>
      </x:c>
      <x:c r="I745" t="str">
        <x:v>001uODJ03jwbpe</x:v>
      </x:c>
      <x:c r="J745" t="str">
        <x:v>False</x:v>
      </x:c>
      <x:c r="K745" t="n">
        <x:v>9</x:v>
      </x:c>
      <x:c r="L745" t="n">
        <x:v>0</x:v>
      </x:c>
      <x:c r="M745" t="n">
        <x:v>0</x:v>
      </x:c>
      <x:c r="N745" t="n">
        <x:v>80.19147</x:v>
      </x:c>
      <x:c r="O745" t="n">
        <x:v>61.13</x:v>
      </x:c>
      <x:c r="P745" t="n">
        <x:v>0</x:v>
      </x:c>
      <x:c r="Q745" t="n">
        <x:v>0</x:v>
      </x:c>
      <x:c r="R745" t="n">
        <x:v>31.08</x:v>
      </x:c>
      <x:c r="S745" t="n">
        <x:v>42.84</x:v>
      </x:c>
      <x:c r="T745" t="str">
        <x:v>https://y.qq.com/music/photo_new/T062R500x500M0000001dgoc1T2sbP.jpg</x:v>
      </x:c>
      <x:c r="U745" s="24" t="str">
        <x:f>IFERROR(VLOOKUP(I745,'07_字典与参数'!$G$5:$J$9,2,FALSE),"未入选")</x:f>
        <x:v>未入选</x:v>
      </x:c>
      <x:c r="V745" s="24" t="str">
        <x:f>IFERROR(VLOOKUP(I745,'07_字典与参数'!$G$5:$J$9,3,FALSE),"—")</x:f>
        <x:v>—</x:v>
      </x:c>
      <x:c r="W745" s="24" t="str">
        <x:f>IF(U745="未入选","否","是")</x:f>
        <x:v>否</x:v>
      </x:c>
    </x:row>
    <x:row r="746">
      <x:c r="A746" t="n">
        <x:v>202631</x:v>
      </x:c>
      <x:c r="B746" t="str">
        <x:v>第31期（08.03-08.09）</x:v>
      </x:c>
      <x:c r="C746" t="str">
        <x:v>2026-08-03</x:v>
      </x:c>
      <x:c r="D746" t="str">
        <x:v>2026-08-09</x:v>
      </x:c>
      <x:c r="E746" t="n">
        <x:v>142</x:v>
      </x:c>
      <x:c r="F746" t="n">
        <x:v>524671893</x:v>
      </x:c>
      <x:c r="G746" t="str">
        <x:v>依兰爱情故事</x:v>
      </x:c>
      <x:c r="H746" t="str">
        <x:v>金志文</x:v>
      </x:c>
      <x:c r="I746" t="str">
        <x:v>003wJze11ABhHl</x:v>
      </x:c>
      <x:c r="J746" t="str">
        <x:v>False</x:v>
      </x:c>
      <x:c r="K746" t="n">
        <x:v>152</x:v>
      </x:c>
      <x:c r="L746" t="n">
        <x:v>0</x:v>
      </x:c>
      <x:c r="M746" t="n">
        <x:v>0</x:v>
      </x:c>
      <x:c r="N746" t="n">
        <x:v>80.12516</x:v>
      </x:c>
      <x:c r="O746" t="n">
        <x:v>68.1</x:v>
      </x:c>
      <x:c r="P746" t="n">
        <x:v>0</x:v>
      </x:c>
      <x:c r="Q746" t="n">
        <x:v>0</x:v>
      </x:c>
      <x:c r="R746" t="n">
        <x:v>5.88</x:v>
      </x:c>
      <x:c r="S746" t="n">
        <x:v>21.95</x:v>
      </x:c>
      <x:c r="T746" t="str">
        <x:v>https://y.gtimg.cn/music/photo_new/T002R500x500M000003kMWUy2EinCC_2.jpg</x:v>
      </x:c>
      <x:c r="U746" s="24" t="str">
        <x:f>IFERROR(VLOOKUP(I746,'07_字典与参数'!$G$5:$J$9,2,FALSE),"未入选")</x:f>
        <x:v>未入选</x:v>
      </x:c>
      <x:c r="V746" s="24" t="str">
        <x:f>IFERROR(VLOOKUP(I746,'07_字典与参数'!$G$5:$J$9,3,FALSE),"—")</x:f>
        <x:v>—</x:v>
      </x:c>
      <x:c r="W746" s="24" t="str">
        <x:f>IF(U746="未入选","否","是")</x:f>
        <x:v>否</x:v>
      </x:c>
    </x:row>
    <x:row r="747">
      <x:c r="A747" t="n">
        <x:v>202631</x:v>
      </x:c>
      <x:c r="B747" t="str">
        <x:v>第31期（08.03-08.09）</x:v>
      </x:c>
      <x:c r="C747" t="str">
        <x:v>2026-08-03</x:v>
      </x:c>
      <x:c r="D747" t="str">
        <x:v>2026-08-09</x:v>
      </x:c>
      <x:c r="E747" t="n">
        <x:v>143</x:v>
      </x:c>
      <x:c r="F747" t="n">
        <x:v>513252814</x:v>
      </x:c>
      <x:c r="G747" t="str">
        <x:v>听风捎来旧时谣</x:v>
      </x:c>
      <x:c r="H747" t="str">
        <x:v>窝窝</x:v>
      </x:c>
      <x:c r="I747" t="str">
        <x:v>003lVp7c31DlFR</x:v>
      </x:c>
      <x:c r="J747" t="str">
        <x:v>False</x:v>
      </x:c>
      <x:c r="K747" t="n">
        <x:v>131</x:v>
      </x:c>
      <x:c r="L747" t="n">
        <x:v>0</x:v>
      </x:c>
      <x:c r="M747" t="n">
        <x:v>0</x:v>
      </x:c>
      <x:c r="N747" t="n">
        <x:v>80.11051</x:v>
      </x:c>
      <x:c r="O747" t="n">
        <x:v>68.26</x:v>
      </x:c>
      <x:c r="P747" t="n">
        <x:v>0</x:v>
      </x:c>
      <x:c r="Q747" t="n">
        <x:v>0</x:v>
      </x:c>
      <x:c r="R747" t="n">
        <x:v>6.88</x:v>
      </x:c>
      <x:c r="S747" t="n">
        <x:v>14.91</x:v>
      </x:c>
      <x:c r="T747" t="str">
        <x:v>https://y.gtimg.cn/music/photo_new/T002R500x500M000003JfOV41U5Mjq_2.jpg</x:v>
      </x:c>
      <x:c r="U747" s="24" t="str">
        <x:f>IFERROR(VLOOKUP(I747,'07_字典与参数'!$G$5:$J$9,2,FALSE),"未入选")</x:f>
        <x:v>未入选</x:v>
      </x:c>
      <x:c r="V747" s="24" t="str">
        <x:f>IFERROR(VLOOKUP(I747,'07_字典与参数'!$G$5:$J$9,3,FALSE),"—")</x:f>
        <x:v>—</x:v>
      </x:c>
      <x:c r="W747" s="24" t="str">
        <x:f>IF(U747="未入选","否","是")</x:f>
        <x:v>否</x:v>
      </x:c>
    </x:row>
    <x:row r="748">
      <x:c r="A748" t="n">
        <x:v>202631</x:v>
      </x:c>
      <x:c r="B748" t="str">
        <x:v>第31期（08.03-08.09）</x:v>
      </x:c>
      <x:c r="C748" t="str">
        <x:v>2026-08-03</x:v>
      </x:c>
      <x:c r="D748" t="str">
        <x:v>2026-08-09</x:v>
      </x:c>
      <x:c r="E748" t="n">
        <x:v>144</x:v>
      </x:c>
      <x:c r="F748" t="n">
        <x:v>537347318</x:v>
      </x:c>
      <x:c r="G748" t="str">
        <x:v>等等等等</x:v>
      </x:c>
      <x:c r="H748" t="str">
        <x:v>容祖儿</x:v>
      </x:c>
      <x:c r="I748" t="str">
        <x:v>0027Csmb36KrBI</x:v>
      </x:c>
      <x:c r="J748" t="str">
        <x:v>False</x:v>
      </x:c>
      <x:c r="K748" t="n">
        <x:v>0</x:v>
      </x:c>
      <x:c r="L748" t="n">
        <x:v>0</x:v>
      </x:c>
      <x:c r="M748" t="n">
        <x:v>0</x:v>
      </x:c>
      <x:c r="N748" t="n">
        <x:v>80.09027</x:v>
      </x:c>
      <x:c r="O748" t="n">
        <x:v>59.67</x:v>
      </x:c>
      <x:c r="P748" t="n">
        <x:v>0</x:v>
      </x:c>
      <x:c r="Q748" t="n">
        <x:v>0</x:v>
      </x:c>
      <x:c r="R748" t="n">
        <x:v>5.9</x:v>
      </x:c>
      <x:c r="S748" t="n">
        <x:v>48.04</x:v>
      </x:c>
      <x:c r="T748" t="str">
        <x:v>https://y.gtimg.cn/music/photo_new/T002R500x500M000002YTN8n2ZAXiX_1.jpg</x:v>
      </x:c>
      <x:c r="U748" s="24" t="str">
        <x:f>IFERROR(VLOOKUP(I748,'07_字典与参数'!$G$5:$J$9,2,FALSE),"未入选")</x:f>
        <x:v>未入选</x:v>
      </x:c>
      <x:c r="V748" s="24" t="str">
        <x:f>IFERROR(VLOOKUP(I748,'07_字典与参数'!$G$5:$J$9,3,FALSE),"—")</x:f>
        <x:v>—</x:v>
      </x:c>
      <x:c r="W748" s="24" t="str">
        <x:f>IF(U748="未入选","否","是")</x:f>
        <x:v>否</x:v>
      </x:c>
    </x:row>
    <x:row r="749">
      <x:c r="A749" t="n">
        <x:v>202631</x:v>
      </x:c>
      <x:c r="B749" t="str">
        <x:v>第31期（08.03-08.09）</x:v>
      </x:c>
      <x:c r="C749" t="str">
        <x:v>2026-08-03</x:v>
      </x:c>
      <x:c r="D749" t="str">
        <x:v>2026-08-09</x:v>
      </x:c>
      <x:c r="E749" t="n">
        <x:v>145</x:v>
      </x:c>
      <x:c r="F749" t="n">
        <x:v>536898597</x:v>
      </x:c>
      <x:c r="G749" t="str">
        <x:v>是我做了白日梦</x:v>
      </x:c>
      <x:c r="H749" t="str">
        <x:v>姜添,听潮阁</x:v>
      </x:c>
      <x:c r="I749" t="str">
        <x:v>002q8soi3V9Gm2</x:v>
      </x:c>
      <x:c r="J749" t="str">
        <x:v>False</x:v>
      </x:c>
      <x:c r="K749" t="n">
        <x:v>140</x:v>
      </x:c>
      <x:c r="L749" t="n">
        <x:v>0</x:v>
      </x:c>
      <x:c r="M749" t="n">
        <x:v>0</x:v>
      </x:c>
      <x:c r="N749" t="n">
        <x:v>80.08916</x:v>
      </x:c>
      <x:c r="O749" t="n">
        <x:v>64.73</x:v>
      </x:c>
      <x:c r="P749" t="n">
        <x:v>0</x:v>
      </x:c>
      <x:c r="Q749" t="n">
        <x:v>0</x:v>
      </x:c>
      <x:c r="R749" t="n">
        <x:v>15.46</x:v>
      </x:c>
      <x:c r="S749" t="n">
        <x:v>40.83</x:v>
      </x:c>
      <x:c r="T749" t="str">
        <x:v>https://y.gtimg.cn/music/photo_new/T002R500x500M000000p3bJK2q2iNA_1.jpg</x:v>
      </x:c>
      <x:c r="U749" s="24" t="str">
        <x:f>IFERROR(VLOOKUP(I749,'07_字典与参数'!$G$5:$J$9,2,FALSE),"未入选")</x:f>
        <x:v>未入选</x:v>
      </x:c>
      <x:c r="V749" s="24" t="str">
        <x:f>IFERROR(VLOOKUP(I749,'07_字典与参数'!$G$5:$J$9,3,FALSE),"—")</x:f>
        <x:v>—</x:v>
      </x:c>
      <x:c r="W749" s="24" t="str">
        <x:f>IF(U749="未入选","否","是")</x:f>
        <x:v>否</x:v>
      </x:c>
    </x:row>
    <x:row r="750">
      <x:c r="A750" t="n">
        <x:v>202631</x:v>
      </x:c>
      <x:c r="B750" t="str">
        <x:v>第31期（08.03-08.09）</x:v>
      </x:c>
      <x:c r="C750" t="str">
        <x:v>2026-08-03</x:v>
      </x:c>
      <x:c r="D750" t="str">
        <x:v>2026-08-09</x:v>
      </x:c>
      <x:c r="E750" t="n">
        <x:v>146</x:v>
      </x:c>
      <x:c r="F750" t="n">
        <x:v>495396282</x:v>
      </x:c>
      <x:c r="G750" t="str">
        <x:v>一曲相思(欲问青天这人生有几何)</x:v>
      </x:c>
      <x:c r="H750" t="str">
        <x:v>海来阿木</x:v>
      </x:c>
      <x:c r="I750" t="str">
        <x:v>0029SPEq1UThNj</x:v>
      </x:c>
      <x:c r="J750" t="str">
        <x:v>False</x:v>
      </x:c>
      <x:c r="K750" t="n">
        <x:v>154</x:v>
      </x:c>
      <x:c r="L750" t="n">
        <x:v>0</x:v>
      </x:c>
      <x:c r="M750" t="n">
        <x:v>0</x:v>
      </x:c>
      <x:c r="N750" t="n">
        <x:v>80.00361</x:v>
      </x:c>
      <x:c r="O750" t="n">
        <x:v>67.79</x:v>
      </x:c>
      <x:c r="P750" t="n">
        <x:v>0</x:v>
      </x:c>
      <x:c r="Q750" t="n">
        <x:v>0</x:v>
      </x:c>
      <x:c r="R750" t="n">
        <x:v>7.72</x:v>
      </x:c>
      <x:c r="S750" t="n">
        <x:v>17.33</x:v>
      </x:c>
      <x:c r="T750" t="str">
        <x:v>https://y.gtimg.cn/music/photo_new/T002R500x500M0000034yzah0TRjti_1.jpg</x:v>
      </x:c>
      <x:c r="U750" s="24" t="str">
        <x:f>IFERROR(VLOOKUP(I750,'07_字典与参数'!$G$5:$J$9,2,FALSE),"未入选")</x:f>
        <x:v>未入选</x:v>
      </x:c>
      <x:c r="V750" s="24" t="str">
        <x:f>IFERROR(VLOOKUP(I750,'07_字典与参数'!$G$5:$J$9,3,FALSE),"—")</x:f>
        <x:v>—</x:v>
      </x:c>
      <x:c r="W750" s="24" t="str">
        <x:f>IF(U750="未入选","否","是")</x:f>
        <x:v>否</x:v>
      </x:c>
    </x:row>
    <x:row r="751">
      <x:c r="A751" t="n">
        <x:v>202631</x:v>
      </x:c>
      <x:c r="B751" t="str">
        <x:v>第31期（08.03-08.09）</x:v>
      </x:c>
      <x:c r="C751" t="str">
        <x:v>2026-08-03</x:v>
      </x:c>
      <x:c r="D751" t="str">
        <x:v>2026-08-09</x:v>
      </x:c>
      <x:c r="E751" t="n">
        <x:v>147</x:v>
      </x:c>
      <x:c r="F751" t="n">
        <x:v>531107833</x:v>
      </x:c>
      <x:c r="G751" t="str">
        <x:v>多年不见你过的好吗</x:v>
      </x:c>
      <x:c r="H751" t="str">
        <x:v>洛琦</x:v>
      </x:c>
      <x:c r="I751" t="str">
        <x:v>0048j6ba4I223C</x:v>
      </x:c>
      <x:c r="J751" t="str">
        <x:v>False</x:v>
      </x:c>
      <x:c r="K751" t="n">
        <x:v>166</x:v>
      </x:c>
      <x:c r="L751" t="n">
        <x:v>0</x:v>
      </x:c>
      <x:c r="M751" t="n">
        <x:v>0</x:v>
      </x:c>
      <x:c r="N751" t="n">
        <x:v>79.75374</x:v>
      </x:c>
      <x:c r="O751" t="n">
        <x:v>68.44</x:v>
      </x:c>
      <x:c r="P751" t="n">
        <x:v>0</x:v>
      </x:c>
      <x:c r="Q751" t="n">
        <x:v>0</x:v>
      </x:c>
      <x:c r="R751" t="n">
        <x:v>0.86</x:v>
      </x:c>
      <x:c r="S751" t="n">
        <x:v>3.68</x:v>
      </x:c>
      <x:c r="T751" t="str">
        <x:v>https://y.gtimg.cn/music/photo_new/T002R500x500M000003KpQnE4I6voF_1.jpg</x:v>
      </x:c>
      <x:c r="U751" s="24" t="str">
        <x:f>IFERROR(VLOOKUP(I751,'07_字典与参数'!$G$5:$J$9,2,FALSE),"未入选")</x:f>
        <x:v>未入选</x:v>
      </x:c>
      <x:c r="V751" s="24" t="str">
        <x:f>IFERROR(VLOOKUP(I751,'07_字典与参数'!$G$5:$J$9,3,FALSE),"—")</x:f>
        <x:v>—</x:v>
      </x:c>
      <x:c r="W751" s="24" t="str">
        <x:f>IF(U751="未入选","否","是")</x:f>
        <x:v>否</x:v>
      </x:c>
    </x:row>
    <x:row r="752">
      <x:c r="A752" t="n">
        <x:v>202631</x:v>
      </x:c>
      <x:c r="B752" t="str">
        <x:v>第31期（08.03-08.09）</x:v>
      </x:c>
      <x:c r="C752" t="str">
        <x:v>2026-08-03</x:v>
      </x:c>
      <x:c r="D752" t="str">
        <x:v>2026-08-09</x:v>
      </x:c>
      <x:c r="E752" t="n">
        <x:v>148</x:v>
      </x:c>
      <x:c r="F752" t="n">
        <x:v>522436400</x:v>
      </x:c>
      <x:c r="G752" t="str">
        <x:v>Smoke &amp; Mirrors</x:v>
      </x:c>
      <x:c r="H752" t="str">
        <x:v>张艺兴</x:v>
      </x:c>
      <x:c r="I752" t="str">
        <x:v>000SGh5g1MgDzo</x:v>
      </x:c>
      <x:c r="J752" t="str">
        <x:v>False</x:v>
      </x:c>
      <x:c r="K752" t="n">
        <x:v>80</x:v>
      </x:c>
      <x:c r="L752" t="n">
        <x:v>0</x:v>
      </x:c>
      <x:c r="M752" t="n">
        <x:v>0</x:v>
      </x:c>
      <x:c r="N752" t="n">
        <x:v>79.7359</x:v>
      </x:c>
      <x:c r="O752" t="n">
        <x:v>54.84</x:v>
      </x:c>
      <x:c r="P752" t="n">
        <x:v>0</x:v>
      </x:c>
      <x:c r="Q752" t="n">
        <x:v>0</x:v>
      </x:c>
      <x:c r="R752" t="n">
        <x:v>39.59</x:v>
      </x:c>
      <x:c r="S752" t="n">
        <x:v>41.99</x:v>
      </x:c>
      <x:c r="T752" t="str">
        <x:v>https://y.gtimg.cn/music/photo_new/T002R500x500M000001w138z3PZEcz_1.jpg</x:v>
      </x:c>
      <x:c r="U752" s="24" t="str">
        <x:f>IFERROR(VLOOKUP(I752,'07_字典与参数'!$G$5:$J$9,2,FALSE),"未入选")</x:f>
        <x:v>未入选</x:v>
      </x:c>
      <x:c r="V752" s="24" t="str">
        <x:f>IFERROR(VLOOKUP(I752,'07_字典与参数'!$G$5:$J$9,3,FALSE),"—")</x:f>
        <x:v>—</x:v>
      </x:c>
      <x:c r="W752" s="24" t="str">
        <x:f>IF(U752="未入选","否","是")</x:f>
        <x:v>否</x:v>
      </x:c>
    </x:row>
    <x:row r="753">
      <x:c r="A753" t="n">
        <x:v>202631</x:v>
      </x:c>
      <x:c r="B753" t="str">
        <x:v>第31期（08.03-08.09）</x:v>
      </x:c>
      <x:c r="C753" t="str">
        <x:v>2026-08-03</x:v>
      </x:c>
      <x:c r="D753" t="str">
        <x:v>2026-08-09</x:v>
      </x:c>
      <x:c r="E753" t="n">
        <x:v>149</x:v>
      </x:c>
      <x:c r="F753" t="n">
        <x:v>513183074</x:v>
      </x:c>
      <x:c r="G753" t="str">
        <x:v>老歌</x:v>
      </x:c>
      <x:c r="H753" t="str">
        <x:v>许嵩</x:v>
      </x:c>
      <x:c r="I753" t="str">
        <x:v>001dHWRw44FBP3</x:v>
      </x:c>
      <x:c r="J753" t="str">
        <x:v>False</x:v>
      </x:c>
      <x:c r="K753" t="n">
        <x:v>151</x:v>
      </x:c>
      <x:c r="L753" t="n">
        <x:v>0</x:v>
      </x:c>
      <x:c r="M753" t="n">
        <x:v>0</x:v>
      </x:c>
      <x:c r="N753" t="n">
        <x:v>79.73363</x:v>
      </x:c>
      <x:c r="O753" t="n">
        <x:v>66.01</x:v>
      </x:c>
      <x:c r="P753" t="n">
        <x:v>0</x:v>
      </x:c>
      <x:c r="Q753" t="n">
        <x:v>0</x:v>
      </x:c>
      <x:c r="R753" t="n">
        <x:v>2.07</x:v>
      </x:c>
      <x:c r="S753" t="n">
        <x:v>38.57</x:v>
      </x:c>
      <x:c r="T753" t="str">
        <x:v>https://y.gtimg.cn/music/photo_new/T002R500x500M000001Oqn952HAPRk_1.jpg</x:v>
      </x:c>
      <x:c r="U753" s="24" t="str">
        <x:f>IFERROR(VLOOKUP(I753,'07_字典与参数'!$G$5:$J$9,2,FALSE),"未入选")</x:f>
        <x:v>未入选</x:v>
      </x:c>
      <x:c r="V753" s="24" t="str">
        <x:f>IFERROR(VLOOKUP(I753,'07_字典与参数'!$G$5:$J$9,3,FALSE),"—")</x:f>
        <x:v>—</x:v>
      </x:c>
      <x:c r="W753" s="24" t="str">
        <x:f>IF(U753="未入选","否","是")</x:f>
        <x:v>否</x:v>
      </x:c>
    </x:row>
    <x:row r="754">
      <x:c r="A754" t="n">
        <x:v>202631</x:v>
      </x:c>
      <x:c r="B754" t="str">
        <x:v>第31期（08.03-08.09）</x:v>
      </x:c>
      <x:c r="C754" t="str">
        <x:v>2026-08-03</x:v>
      </x:c>
      <x:c r="D754" t="str">
        <x:v>2026-08-09</x:v>
      </x:c>
      <x:c r="E754" t="n">
        <x:v>150</x:v>
      </x:c>
      <x:c r="F754" t="n">
        <x:v>522436396</x:v>
      </x:c>
      <x:c r="G754" t="str">
        <x:v>Higher</x:v>
      </x:c>
      <x:c r="H754" t="str">
        <x:v>张艺兴</x:v>
      </x:c>
      <x:c r="I754" t="str">
        <x:v>00283SX10LVsSP</x:v>
      </x:c>
      <x:c r="J754" t="str">
        <x:v>False</x:v>
      </x:c>
      <x:c r="K754" t="n">
        <x:v>76</x:v>
      </x:c>
      <x:c r="L754" t="n">
        <x:v>0</x:v>
      </x:c>
      <x:c r="M754" t="n">
        <x:v>0</x:v>
      </x:c>
      <x:c r="N754" t="n">
        <x:v>79.7191</x:v>
      </x:c>
      <x:c r="O754" t="n">
        <x:v>54.74</x:v>
      </x:c>
      <x:c r="P754" t="n">
        <x:v>0</x:v>
      </x:c>
      <x:c r="Q754" t="n">
        <x:v>0</x:v>
      </x:c>
      <x:c r="R754" t="n">
        <x:v>39.78</x:v>
      </x:c>
      <x:c r="S754" t="n">
        <x:v>41.93</x:v>
      </x:c>
      <x:c r="T754" t="str">
        <x:v>https://y.gtimg.cn/music/photo_new/T002R500x500M000001w138z3PZEcz_1.jpg</x:v>
      </x:c>
      <x:c r="U754" s="24" t="str">
        <x:f>IFERROR(VLOOKUP(I754,'07_字典与参数'!$G$5:$J$9,2,FALSE),"未入选")</x:f>
        <x:v>未入选</x:v>
      </x:c>
      <x:c r="V754" s="24" t="str">
        <x:f>IFERROR(VLOOKUP(I754,'07_字典与参数'!$G$5:$J$9,3,FALSE),"—")</x:f>
        <x:v>—</x:v>
      </x:c>
      <x:c r="W754" s="24" t="str">
        <x:f>IF(U754="未入选","否","是")</x:f>
        <x:v>否</x:v>
      </x:c>
    </x:row>
    <x:row r="755">
      <x:c r="A755" t="n">
        <x:v>202631</x:v>
      </x:c>
      <x:c r="B755" t="str">
        <x:v>第31期（08.03-08.09）</x:v>
      </x:c>
      <x:c r="C755" t="str">
        <x:v>2026-08-03</x:v>
      </x:c>
      <x:c r="D755" t="str">
        <x:v>2026-08-09</x:v>
      </x:c>
      <x:c r="E755" t="n">
        <x:v>151</x:v>
      </x:c>
      <x:c r="F755" t="n">
        <x:v>522436418</x:v>
      </x:c>
      <x:c r="G755" t="str">
        <x:v>错错错</x:v>
      </x:c>
      <x:c r="H755" t="str">
        <x:v>张艺兴</x:v>
      </x:c>
      <x:c r="I755" t="str">
        <x:v>004V2b6s39ainE</x:v>
      </x:c>
      <x:c r="J755" t="str">
        <x:v>False</x:v>
      </x:c>
      <x:c r="K755" t="n">
        <x:v>92</x:v>
      </x:c>
      <x:c r="L755" t="n">
        <x:v>0</x:v>
      </x:c>
      <x:c r="M755" t="n">
        <x:v>0</x:v>
      </x:c>
      <x:c r="N755" t="n">
        <x:v>79.70112</x:v>
      </x:c>
      <x:c r="O755" t="n">
        <x:v>54.73</x:v>
      </x:c>
      <x:c r="P755" t="n">
        <x:v>0</x:v>
      </x:c>
      <x:c r="Q755" t="n">
        <x:v>0</x:v>
      </x:c>
      <x:c r="R755" t="n">
        <x:v>39.4</x:v>
      </x:c>
      <x:c r="S755" t="n">
        <x:v>42.06</x:v>
      </x:c>
      <x:c r="T755" t="str">
        <x:v>https://y.gtimg.cn/music/photo_new/T002R500x500M000001w138z3PZEcz_1.jpg</x:v>
      </x:c>
      <x:c r="U755" s="24" t="str">
        <x:f>IFERROR(VLOOKUP(I755,'07_字典与参数'!$G$5:$J$9,2,FALSE),"未入选")</x:f>
        <x:v>未入选</x:v>
      </x:c>
      <x:c r="V755" s="24" t="str">
        <x:f>IFERROR(VLOOKUP(I755,'07_字典与参数'!$G$5:$J$9,3,FALSE),"—")</x:f>
        <x:v>—</x:v>
      </x:c>
      <x:c r="W755" s="24" t="str">
        <x:f>IF(U755="未入选","否","是")</x:f>
        <x:v>否</x:v>
      </x:c>
    </x:row>
    <x:row r="756">
      <x:c r="A756" t="n">
        <x:v>202631</x:v>
      </x:c>
      <x:c r="B756" t="str">
        <x:v>第31期（08.03-08.09）</x:v>
      </x:c>
      <x:c r="C756" t="str">
        <x:v>2026-08-03</x:v>
      </x:c>
      <x:c r="D756" t="str">
        <x:v>2026-08-09</x:v>
      </x:c>
      <x:c r="E756" t="n">
        <x:v>152</x:v>
      </x:c>
      <x:c r="F756" t="n">
        <x:v>522436402</x:v>
      </x:c>
      <x:c r="G756" t="str">
        <x:v>Again</x:v>
      </x:c>
      <x:c r="H756" t="str">
        <x:v>张艺兴</x:v>
      </x:c>
      <x:c r="I756" t="str">
        <x:v>001deuwV3jcVOr</x:v>
      </x:c>
      <x:c r="J756" t="str">
        <x:v>False</x:v>
      </x:c>
      <x:c r="K756" t="n">
        <x:v>79</x:v>
      </x:c>
      <x:c r="L756" t="n">
        <x:v>0</x:v>
      </x:c>
      <x:c r="M756" t="n">
        <x:v>0</x:v>
      </x:c>
      <x:c r="N756" t="n">
        <x:v>79.56907</x:v>
      </x:c>
      <x:c r="O756" t="n">
        <x:v>54.6</x:v>
      </x:c>
      <x:c r="P756" t="n">
        <x:v>0</x:v>
      </x:c>
      <x:c r="Q756" t="n">
        <x:v>0</x:v>
      </x:c>
      <x:c r="R756" t="n">
        <x:v>39.43</x:v>
      </x:c>
      <x:c r="S756" t="n">
        <x:v>41.87</x:v>
      </x:c>
      <x:c r="T756" t="str">
        <x:v>https://y.gtimg.cn/music/photo_new/T002R500x500M000001w138z3PZEcz_1.jpg</x:v>
      </x:c>
      <x:c r="U756" s="24" t="str">
        <x:f>IFERROR(VLOOKUP(I756,'07_字典与参数'!$G$5:$J$9,2,FALSE),"未入选")</x:f>
        <x:v>未入选</x:v>
      </x:c>
      <x:c r="V756" s="24" t="str">
        <x:f>IFERROR(VLOOKUP(I756,'07_字典与参数'!$G$5:$J$9,3,FALSE),"—")</x:f>
        <x:v>—</x:v>
      </x:c>
      <x:c r="W756" s="24" t="str">
        <x:f>IF(U756="未入选","否","是")</x:f>
        <x:v>否</x:v>
      </x:c>
    </x:row>
    <x:row r="757">
      <x:c r="A757" t="n">
        <x:v>202631</x:v>
      </x:c>
      <x:c r="B757" t="str">
        <x:v>第31期（08.03-08.09）</x:v>
      </x:c>
      <x:c r="C757" t="str">
        <x:v>2026-08-03</x:v>
      </x:c>
      <x:c r="D757" t="str">
        <x:v>2026-08-09</x:v>
      </x:c>
      <x:c r="E757" t="n">
        <x:v>153</x:v>
      </x:c>
      <x:c r="F757" t="n">
        <x:v>522436410</x:v>
      </x:c>
      <x:c r="G757" t="str">
        <x:v>Living</x:v>
      </x:c>
      <x:c r="H757" t="str">
        <x:v>张艺兴</x:v>
      </x:c>
      <x:c r="I757" t="str">
        <x:v>003hfE050iuS2B</x:v>
      </x:c>
      <x:c r="J757" t="str">
        <x:v>False</x:v>
      </x:c>
      <x:c r="K757" t="n">
        <x:v>83</x:v>
      </x:c>
      <x:c r="L757" t="n">
        <x:v>0</x:v>
      </x:c>
      <x:c r="M757" t="n">
        <x:v>0</x:v>
      </x:c>
      <x:c r="N757" t="n">
        <x:v>79.37593</x:v>
      </x:c>
      <x:c r="O757" t="n">
        <x:v>54.58</x:v>
      </x:c>
      <x:c r="P757" t="n">
        <x:v>0</x:v>
      </x:c>
      <x:c r="Q757" t="n">
        <x:v>0</x:v>
      </x:c>
      <x:c r="R757" t="n">
        <x:v>39.1</x:v>
      </x:c>
      <x:c r="S757" t="n">
        <x:v>41.68</x:v>
      </x:c>
      <x:c r="T757" t="str">
        <x:v>https://y.gtimg.cn/music/photo_new/T002R500x500M000001w138z3PZEcz_1.jpg</x:v>
      </x:c>
      <x:c r="U757" s="24" t="str">
        <x:f>IFERROR(VLOOKUP(I757,'07_字典与参数'!$G$5:$J$9,2,FALSE),"未入选")</x:f>
        <x:v>未入选</x:v>
      </x:c>
      <x:c r="V757" s="24" t="str">
        <x:f>IFERROR(VLOOKUP(I757,'07_字典与参数'!$G$5:$J$9,3,FALSE),"—")</x:f>
        <x:v>—</x:v>
      </x:c>
      <x:c r="W757" s="24" t="str">
        <x:f>IF(U757="未入选","否","是")</x:f>
        <x:v>否</x:v>
      </x:c>
    </x:row>
    <x:row r="758">
      <x:c r="A758" t="n">
        <x:v>202631</x:v>
      </x:c>
      <x:c r="B758" t="str">
        <x:v>第31期（08.03-08.09）</x:v>
      </x:c>
      <x:c r="C758" t="str">
        <x:v>2026-08-03</x:v>
      </x:c>
      <x:c r="D758" t="str">
        <x:v>2026-08-09</x:v>
      </x:c>
      <x:c r="E758" t="n">
        <x:v>154</x:v>
      </x:c>
      <x:c r="F758" t="n">
        <x:v>537960441</x:v>
      </x:c>
      <x:c r="G758" t="str">
        <x:v>纯粹</x:v>
      </x:c>
      <x:c r="H758" t="str">
        <x:v>刘萧旭</x:v>
      </x:c>
      <x:c r="I758" t="str">
        <x:v>003RUrwv2UuGTi</x:v>
      </x:c>
      <x:c r="J758" t="str">
        <x:v>False</x:v>
      </x:c>
      <x:c r="K758" t="n">
        <x:v>0</x:v>
      </x:c>
      <x:c r="L758" t="n">
        <x:v>0</x:v>
      </x:c>
      <x:c r="M758" t="n">
        <x:v>0</x:v>
      </x:c>
      <x:c r="N758" t="n">
        <x:v>79.36206</x:v>
      </x:c>
      <x:c r="O758" t="n">
        <x:v>34.76</x:v>
      </x:c>
      <x:c r="P758" t="n">
        <x:v>0</x:v>
      </x:c>
      <x:c r="Q758" t="n">
        <x:v>0</x:v>
      </x:c>
      <x:c r="R758" t="n">
        <x:v>48.47</x:v>
      </x:c>
      <x:c r="S758" t="n">
        <x:v>23.31</x:v>
      </x:c>
      <x:c r="T758" t="str">
        <x:v>https://y.qq.com/music/photo_new/T062R500x500M000001t4mZN2F9Otc.jpg</x:v>
      </x:c>
      <x:c r="U758" s="24" t="str">
        <x:f>IFERROR(VLOOKUP(I758,'07_字典与参数'!$G$5:$J$9,2,FALSE),"未入选")</x:f>
        <x:v>未入选</x:v>
      </x:c>
      <x:c r="V758" s="24" t="str">
        <x:f>IFERROR(VLOOKUP(I758,'07_字典与参数'!$G$5:$J$9,3,FALSE),"—")</x:f>
        <x:v>—</x:v>
      </x:c>
      <x:c r="W758" s="24" t="str">
        <x:f>IF(U758="未入选","否","是")</x:f>
        <x:v>否</x:v>
      </x:c>
    </x:row>
    <x:row r="759">
      <x:c r="A759" t="n">
        <x:v>202631</x:v>
      </x:c>
      <x:c r="B759" t="str">
        <x:v>第31期（08.03-08.09）</x:v>
      </x:c>
      <x:c r="C759" t="str">
        <x:v>2026-08-03</x:v>
      </x:c>
      <x:c r="D759" t="str">
        <x:v>2026-08-09</x:v>
      </x:c>
      <x:c r="E759" t="n">
        <x:v>155</x:v>
      </x:c>
      <x:c r="F759" t="n">
        <x:v>533504872</x:v>
      </x:c>
      <x:c r="G759" t="str">
        <x:v>怪我们缘分太浅（别难过）</x:v>
      </x:c>
      <x:c r="H759" t="str">
        <x:v>刘纯</x:v>
      </x:c>
      <x:c r="I759" t="str">
        <x:v>001g7QR32QGitR</x:v>
      </x:c>
      <x:c r="J759" t="str">
        <x:v>False</x:v>
      </x:c>
      <x:c r="K759" t="n">
        <x:v>156</x:v>
      </x:c>
      <x:c r="L759" t="n">
        <x:v>0</x:v>
      </x:c>
      <x:c r="M759" t="n">
        <x:v>0</x:v>
      </x:c>
      <x:c r="N759" t="n">
        <x:v>79.32027</x:v>
      </x:c>
      <x:c r="O759" t="n">
        <x:v>67.03</x:v>
      </x:c>
      <x:c r="P759" t="n">
        <x:v>0</x:v>
      </x:c>
      <x:c r="Q759" t="n">
        <x:v>0</x:v>
      </x:c>
      <x:c r="R759" t="n">
        <x:v>2.33</x:v>
      </x:c>
      <x:c r="S759" t="n">
        <x:v>22.35</x:v>
      </x:c>
      <x:c r="T759" t="str">
        <x:v>https://y.gtimg.cn/music/photo_new/T002R500x500M000000c7mGD1sZo7M_1.jpg</x:v>
      </x:c>
      <x:c r="U759" s="24" t="str">
        <x:f>IFERROR(VLOOKUP(I759,'07_字典与参数'!$G$5:$J$9,2,FALSE),"未入选")</x:f>
        <x:v>未入选</x:v>
      </x:c>
      <x:c r="V759" s="24" t="str">
        <x:f>IFERROR(VLOOKUP(I759,'07_字典与参数'!$G$5:$J$9,3,FALSE),"—")</x:f>
        <x:v>—</x:v>
      </x:c>
      <x:c r="W759" s="24" t="str">
        <x:f>IF(U759="未入选","否","是")</x:f>
        <x:v>否</x:v>
      </x:c>
    </x:row>
    <x:row r="760">
      <x:c r="A760" t="n">
        <x:v>202631</x:v>
      </x:c>
      <x:c r="B760" t="str">
        <x:v>第31期（08.03-08.09）</x:v>
      </x:c>
      <x:c r="C760" t="str">
        <x:v>2026-08-03</x:v>
      </x:c>
      <x:c r="D760" t="str">
        <x:v>2026-08-09</x:v>
      </x:c>
      <x:c r="E760" t="n">
        <x:v>156</x:v>
      </x:c>
      <x:c r="F760" t="n">
        <x:v>531383429</x:v>
      </x:c>
      <x:c r="G760" t="str">
        <x:v>为何痴心换不来缘分</x:v>
      </x:c>
      <x:c r="H760" t="str">
        <x:v>蒋蒋蒋,王年年</x:v>
      </x:c>
      <x:c r="I760" t="str">
        <x:v>003efyUi3W5RZ0</x:v>
      </x:c>
      <x:c r="J760" t="str">
        <x:v>False</x:v>
      </x:c>
      <x:c r="K760" t="n">
        <x:v>0</x:v>
      </x:c>
      <x:c r="L760" t="n">
        <x:v>0</x:v>
      </x:c>
      <x:c r="M760" t="n">
        <x:v>0</x:v>
      </x:c>
      <x:c r="N760" t="n">
        <x:v>79.27622</x:v>
      </x:c>
      <x:c r="O760" t="n">
        <x:v>67.51</x:v>
      </x:c>
      <x:c r="P760" t="n">
        <x:v>0</x:v>
      </x:c>
      <x:c r="Q760" t="n">
        <x:v>0</x:v>
      </x:c>
      <x:c r="R760" t="n">
        <x:v>2.46</x:v>
      </x:c>
      <x:c r="S760" t="n">
        <x:v>7.72</x:v>
      </x:c>
      <x:c r="T760" t="str">
        <x:v>https://y.gtimg.cn/music/photo_new/T002R500x500M000002lwa7d0ZVPIk_1.jpg</x:v>
      </x:c>
      <x:c r="U760" s="24" t="str">
        <x:f>IFERROR(VLOOKUP(I760,'07_字典与参数'!$G$5:$J$9,2,FALSE),"未入选")</x:f>
        <x:v>未入选</x:v>
      </x:c>
      <x:c r="V760" s="24" t="str">
        <x:f>IFERROR(VLOOKUP(I760,'07_字典与参数'!$G$5:$J$9,3,FALSE),"—")</x:f>
        <x:v>—</x:v>
      </x:c>
      <x:c r="W760" s="24" t="str">
        <x:f>IF(U760="未入选","否","是")</x:f>
        <x:v>否</x:v>
      </x:c>
    </x:row>
    <x:row r="761">
      <x:c r="A761" t="n">
        <x:v>202631</x:v>
      </x:c>
      <x:c r="B761" t="str">
        <x:v>第31期（08.03-08.09）</x:v>
      </x:c>
      <x:c r="C761" t="str">
        <x:v>2026-08-03</x:v>
      </x:c>
      <x:c r="D761" t="str">
        <x:v>2026-08-09</x:v>
      </x:c>
      <x:c r="E761" t="n">
        <x:v>157</x:v>
      </x:c>
      <x:c r="F761" t="n">
        <x:v>522436428</x:v>
      </x:c>
      <x:c r="G761" t="str">
        <x:v>文艺工作者</x:v>
      </x:c>
      <x:c r="H761" t="str">
        <x:v>张艺兴</x:v>
      </x:c>
      <x:c r="I761" t="str">
        <x:v>001tQZO33ntbnd</x:v>
      </x:c>
      <x:c r="J761" t="str">
        <x:v>False</x:v>
      </x:c>
      <x:c r="K761" t="n">
        <x:v>97</x:v>
      </x:c>
      <x:c r="L761" t="n">
        <x:v>0</x:v>
      </x:c>
      <x:c r="M761" t="n">
        <x:v>0</x:v>
      </x:c>
      <x:c r="N761" t="n">
        <x:v>79.21657</x:v>
      </x:c>
      <x:c r="O761" t="n">
        <x:v>54.21</x:v>
      </x:c>
      <x:c r="P761" t="n">
        <x:v>0</x:v>
      </x:c>
      <x:c r="Q761" t="n">
        <x:v>0</x:v>
      </x:c>
      <x:c r="R761" t="n">
        <x:v>38.2</x:v>
      </x:c>
      <x:c r="S761" t="n">
        <x:v>41.95</x:v>
      </x:c>
      <x:c r="T761" t="str">
        <x:v>https://y.gtimg.cn/music/photo_new/T002R500x500M000001w138z3PZEcz_1.jpg</x:v>
      </x:c>
      <x:c r="U761" s="24" t="str">
        <x:f>IFERROR(VLOOKUP(I761,'07_字典与参数'!$G$5:$J$9,2,FALSE),"未入选")</x:f>
        <x:v>未入选</x:v>
      </x:c>
      <x:c r="V761" s="24" t="str">
        <x:f>IFERROR(VLOOKUP(I761,'07_字典与参数'!$G$5:$J$9,3,FALSE),"—")</x:f>
        <x:v>—</x:v>
      </x:c>
      <x:c r="W761" s="24" t="str">
        <x:f>IF(U761="未入选","否","是")</x:f>
        <x:v>否</x:v>
      </x:c>
    </x:row>
    <x:row r="762">
      <x:c r="A762" t="n">
        <x:v>202631</x:v>
      </x:c>
      <x:c r="B762" t="str">
        <x:v>第31期（08.03-08.09）</x:v>
      </x:c>
      <x:c r="C762" t="str">
        <x:v>2026-08-03</x:v>
      </x:c>
      <x:c r="D762" t="str">
        <x:v>2026-08-09</x:v>
      </x:c>
      <x:c r="E762" t="n">
        <x:v>158</x:v>
      </x:c>
      <x:c r="F762" t="n">
        <x:v>517708558</x:v>
      </x:c>
      <x:c r="G762" t="str">
        <x:v>Call My Name</x:v>
      </x:c>
      <x:c r="H762" t="str">
        <x:v>张艺兴</x:v>
      </x:c>
      <x:c r="I762" t="str">
        <x:v>000LnSwg4DkKg2</x:v>
      </x:c>
      <x:c r="J762" t="str">
        <x:v>False</x:v>
      </x:c>
      <x:c r="K762" t="n">
        <x:v>116</x:v>
      </x:c>
      <x:c r="L762" t="n">
        <x:v>0</x:v>
      </x:c>
      <x:c r="M762" t="n">
        <x:v>0</x:v>
      </x:c>
      <x:c r="N762" t="n">
        <x:v>79.18906</x:v>
      </x:c>
      <x:c r="O762" t="n">
        <x:v>59.97</x:v>
      </x:c>
      <x:c r="P762" t="n">
        <x:v>0</x:v>
      </x:c>
      <x:c r="Q762" t="n">
        <x:v>0</x:v>
      </x:c>
      <x:c r="R762" t="n">
        <x:v>30.08</x:v>
      </x:c>
      <x:c r="S762" t="n">
        <x:v>42.51</x:v>
      </x:c>
      <x:c r="T762" t="str">
        <x:v>https://y.gtimg.cn/music/photo_new/T002R500x500M000001w138z3PZEcz_1.jpg</x:v>
      </x:c>
      <x:c r="U762" s="24" t="str">
        <x:f>IFERROR(VLOOKUP(I762,'07_字典与参数'!$G$5:$J$9,2,FALSE),"未入选")</x:f>
        <x:v>未入选</x:v>
      </x:c>
      <x:c r="V762" s="24" t="str">
        <x:f>IFERROR(VLOOKUP(I762,'07_字典与参数'!$G$5:$J$9,3,FALSE),"—")</x:f>
        <x:v>—</x:v>
      </x:c>
      <x:c r="W762" s="24" t="str">
        <x:f>IF(U762="未入选","否","是")</x:f>
        <x:v>否</x:v>
      </x:c>
    </x:row>
    <x:row r="763">
      <x:c r="A763" t="n">
        <x:v>202631</x:v>
      </x:c>
      <x:c r="B763" t="str">
        <x:v>第31期（08.03-08.09）</x:v>
      </x:c>
      <x:c r="C763" t="str">
        <x:v>2026-08-03</x:v>
      </x:c>
      <x:c r="D763" t="str">
        <x:v>2026-08-09</x:v>
      </x:c>
      <x:c r="E763" t="n">
        <x:v>159</x:v>
      </x:c>
      <x:c r="F763" t="n">
        <x:v>522436399</x:v>
      </x:c>
      <x:c r="G763" t="str">
        <x:v>意中人</x:v>
      </x:c>
      <x:c r="H763" t="str">
        <x:v>张艺兴</x:v>
      </x:c>
      <x:c r="I763" t="str">
        <x:v>0032Yh0918cF8c</x:v>
      </x:c>
      <x:c r="J763" t="str">
        <x:v>False</x:v>
      </x:c>
      <x:c r="K763" t="n">
        <x:v>93</x:v>
      </x:c>
      <x:c r="L763" t="n">
        <x:v>0</x:v>
      </x:c>
      <x:c r="M763" t="n">
        <x:v>0</x:v>
      </x:c>
      <x:c r="N763" t="n">
        <x:v>79.17199</x:v>
      </x:c>
      <x:c r="O763" t="n">
        <x:v>54.35</x:v>
      </x:c>
      <x:c r="P763" t="n">
        <x:v>0</x:v>
      </x:c>
      <x:c r="Q763" t="n">
        <x:v>0</x:v>
      </x:c>
      <x:c r="R763" t="n">
        <x:v>38.58</x:v>
      </x:c>
      <x:c r="S763" t="n">
        <x:v>41.64</x:v>
      </x:c>
      <x:c r="T763" t="str">
        <x:v>https://y.gtimg.cn/music/photo_new/T002R500x500M000001w138z3PZEcz_1.jpg</x:v>
      </x:c>
      <x:c r="U763" s="24" t="str">
        <x:f>IFERROR(VLOOKUP(I763,'07_字典与参数'!$G$5:$J$9,2,FALSE),"未入选")</x:f>
        <x:v>未入选</x:v>
      </x:c>
      <x:c r="V763" s="24" t="str">
        <x:f>IFERROR(VLOOKUP(I763,'07_字典与参数'!$G$5:$J$9,3,FALSE),"—")</x:f>
        <x:v>—</x:v>
      </x:c>
      <x:c r="W763" s="24" t="str">
        <x:f>IF(U763="未入选","否","是")</x:f>
        <x:v>否</x:v>
      </x:c>
    </x:row>
    <x:row r="764">
      <x:c r="A764" t="n">
        <x:v>202631</x:v>
      </x:c>
      <x:c r="B764" t="str">
        <x:v>第31期（08.03-08.09）</x:v>
      </x:c>
      <x:c r="C764" t="str">
        <x:v>2026-08-03</x:v>
      </x:c>
      <x:c r="D764" t="str">
        <x:v>2026-08-09</x:v>
      </x:c>
      <x:c r="E764" t="n">
        <x:v>160</x:v>
      </x:c>
      <x:c r="F764" t="n">
        <x:v>517370193</x:v>
      </x:c>
      <x:c r="G764" t="str">
        <x:v>怎么能</x:v>
      </x:c>
      <x:c r="H764" t="str">
        <x:v>侯明昊</x:v>
      </x:c>
      <x:c r="I764" t="str">
        <x:v>003NyZSD2d3zPD</x:v>
      </x:c>
      <x:c r="J764" t="str">
        <x:v>False</x:v>
      </x:c>
      <x:c r="K764" t="n">
        <x:v>160</x:v>
      </x:c>
      <x:c r="L764" t="n">
        <x:v>0</x:v>
      </x:c>
      <x:c r="M764" t="n">
        <x:v>0</x:v>
      </x:c>
      <x:c r="N764" t="n">
        <x:v>79.15169</x:v>
      </x:c>
      <x:c r="O764" t="n">
        <x:v>60.03</x:v>
      </x:c>
      <x:c r="P764" t="n">
        <x:v>0</x:v>
      </x:c>
      <x:c r="Q764" t="n">
        <x:v>0</x:v>
      </x:c>
      <x:c r="R764" t="n">
        <x:v>8.4</x:v>
      </x:c>
      <x:c r="S764" t="n">
        <x:v>45.72</x:v>
      </x:c>
      <x:c r="T764" t="str">
        <x:v>https://y.gtimg.cn/music/photo_new/T002R500x500M000000SnDwr12zILh_2.jpg</x:v>
      </x:c>
      <x:c r="U764" s="24" t="str">
        <x:f>IFERROR(VLOOKUP(I764,'07_字典与参数'!$G$5:$J$9,2,FALSE),"未入选")</x:f>
        <x:v>未入选</x:v>
      </x:c>
      <x:c r="V764" s="24" t="str">
        <x:f>IFERROR(VLOOKUP(I764,'07_字典与参数'!$G$5:$J$9,3,FALSE),"—")</x:f>
        <x:v>—</x:v>
      </x:c>
      <x:c r="W764" s="24" t="str">
        <x:f>IF(U764="未入选","否","是")</x:f>
        <x:v>否</x:v>
      </x:c>
    </x:row>
    <x:row r="765">
      <x:c r="A765" t="n">
        <x:v>202631</x:v>
      </x:c>
      <x:c r="B765" t="str">
        <x:v>第31期（08.03-08.09）</x:v>
      </x:c>
      <x:c r="C765" t="str">
        <x:v>2026-08-03</x:v>
      </x:c>
      <x:c r="D765" t="str">
        <x:v>2026-08-09</x:v>
      </x:c>
      <x:c r="E765" t="n">
        <x:v>161</x:v>
      </x:c>
      <x:c r="F765" t="n">
        <x:v>535900496</x:v>
      </x:c>
      <x:c r="G765" t="str">
        <x:v>爱情的苦楚</x:v>
      </x:c>
      <x:c r="H765" t="str">
        <x:v>正云</x:v>
      </x:c>
      <x:c r="I765" t="str">
        <x:v>003dHJYB1kXQbS</x:v>
      </x:c>
      <x:c r="J765" t="str">
        <x:v>False</x:v>
      </x:c>
      <x:c r="K765" t="n">
        <x:v>0</x:v>
      </x:c>
      <x:c r="L765" t="n">
        <x:v>0</x:v>
      </x:c>
      <x:c r="M765" t="n">
        <x:v>0</x:v>
      </x:c>
      <x:c r="N765" t="n">
        <x:v>79.14101</x:v>
      </x:c>
      <x:c r="O765" t="n">
        <x:v>63.63</x:v>
      </x:c>
      <x:c r="P765" t="n">
        <x:v>0</x:v>
      </x:c>
      <x:c r="Q765" t="n">
        <x:v>0</x:v>
      </x:c>
      <x:c r="R765" t="n">
        <x:v>22.33</x:v>
      </x:c>
      <x:c r="S765" t="n">
        <x:v>36.38</x:v>
      </x:c>
      <x:c r="T765" t="str">
        <x:v>https://y.gtimg.cn/music/photo_new/T002R500x500M00000261FVy3jGdHv_1.jpg</x:v>
      </x:c>
      <x:c r="U765" s="24" t="str">
        <x:f>IFERROR(VLOOKUP(I765,'07_字典与参数'!$G$5:$J$9,2,FALSE),"未入选")</x:f>
        <x:v>未入选</x:v>
      </x:c>
      <x:c r="V765" s="24" t="str">
        <x:f>IFERROR(VLOOKUP(I765,'07_字典与参数'!$G$5:$J$9,3,FALSE),"—")</x:f>
        <x:v>—</x:v>
      </x:c>
      <x:c r="W765" s="24" t="str">
        <x:f>IF(U765="未入选","否","是")</x:f>
        <x:v>否</x:v>
      </x:c>
    </x:row>
    <x:row r="766">
      <x:c r="A766" t="n">
        <x:v>202631</x:v>
      </x:c>
      <x:c r="B766" t="str">
        <x:v>第31期（08.03-08.09）</x:v>
      </x:c>
      <x:c r="C766" t="str">
        <x:v>2026-08-03</x:v>
      </x:c>
      <x:c r="D766" t="str">
        <x:v>2026-08-09</x:v>
      </x:c>
      <x:c r="E766" t="n">
        <x:v>162</x:v>
      </x:c>
      <x:c r="F766" t="n">
        <x:v>531381353</x:v>
      </x:c>
      <x:c r="G766" t="str">
        <x:v>梦的翅膀受了伤 (一滴一滴刺痛我的心)</x:v>
      </x:c>
      <x:c r="H766" t="str">
        <x:v>Ravixen</x:v>
      </x:c>
      <x:c r="I766" t="str">
        <x:v>001SK7gO0sGJX9</x:v>
      </x:c>
      <x:c r="J766" t="str">
        <x:v>False</x:v>
      </x:c>
      <x:c r="K766" t="n">
        <x:v>0</x:v>
      </x:c>
      <x:c r="L766" t="n">
        <x:v>0</x:v>
      </x:c>
      <x:c r="M766" t="n">
        <x:v>0</x:v>
      </x:c>
      <x:c r="N766" t="n">
        <x:v>79.13863</x:v>
      </x:c>
      <x:c r="O766" t="n">
        <x:v>67.25</x:v>
      </x:c>
      <x:c r="P766" t="n">
        <x:v>0</x:v>
      </x:c>
      <x:c r="Q766" t="n">
        <x:v>0</x:v>
      </x:c>
      <x:c r="R766" t="n">
        <x:v>4.48</x:v>
      </x:c>
      <x:c r="S766" t="n">
        <x:v>4.68</x:v>
      </x:c>
      <x:c r="T766" t="str">
        <x:v>https://y.gtimg.cn/music/photo_new/T002R500x500M000001VWnXW0zoU63_1.jpg</x:v>
      </x:c>
      <x:c r="U766" s="24" t="str">
        <x:f>IFERROR(VLOOKUP(I766,'07_字典与参数'!$G$5:$J$9,2,FALSE),"未入选")</x:f>
        <x:v>未入选</x:v>
      </x:c>
      <x:c r="V766" s="24" t="str">
        <x:f>IFERROR(VLOOKUP(I766,'07_字典与参数'!$G$5:$J$9,3,FALSE),"—")</x:f>
        <x:v>—</x:v>
      </x:c>
      <x:c r="W766" s="24" t="str">
        <x:f>IF(U766="未入选","否","是")</x:f>
        <x:v>否</x:v>
      </x:c>
    </x:row>
    <x:row r="767">
      <x:c r="A767" t="n">
        <x:v>202631</x:v>
      </x:c>
      <x:c r="B767" t="str">
        <x:v>第31期（08.03-08.09）</x:v>
      </x:c>
      <x:c r="C767" t="str">
        <x:v>2026-08-03</x:v>
      </x:c>
      <x:c r="D767" t="str">
        <x:v>2026-08-09</x:v>
      </x:c>
      <x:c r="E767" t="n">
        <x:v>163</x:v>
      </x:c>
      <x:c r="F767" t="n">
        <x:v>477383450</x:v>
      </x:c>
      <x:c r="G767" t="str">
        <x:v>一千一万朵</x:v>
      </x:c>
      <x:c r="H767" t="str">
        <x:v>马嘉祺</x:v>
      </x:c>
      <x:c r="I767" t="str">
        <x:v>003TNscL2TONPZ</x:v>
      </x:c>
      <x:c r="J767" t="str">
        <x:v>False</x:v>
      </x:c>
      <x:c r="K767" t="n">
        <x:v>75</x:v>
      </x:c>
      <x:c r="L767" t="n">
        <x:v>0</x:v>
      </x:c>
      <x:c r="M767" t="n">
        <x:v>0</x:v>
      </x:c>
      <x:c r="N767" t="n">
        <x:v>79.03257</x:v>
      </x:c>
      <x:c r="O767" t="n">
        <x:v>64.13</x:v>
      </x:c>
      <x:c r="P767" t="n">
        <x:v>0</x:v>
      </x:c>
      <x:c r="Q767" t="n">
        <x:v>0</x:v>
      </x:c>
      <x:c r="R767" t="n">
        <x:v>12.12</x:v>
      </x:c>
      <x:c r="S767" t="n">
        <x:v>39.26</x:v>
      </x:c>
      <x:c r="T767" t="str">
        <x:v>https://y.qq.com/music/photo_new/T062R500x500M000003CK5IN3d5z55.jpg</x:v>
      </x:c>
      <x:c r="U767" s="24" t="str">
        <x:f>IFERROR(VLOOKUP(I767,'07_字典与参数'!$G$5:$J$9,2,FALSE),"未入选")</x:f>
        <x:v>未入选</x:v>
      </x:c>
      <x:c r="V767" s="24" t="str">
        <x:f>IFERROR(VLOOKUP(I767,'07_字典与参数'!$G$5:$J$9,3,FALSE),"—")</x:f>
        <x:v>—</x:v>
      </x:c>
      <x:c r="W767" s="24" t="str">
        <x:f>IF(U767="未入选","否","是")</x:f>
        <x:v>否</x:v>
      </x:c>
    </x:row>
    <x:row r="768">
      <x:c r="A768" t="n">
        <x:v>202631</x:v>
      </x:c>
      <x:c r="B768" t="str">
        <x:v>第31期（08.03-08.09）</x:v>
      </x:c>
      <x:c r="C768" t="str">
        <x:v>2026-08-03</x:v>
      </x:c>
      <x:c r="D768" t="str">
        <x:v>2026-08-09</x:v>
      </x:c>
      <x:c r="E768" t="n">
        <x:v>164</x:v>
      </x:c>
      <x:c r="F768" t="n">
        <x:v>490409162</x:v>
      </x:c>
      <x:c r="G768" t="str">
        <x:v>满心愧疚 </x:v>
      </x:c>
      <x:c r="H768" t="str">
        <x:v>金润吉</x:v>
      </x:c>
      <x:c r="I768" t="str">
        <x:v>003ht8Pb1OsDla</x:v>
      </x:c>
      <x:c r="J768" t="str">
        <x:v>False</x:v>
      </x:c>
      <x:c r="K768" t="n">
        <x:v>163</x:v>
      </x:c>
      <x:c r="L768" t="n">
        <x:v>0</x:v>
      </x:c>
      <x:c r="M768" t="n">
        <x:v>0</x:v>
      </x:c>
      <x:c r="N768" t="n">
        <x:v>78.95829</x:v>
      </x:c>
      <x:c r="O768" t="n">
        <x:v>66.58</x:v>
      </x:c>
      <x:c r="P768" t="n">
        <x:v>0</x:v>
      </x:c>
      <x:c r="Q768" t="n">
        <x:v>0</x:v>
      </x:c>
      <x:c r="R768" t="n">
        <x:v>7</x:v>
      </x:c>
      <x:c r="S768" t="n">
        <x:v>11.2</x:v>
      </x:c>
      <x:c r="T768" t="str">
        <x:v>https://y.gtimg.cn/music/photo_new/T002R500x500M000000cpsDu4LdGQl_1.jpg</x:v>
      </x:c>
      <x:c r="U768" s="24" t="str">
        <x:f>IFERROR(VLOOKUP(I768,'07_字典与参数'!$G$5:$J$9,2,FALSE),"未入选")</x:f>
        <x:v>未入选</x:v>
      </x:c>
      <x:c r="V768" s="24" t="str">
        <x:f>IFERROR(VLOOKUP(I768,'07_字典与参数'!$G$5:$J$9,3,FALSE),"—")</x:f>
        <x:v>—</x:v>
      </x:c>
      <x:c r="W768" s="24" t="str">
        <x:f>IF(U768="未入选","否","是")</x:f>
        <x:v>否</x:v>
      </x:c>
    </x:row>
    <x:row r="769">
      <x:c r="A769" t="n">
        <x:v>202631</x:v>
      </x:c>
      <x:c r="B769" t="str">
        <x:v>第31期（08.03-08.09）</x:v>
      </x:c>
      <x:c r="C769" t="str">
        <x:v>2026-08-03</x:v>
      </x:c>
      <x:c r="D769" t="str">
        <x:v>2026-08-09</x:v>
      </x:c>
      <x:c r="E769" t="n">
        <x:v>165</x:v>
      </x:c>
      <x:c r="F769" t="n">
        <x:v>522467069</x:v>
      </x:c>
      <x:c r="G769" t="str">
        <x:v>太阳</x:v>
      </x:c>
      <x:c r="H769" t="str">
        <x:v>张艺兴</x:v>
      </x:c>
      <x:c r="I769" t="str">
        <x:v>001Uoqxt4SYZNY</x:v>
      </x:c>
      <x:c r="J769" t="str">
        <x:v>False</x:v>
      </x:c>
      <x:c r="K769" t="n">
        <x:v>119</x:v>
      </x:c>
      <x:c r="L769" t="n">
        <x:v>0</x:v>
      </x:c>
      <x:c r="M769" t="n">
        <x:v>0</x:v>
      </x:c>
      <x:c r="N769" t="n">
        <x:v>78.90918</x:v>
      </x:c>
      <x:c r="O769" t="n">
        <x:v>59.96</x:v>
      </x:c>
      <x:c r="P769" t="n">
        <x:v>0</x:v>
      </x:c>
      <x:c r="Q769" t="n">
        <x:v>0</x:v>
      </x:c>
      <x:c r="R769" t="n">
        <x:v>28.59</x:v>
      </x:c>
      <x:c r="S769" t="n">
        <x:v>42.34</x:v>
      </x:c>
      <x:c r="T769" t="str">
        <x:v>https://y.gtimg.cn/music/photo_new/T002R500x500M000001w138z3PZEcz_1.jpg</x:v>
      </x:c>
      <x:c r="U769" s="24" t="str">
        <x:f>IFERROR(VLOOKUP(I769,'07_字典与参数'!$G$5:$J$9,2,FALSE),"未入选")</x:f>
        <x:v>未入选</x:v>
      </x:c>
      <x:c r="V769" s="24" t="str">
        <x:f>IFERROR(VLOOKUP(I769,'07_字典与参数'!$G$5:$J$9,3,FALSE),"—")</x:f>
        <x:v>—</x:v>
      </x:c>
      <x:c r="W769" s="24" t="str">
        <x:f>IF(U769="未入选","否","是")</x:f>
        <x:v>否</x:v>
      </x:c>
    </x:row>
    <x:row r="770">
      <x:c r="A770" t="n">
        <x:v>202631</x:v>
      </x:c>
      <x:c r="B770" t="str">
        <x:v>第31期（08.03-08.09）</x:v>
      </x:c>
      <x:c r="C770" t="str">
        <x:v>2026-08-03</x:v>
      </x:c>
      <x:c r="D770" t="str">
        <x:v>2026-08-09</x:v>
      </x:c>
      <x:c r="E770" t="n">
        <x:v>166</x:v>
      </x:c>
      <x:c r="F770" t="n">
        <x:v>513759558</x:v>
      </x:c>
      <x:c r="G770" t="str">
        <x:v>浮生若梦</x:v>
      </x:c>
      <x:c r="H770" t="str">
        <x:v>周深</x:v>
      </x:c>
      <x:c r="I770" t="str">
        <x:v>002ElBqW0fEWXI</x:v>
      </x:c>
      <x:c r="J770" t="str">
        <x:v>False</x:v>
      </x:c>
      <x:c r="K770" t="n">
        <x:v>161</x:v>
      </x:c>
      <x:c r="L770" t="n">
        <x:v>0</x:v>
      </x:c>
      <x:c r="M770" t="n">
        <x:v>0</x:v>
      </x:c>
      <x:c r="N770" t="n">
        <x:v>78.8491</x:v>
      </x:c>
      <x:c r="O770" t="n">
        <x:v>59.45</x:v>
      </x:c>
      <x:c r="P770" t="n">
        <x:v>0</x:v>
      </x:c>
      <x:c r="Q770" t="n">
        <x:v>0</x:v>
      </x:c>
      <x:c r="R770" t="n">
        <x:v>7.79</x:v>
      </x:c>
      <x:c r="S770" t="n">
        <x:v>45.54</x:v>
      </x:c>
      <x:c r="T770" t="str">
        <x:v>https://y.qq.com/music/photo_new/T062R500x500M000003O2ogG11M5da.jpg</x:v>
      </x:c>
      <x:c r="U770" s="24" t="str">
        <x:f>IFERROR(VLOOKUP(I770,'07_字典与参数'!$G$5:$J$9,2,FALSE),"未入选")</x:f>
        <x:v>未入选</x:v>
      </x:c>
      <x:c r="V770" s="24" t="str">
        <x:f>IFERROR(VLOOKUP(I770,'07_字典与参数'!$G$5:$J$9,3,FALSE),"—")</x:f>
        <x:v>—</x:v>
      </x:c>
      <x:c r="W770" s="24" t="str">
        <x:f>IF(U770="未入选","否","是")</x:f>
        <x:v>否</x:v>
      </x:c>
    </x:row>
    <x:row r="771">
      <x:c r="A771" t="n">
        <x:v>202631</x:v>
      </x:c>
      <x:c r="B771" t="str">
        <x:v>第31期（08.03-08.09）</x:v>
      </x:c>
      <x:c r="C771" t="str">
        <x:v>2026-08-03</x:v>
      </x:c>
      <x:c r="D771" t="str">
        <x:v>2026-08-09</x:v>
      </x:c>
      <x:c r="E771" t="n">
        <x:v>167</x:v>
      </x:c>
      <x:c r="F771" t="n">
        <x:v>538385345</x:v>
      </x:c>
      <x:c r="G771" t="str">
        <x:v>借酒</x:v>
      </x:c>
      <x:c r="H771" t="str">
        <x:v>张大迷糊</x:v>
      </x:c>
      <x:c r="I771" t="str">
        <x:v>003dgY2o26467x</x:v>
      </x:c>
      <x:c r="J771" t="str">
        <x:v>False</x:v>
      </x:c>
      <x:c r="K771" t="n">
        <x:v>0</x:v>
      </x:c>
      <x:c r="L771" t="n">
        <x:v>0</x:v>
      </x:c>
      <x:c r="M771" t="n">
        <x:v>0</x:v>
      </x:c>
      <x:c r="N771" t="n">
        <x:v>78.79973</x:v>
      </x:c>
      <x:c r="O771" t="n">
        <x:v>56.26</x:v>
      </x:c>
      <x:c r="P771" t="n">
        <x:v>0</x:v>
      </x:c>
      <x:c r="Q771" t="n">
        <x:v>0</x:v>
      </x:c>
      <x:c r="R771" t="n">
        <x:v>33.8</x:v>
      </x:c>
      <x:c r="S771" t="n">
        <x:v>42.05</x:v>
      </x:c>
      <x:c r="T771" t="str">
        <x:v>https://y.gtimg.cn/music/photo_new/T002R500x500M000003YHePU1TysKU_1.jpg</x:v>
      </x:c>
      <x:c r="U771" s="24" t="str">
        <x:f>IFERROR(VLOOKUP(I771,'07_字典与参数'!$G$5:$J$9,2,FALSE),"未入选")</x:f>
        <x:v>未入选</x:v>
      </x:c>
      <x:c r="V771" s="24" t="str">
        <x:f>IFERROR(VLOOKUP(I771,'07_字典与参数'!$G$5:$J$9,3,FALSE),"—")</x:f>
        <x:v>—</x:v>
      </x:c>
      <x:c r="W771" s="24" t="str">
        <x:f>IF(U771="未入选","否","是")</x:f>
        <x:v>否</x:v>
      </x:c>
    </x:row>
    <x:row r="772">
      <x:c r="A772" t="n">
        <x:v>202631</x:v>
      </x:c>
      <x:c r="B772" t="str">
        <x:v>第31期（08.03-08.09）</x:v>
      </x:c>
      <x:c r="C772" t="str">
        <x:v>2026-08-03</x:v>
      </x:c>
      <x:c r="D772" t="str">
        <x:v>2026-08-09</x:v>
      </x:c>
      <x:c r="E772" t="n">
        <x:v>168</x:v>
      </x:c>
      <x:c r="F772" t="n">
        <x:v>531085098</x:v>
      </x:c>
      <x:c r="G772" t="str">
        <x:v>沪上龙王</x:v>
      </x:c>
      <x:c r="H772" t="str">
        <x:v>郭有才</x:v>
      </x:c>
      <x:c r="I772" t="str">
        <x:v>0049xZge3U5SLp</x:v>
      </x:c>
      <x:c r="J772" t="str">
        <x:v>False</x:v>
      </x:c>
      <x:c r="K772" t="n">
        <x:v>141</x:v>
      </x:c>
      <x:c r="L772" t="n">
        <x:v>0</x:v>
      </x:c>
      <x:c r="M772" t="n">
        <x:v>0</x:v>
      </x:c>
      <x:c r="N772" t="n">
        <x:v>78.71325</x:v>
      </x:c>
      <x:c r="O772" t="n">
        <x:v>66.43</x:v>
      </x:c>
      <x:c r="P772" t="n">
        <x:v>0</x:v>
      </x:c>
      <x:c r="Q772" t="n">
        <x:v>0</x:v>
      </x:c>
      <x:c r="R772" t="n">
        <x:v>6.69</x:v>
      </x:c>
      <x:c r="S772" t="n">
        <x:v>6.12</x:v>
      </x:c>
      <x:c r="T772" t="str">
        <x:v>https://y.gtimg.cn/music/photo_new/T002R500x500M000000xjTTE3rd5Df_1.jpg</x:v>
      </x:c>
      <x:c r="U772" s="24" t="str">
        <x:f>IFERROR(VLOOKUP(I772,'07_字典与参数'!$G$5:$J$9,2,FALSE),"未入选")</x:f>
        <x:v>未入选</x:v>
      </x:c>
      <x:c r="V772" s="24" t="str">
        <x:f>IFERROR(VLOOKUP(I772,'07_字典与参数'!$G$5:$J$9,3,FALSE),"—")</x:f>
        <x:v>—</x:v>
      </x:c>
      <x:c r="W772" s="24" t="str">
        <x:f>IF(U772="未入选","否","是")</x:f>
        <x:v>否</x:v>
      </x:c>
    </x:row>
    <x:row r="773">
      <x:c r="A773" t="n">
        <x:v>202631</x:v>
      </x:c>
      <x:c r="B773" t="str">
        <x:v>第31期（08.03-08.09）</x:v>
      </x:c>
      <x:c r="C773" t="str">
        <x:v>2026-08-03</x:v>
      </x:c>
      <x:c r="D773" t="str">
        <x:v>2026-08-09</x:v>
      </x:c>
      <x:c r="E773" t="n">
        <x:v>169</x:v>
      </x:c>
      <x:c r="F773" t="n">
        <x:v>522467090</x:v>
      </x:c>
      <x:c r="G773" t="str">
        <x:v>香</x:v>
      </x:c>
      <x:c r="H773" t="str">
        <x:v>张艺兴</x:v>
      </x:c>
      <x:c r="I773" t="str">
        <x:v>001a7UVj0yhPcv</x:v>
      </x:c>
      <x:c r="J773" t="str">
        <x:v>False</x:v>
      </x:c>
      <x:c r="K773" t="n">
        <x:v>111</x:v>
      </x:c>
      <x:c r="L773" t="n">
        <x:v>0</x:v>
      </x:c>
      <x:c r="M773" t="n">
        <x:v>0</x:v>
      </x:c>
      <x:c r="N773" t="n">
        <x:v>78.53027</x:v>
      </x:c>
      <x:c r="O773" t="n">
        <x:v>59.26</x:v>
      </x:c>
      <x:c r="P773" t="n">
        <x:v>0</x:v>
      </x:c>
      <x:c r="Q773" t="n">
        <x:v>0</x:v>
      </x:c>
      <x:c r="R773" t="n">
        <x:v>28.3</x:v>
      </x:c>
      <x:c r="S773" t="n">
        <x:v>42.06</x:v>
      </x:c>
      <x:c r="T773" t="str">
        <x:v>https://y.gtimg.cn/music/photo_new/T002R500x500M000001w138z3PZEcz_1.jpg</x:v>
      </x:c>
      <x:c r="U773" s="24" t="str">
        <x:f>IFERROR(VLOOKUP(I773,'07_字典与参数'!$G$5:$J$9,2,FALSE),"未入选")</x:f>
        <x:v>未入选</x:v>
      </x:c>
      <x:c r="V773" s="24" t="str">
        <x:f>IFERROR(VLOOKUP(I773,'07_字典与参数'!$G$5:$J$9,3,FALSE),"—")</x:f>
        <x:v>—</x:v>
      </x:c>
      <x:c r="W773" s="24" t="str">
        <x:f>IF(U773="未入选","否","是")</x:f>
        <x:v>否</x:v>
      </x:c>
    </x:row>
    <x:row r="774">
      <x:c r="A774" t="n">
        <x:v>202631</x:v>
      </x:c>
      <x:c r="B774" t="str">
        <x:v>第31期（08.03-08.09）</x:v>
      </x:c>
      <x:c r="C774" t="str">
        <x:v>2026-08-03</x:v>
      </x:c>
      <x:c r="D774" t="str">
        <x:v>2026-08-09</x:v>
      </x:c>
      <x:c r="E774" t="n">
        <x:v>170</x:v>
      </x:c>
      <x:c r="F774" t="n">
        <x:v>520238249</x:v>
      </x:c>
      <x:c r="G774" t="str">
        <x:v>看山</x:v>
      </x:c>
      <x:c r="H774" t="str">
        <x:v>方大树,灯叔</x:v>
      </x:c>
      <x:c r="I774" t="str">
        <x:v>00445tP34GOx8n</x:v>
      </x:c>
      <x:c r="J774" t="str">
        <x:v>False</x:v>
      </x:c>
      <x:c r="K774" t="n">
        <x:v>169</x:v>
      </x:c>
      <x:c r="L774" t="n">
        <x:v>0</x:v>
      </x:c>
      <x:c r="M774" t="n">
        <x:v>0</x:v>
      </x:c>
      <x:c r="N774" t="n">
        <x:v>78.49448</x:v>
      </x:c>
      <x:c r="O774" t="n">
        <x:v>65.06</x:v>
      </x:c>
      <x:c r="P774" t="n">
        <x:v>0</x:v>
      </x:c>
      <x:c r="Q774" t="n">
        <x:v>0</x:v>
      </x:c>
      <x:c r="R774" t="n">
        <x:v>8.36</x:v>
      </x:c>
      <x:c r="S774" t="n">
        <x:v>27.28</x:v>
      </x:c>
      <x:c r="T774" t="str">
        <x:v>https://y.gtimg.cn/music/photo_new/T002R500x500M000003lKa1y3gVIvi_1.jpg</x:v>
      </x:c>
      <x:c r="U774" s="24" t="str">
        <x:f>IFERROR(VLOOKUP(I774,'07_字典与参数'!$G$5:$J$9,2,FALSE),"未入选")</x:f>
        <x:v>未入选</x:v>
      </x:c>
      <x:c r="V774" s="24" t="str">
        <x:f>IFERROR(VLOOKUP(I774,'07_字典与参数'!$G$5:$J$9,3,FALSE),"—")</x:f>
        <x:v>—</x:v>
      </x:c>
      <x:c r="W774" s="24" t="str">
        <x:f>IF(U774="未入选","否","是")</x:f>
        <x:v>否</x:v>
      </x:c>
    </x:row>
    <x:row r="775">
      <x:c r="A775" t="n">
        <x:v>202631</x:v>
      </x:c>
      <x:c r="B775" t="str">
        <x:v>第31期（08.03-08.09）</x:v>
      </x:c>
      <x:c r="C775" t="str">
        <x:v>2026-08-03</x:v>
      </x:c>
      <x:c r="D775" t="str">
        <x:v>2026-08-09</x:v>
      </x:c>
      <x:c r="E775" t="n">
        <x:v>171</x:v>
      </x:c>
      <x:c r="F775" t="n">
        <x:v>511809673</x:v>
      </x:c>
      <x:c r="G775" t="str">
        <x:v>人间</x:v>
      </x:c>
      <x:c r="H775" t="str">
        <x:v>刘宇宁</x:v>
      </x:c>
      <x:c r="I775" t="str">
        <x:v>002dyLPw3kRsuA</x:v>
      </x:c>
      <x:c r="J775" t="str">
        <x:v>False</x:v>
      </x:c>
      <x:c r="K775" t="n">
        <x:v>155</x:v>
      </x:c>
      <x:c r="L775" t="n">
        <x:v>0</x:v>
      </x:c>
      <x:c r="M775" t="n">
        <x:v>0</x:v>
      </x:c>
      <x:c r="N775" t="n">
        <x:v>78.42274</x:v>
      </x:c>
      <x:c r="O775" t="n">
        <x:v>61.56</x:v>
      </x:c>
      <x:c r="P775" t="n">
        <x:v>0</x:v>
      </x:c>
      <x:c r="Q775" t="n">
        <x:v>0</x:v>
      </x:c>
      <x:c r="R775" t="n">
        <x:v>9.34</x:v>
      </x:c>
      <x:c r="S775" t="n">
        <x:v>42.36</x:v>
      </x:c>
      <x:c r="T775" t="str">
        <x:v>https://y.qq.com/music/photo_new/T062R500x500M000001Plf3T3zraRt.jpg</x:v>
      </x:c>
      <x:c r="U775" s="24" t="str">
        <x:f>IFERROR(VLOOKUP(I775,'07_字典与参数'!$G$5:$J$9,2,FALSE),"未入选")</x:f>
        <x:v>未入选</x:v>
      </x:c>
      <x:c r="V775" s="24" t="str">
        <x:f>IFERROR(VLOOKUP(I775,'07_字典与参数'!$G$5:$J$9,3,FALSE),"—")</x:f>
        <x:v>—</x:v>
      </x:c>
      <x:c r="W775" s="24" t="str">
        <x:f>IF(U775="未入选","否","是")</x:f>
        <x:v>否</x:v>
      </x:c>
    </x:row>
    <x:row r="776">
      <x:c r="A776" t="n">
        <x:v>202631</x:v>
      </x:c>
      <x:c r="B776" t="str">
        <x:v>第31期（08.03-08.09）</x:v>
      </x:c>
      <x:c r="C776" t="str">
        <x:v>2026-08-03</x:v>
      </x:c>
      <x:c r="D776" t="str">
        <x:v>2026-08-09</x:v>
      </x:c>
      <x:c r="E776" t="n">
        <x:v>172</x:v>
      </x:c>
      <x:c r="F776" t="n">
        <x:v>538722489</x:v>
      </x:c>
      <x:c r="G776" t="str">
        <x:v>最完美的存在</x:v>
      </x:c>
      <x:c r="H776" t="str">
        <x:v>刘芯妤Roselyn</x:v>
      </x:c>
      <x:c r="I776" t="str">
        <x:v>000EA5mu1CmOSe</x:v>
      </x:c>
      <x:c r="J776" t="str">
        <x:v>False</x:v>
      </x:c>
      <x:c r="K776" t="n">
        <x:v>0</x:v>
      </x:c>
      <x:c r="L776" t="n">
        <x:v>0</x:v>
      </x:c>
      <x:c r="M776" t="n">
        <x:v>0</x:v>
      </x:c>
      <x:c r="N776" t="n">
        <x:v>78.41367</x:v>
      </x:c>
      <x:c r="O776" t="n">
        <x:v>65.95</x:v>
      </x:c>
      <x:c r="P776" t="n">
        <x:v>0</x:v>
      </x:c>
      <x:c r="Q776" t="n">
        <x:v>0</x:v>
      </x:c>
      <x:c r="R776" t="n">
        <x:v>2.05</x:v>
      </x:c>
      <x:c r="S776" t="n">
        <x:v>19.72</x:v>
      </x:c>
      <x:c r="T776" t="str">
        <x:v>https://y.gtimg.cn/music/photo_new/T002R500x500M000003cPthj1M9OrO_2.jpg</x:v>
      </x:c>
      <x:c r="U776" s="24" t="str">
        <x:f>IFERROR(VLOOKUP(I776,'07_字典与参数'!$G$5:$J$9,2,FALSE),"未入选")</x:f>
        <x:v>未入选</x:v>
      </x:c>
      <x:c r="V776" s="24" t="str">
        <x:f>IFERROR(VLOOKUP(I776,'07_字典与参数'!$G$5:$J$9,3,FALSE),"—")</x:f>
        <x:v>—</x:v>
      </x:c>
      <x:c r="W776" s="24" t="str">
        <x:f>IF(U776="未入选","否","是")</x:f>
        <x:v>否</x:v>
      </x:c>
    </x:row>
    <x:row r="777">
      <x:c r="A777" t="n">
        <x:v>202631</x:v>
      </x:c>
      <x:c r="B777" t="str">
        <x:v>第31期（08.03-08.09）</x:v>
      </x:c>
      <x:c r="C777" t="str">
        <x:v>2026-08-03</x:v>
      </x:c>
      <x:c r="D777" t="str">
        <x:v>2026-08-09</x:v>
      </x:c>
      <x:c r="E777" t="n">
        <x:v>173</x:v>
      </x:c>
      <x:c r="F777" t="n">
        <x:v>513260499</x:v>
      </x:c>
      <x:c r="G777" t="str">
        <x:v>FIND THE WAY</x:v>
      </x:c>
      <x:c r="H777" t="str">
        <x:v>鞠婧祎</x:v>
      </x:c>
      <x:c r="I777" t="str">
        <x:v>00437uBu1XnGlr</x:v>
      </x:c>
      <x:c r="J777" t="str">
        <x:v>False</x:v>
      </x:c>
      <x:c r="K777" t="n">
        <x:v>173</x:v>
      </x:c>
      <x:c r="L777" t="n">
        <x:v>0</x:v>
      </x:c>
      <x:c r="M777" t="n">
        <x:v>0</x:v>
      </x:c>
      <x:c r="N777" t="n">
        <x:v>78.37709</x:v>
      </x:c>
      <x:c r="O777" t="n">
        <x:v>60.97</x:v>
      </x:c>
      <x:c r="P777" t="n">
        <x:v>0</x:v>
      </x:c>
      <x:c r="Q777" t="n">
        <x:v>0</x:v>
      </x:c>
      <x:c r="R777" t="n">
        <x:v>10.81</x:v>
      </x:c>
      <x:c r="S777" t="n">
        <x:v>42.89</x:v>
      </x:c>
      <x:c r="T777" t="str">
        <x:v>https://y.gtimg.cn/music/photo_new/T002R500x500M000003Dwzfn4263MZ_1.jpg</x:v>
      </x:c>
      <x:c r="U777" s="24" t="str">
        <x:f>IFERROR(VLOOKUP(I777,'07_字典与参数'!$G$5:$J$9,2,FALSE),"未入选")</x:f>
        <x:v>未入选</x:v>
      </x:c>
      <x:c r="V777" s="24" t="str">
        <x:f>IFERROR(VLOOKUP(I777,'07_字典与参数'!$G$5:$J$9,3,FALSE),"—")</x:f>
        <x:v>—</x:v>
      </x:c>
      <x:c r="W777" s="24" t="str">
        <x:f>IF(U777="未入选","否","是")</x:f>
        <x:v>否</x:v>
      </x:c>
    </x:row>
    <x:row r="778">
      <x:c r="A778" t="n">
        <x:v>202631</x:v>
      </x:c>
      <x:c r="B778" t="str">
        <x:v>第31期（08.03-08.09）</x:v>
      </x:c>
      <x:c r="C778" t="str">
        <x:v>2026-08-03</x:v>
      </x:c>
      <x:c r="D778" t="str">
        <x:v>2026-08-09</x:v>
      </x:c>
      <x:c r="E778" t="n">
        <x:v>174</x:v>
      </x:c>
      <x:c r="F778" t="n">
        <x:v>522436398</x:v>
      </x:c>
      <x:c r="G778" t="str">
        <x:v>斗战胜佛</x:v>
      </x:c>
      <x:c r="H778" t="str">
        <x:v>张艺兴</x:v>
      </x:c>
      <x:c r="I778" t="str">
        <x:v>0031lecC265Cw1</x:v>
      </x:c>
      <x:c r="J778" t="str">
        <x:v>False</x:v>
      </x:c>
      <x:c r="K778" t="n">
        <x:v>125</x:v>
      </x:c>
      <x:c r="L778" t="n">
        <x:v>0</x:v>
      </x:c>
      <x:c r="M778" t="n">
        <x:v>0</x:v>
      </x:c>
      <x:c r="N778" t="n">
        <x:v>78.35448</x:v>
      </x:c>
      <x:c r="O778" t="n">
        <x:v>58.51</x:v>
      </x:c>
      <x:c r="P778" t="n">
        <x:v>0</x:v>
      </x:c>
      <x:c r="Q778" t="n">
        <x:v>0</x:v>
      </x:c>
      <x:c r="R778" t="n">
        <x:v>27.34</x:v>
      </x:c>
      <x:c r="S778" t="n">
        <x:v>42.31</x:v>
      </x:c>
      <x:c r="T778" t="str">
        <x:v>https://y.gtimg.cn/music/photo_new/T002R500x500M000001w138z3PZEcz_1.jpg</x:v>
      </x:c>
      <x:c r="U778" s="24" t="str">
        <x:f>IFERROR(VLOOKUP(I778,'07_字典与参数'!$G$5:$J$9,2,FALSE),"未入选")</x:f>
        <x:v>未入选</x:v>
      </x:c>
      <x:c r="V778" s="24" t="str">
        <x:f>IFERROR(VLOOKUP(I778,'07_字典与参数'!$G$5:$J$9,3,FALSE),"—")</x:f>
        <x:v>—</x:v>
      </x:c>
      <x:c r="W778" s="24" t="str">
        <x:f>IF(U778="未入选","否","是")</x:f>
        <x:v>否</x:v>
      </x:c>
    </x:row>
    <x:row r="779">
      <x:c r="A779" t="n">
        <x:v>202631</x:v>
      </x:c>
      <x:c r="B779" t="str">
        <x:v>第31期（08.03-08.09）</x:v>
      </x:c>
      <x:c r="C779" t="str">
        <x:v>2026-08-03</x:v>
      </x:c>
      <x:c r="D779" t="str">
        <x:v>2026-08-09</x:v>
      </x:c>
      <x:c r="E779" t="n">
        <x:v>175</x:v>
      </x:c>
      <x:c r="F779" t="n">
        <x:v>535400078</x:v>
      </x:c>
      <x:c r="G779" t="str">
        <x:v>酸橙色信笺</x:v>
      </x:c>
      <x:c r="H779" t="str">
        <x:v>塞壬唱片-MSR,Dazbee,*Luna</x:v>
      </x:c>
      <x:c r="I779" t="str">
        <x:v>000IamLF2r8CTw</x:v>
      </x:c>
      <x:c r="J779" t="str">
        <x:v>False</x:v>
      </x:c>
      <x:c r="K779" t="n">
        <x:v>197</x:v>
      </x:c>
      <x:c r="L779" t="n">
        <x:v>0</x:v>
      </x:c>
      <x:c r="M779" t="n">
        <x:v>0</x:v>
      </x:c>
      <x:c r="N779" t="n">
        <x:v>78.32769</x:v>
      </x:c>
      <x:c r="O779" t="n">
        <x:v>63.05</x:v>
      </x:c>
      <x:c r="P779" t="n">
        <x:v>0</x:v>
      </x:c>
      <x:c r="Q779" t="n">
        <x:v>0</x:v>
      </x:c>
      <x:c r="R779" t="n">
        <x:v>10.7</x:v>
      </x:c>
      <x:c r="S779" t="n">
        <x:v>40.14</x:v>
      </x:c>
      <x:c r="T779" t="str">
        <x:v>https://y.gtimg.cn/music/photo_new/T002R500x500M000001SzoZj4960Uq_1.jpg</x:v>
      </x:c>
      <x:c r="U779" s="24" t="str">
        <x:f>IFERROR(VLOOKUP(I779,'07_字典与参数'!$G$5:$J$9,2,FALSE),"未入选")</x:f>
        <x:v>未入选</x:v>
      </x:c>
      <x:c r="V779" s="24" t="str">
        <x:f>IFERROR(VLOOKUP(I779,'07_字典与参数'!$G$5:$J$9,3,FALSE),"—")</x:f>
        <x:v>—</x:v>
      </x:c>
      <x:c r="W779" s="24" t="str">
        <x:f>IF(U779="未入选","否","是")</x:f>
        <x:v>否</x:v>
      </x:c>
    </x:row>
    <x:row r="780">
      <x:c r="A780" t="n">
        <x:v>202631</x:v>
      </x:c>
      <x:c r="B780" t="str">
        <x:v>第31期（08.03-08.09）</x:v>
      </x:c>
      <x:c r="C780" t="str">
        <x:v>2026-08-03</x:v>
      </x:c>
      <x:c r="D780" t="str">
        <x:v>2026-08-09</x:v>
      </x:c>
      <x:c r="E780" t="n">
        <x:v>176</x:v>
      </x:c>
      <x:c r="F780" t="n">
        <x:v>522467107</x:v>
      </x:c>
      <x:c r="G780" t="str">
        <x:v>绛色的爱</x:v>
      </x:c>
      <x:c r="H780" t="str">
        <x:v>张艺兴</x:v>
      </x:c>
      <x:c r="I780" t="str">
        <x:v>000wLKc61CDB47</x:v>
      </x:c>
      <x:c r="J780" t="str">
        <x:v>False</x:v>
      </x:c>
      <x:c r="K780" t="n">
        <x:v>91</x:v>
      </x:c>
      <x:c r="L780" t="n">
        <x:v>0</x:v>
      </x:c>
      <x:c r="M780" t="n">
        <x:v>0</x:v>
      </x:c>
      <x:c r="N780" t="n">
        <x:v>78.20364</x:v>
      </x:c>
      <x:c r="O780" t="n">
        <x:v>58.62</x:v>
      </x:c>
      <x:c r="P780" t="n">
        <x:v>0</x:v>
      </x:c>
      <x:c r="Q780" t="n">
        <x:v>0</x:v>
      </x:c>
      <x:c r="R780" t="n">
        <x:v>27.26</x:v>
      </x:c>
      <x:c r="S780" t="n">
        <x:v>42.01</x:v>
      </x:c>
      <x:c r="T780" t="str">
        <x:v>https://y.gtimg.cn/music/photo_new/T002R500x500M000001w138z3PZEcz_1.jpg</x:v>
      </x:c>
      <x:c r="U780" s="24" t="str">
        <x:f>IFERROR(VLOOKUP(I780,'07_字典与参数'!$G$5:$J$9,2,FALSE),"未入选")</x:f>
        <x:v>未入选</x:v>
      </x:c>
      <x:c r="V780" s="24" t="str">
        <x:f>IFERROR(VLOOKUP(I780,'07_字典与参数'!$G$5:$J$9,3,FALSE),"—")</x:f>
        <x:v>—</x:v>
      </x:c>
      <x:c r="W780" s="24" t="str">
        <x:f>IF(U780="未入选","否","是")</x:f>
        <x:v>否</x:v>
      </x:c>
    </x:row>
    <x:row r="781">
      <x:c r="A781" t="n">
        <x:v>202631</x:v>
      </x:c>
      <x:c r="B781" t="str">
        <x:v>第31期（08.03-08.09）</x:v>
      </x:c>
      <x:c r="C781" t="str">
        <x:v>2026-08-03</x:v>
      </x:c>
      <x:c r="D781" t="str">
        <x:v>2026-08-09</x:v>
      </x:c>
      <x:c r="E781" t="n">
        <x:v>177</x:v>
      </x:c>
      <x:c r="F781" t="n">
        <x:v>512967685</x:v>
      </x:c>
      <x:c r="G781" t="str">
        <x:v>赤子</x:v>
      </x:c>
      <x:c r="H781" t="str">
        <x:v>周深</x:v>
      </x:c>
      <x:c r="I781" t="str">
        <x:v>0010pjD24VRte6</x:v>
      </x:c>
      <x:c r="J781" t="str">
        <x:v>False</x:v>
      </x:c>
      <x:c r="K781" t="n">
        <x:v>158</x:v>
      </x:c>
      <x:c r="L781" t="n">
        <x:v>0</x:v>
      </x:c>
      <x:c r="M781" t="n">
        <x:v>0</x:v>
      </x:c>
      <x:c r="N781" t="n">
        <x:v>77.96317</x:v>
      </x:c>
      <x:c r="O781" t="n">
        <x:v>61.08</x:v>
      </x:c>
      <x:c r="P781" t="n">
        <x:v>0</x:v>
      </x:c>
      <x:c r="Q781" t="n">
        <x:v>0</x:v>
      </x:c>
      <x:c r="R781" t="n">
        <x:v>4.17</x:v>
      </x:c>
      <x:c r="S781" t="n">
        <x:v>42.69</x:v>
      </x:c>
      <x:c r="T781" t="str">
        <x:v>https://y.qq.com/music/photo_new/T062R500x500M0000015O72c2P9HAO.jpg</x:v>
      </x:c>
      <x:c r="U781" s="24" t="str">
        <x:f>IFERROR(VLOOKUP(I781,'07_字典与参数'!$G$5:$J$9,2,FALSE),"未入选")</x:f>
        <x:v>未入选</x:v>
      </x:c>
      <x:c r="V781" s="24" t="str">
        <x:f>IFERROR(VLOOKUP(I781,'07_字典与参数'!$G$5:$J$9,3,FALSE),"—")</x:f>
        <x:v>—</x:v>
      </x:c>
      <x:c r="W781" s="24" t="str">
        <x:f>IF(U781="未入选","否","是")</x:f>
        <x:v>否</x:v>
      </x:c>
    </x:row>
    <x:row r="782">
      <x:c r="A782" t="n">
        <x:v>202631</x:v>
      </x:c>
      <x:c r="B782" t="str">
        <x:v>第31期（08.03-08.09）</x:v>
      </x:c>
      <x:c r="C782" t="str">
        <x:v>2026-08-03</x:v>
      </x:c>
      <x:c r="D782" t="str">
        <x:v>2026-08-09</x:v>
      </x:c>
      <x:c r="E782" t="n">
        <x:v>178</x:v>
      </x:c>
      <x:c r="F782" t="n">
        <x:v>530173134</x:v>
      </x:c>
      <x:c r="G782" t="str">
        <x:v>白马</x:v>
      </x:c>
      <x:c r="H782" t="str">
        <x:v>于一一</x:v>
      </x:c>
      <x:c r="I782" t="str">
        <x:v>003EOEAy0ukIK9</x:v>
      </x:c>
      <x:c r="J782" t="str">
        <x:v>False</x:v>
      </x:c>
      <x:c r="K782" t="n">
        <x:v>0</x:v>
      </x:c>
      <x:c r="L782" t="n">
        <x:v>0</x:v>
      </x:c>
      <x:c r="M782" t="n">
        <x:v>0</x:v>
      </x:c>
      <x:c r="N782" t="n">
        <x:v>77.91255</x:v>
      </x:c>
      <x:c r="O782" t="n">
        <x:v>64.05</x:v>
      </x:c>
      <x:c r="P782" t="n">
        <x:v>0</x:v>
      </x:c>
      <x:c r="Q782" t="n">
        <x:v>0</x:v>
      </x:c>
      <x:c r="R782" t="n">
        <x:v>6.49</x:v>
      </x:c>
      <x:c r="S782" t="n">
        <x:v>31.35</x:v>
      </x:c>
      <x:c r="T782" t="str">
        <x:v>https://y.gtimg.cn/music/photo_new/T002R500x500M0000010m01W2BLTbN_2.jpg</x:v>
      </x:c>
      <x:c r="U782" s="24" t="str">
        <x:f>IFERROR(VLOOKUP(I782,'07_字典与参数'!$G$5:$J$9,2,FALSE),"未入选")</x:f>
        <x:v>未入选</x:v>
      </x:c>
      <x:c r="V782" s="24" t="str">
        <x:f>IFERROR(VLOOKUP(I782,'07_字典与参数'!$G$5:$J$9,3,FALSE),"—")</x:f>
        <x:v>—</x:v>
      </x:c>
      <x:c r="W782" s="24" t="str">
        <x:f>IF(U782="未入选","否","是")</x:f>
        <x:v>否</x:v>
      </x:c>
    </x:row>
    <x:row r="783">
      <x:c r="A783" t="n">
        <x:v>202631</x:v>
      </x:c>
      <x:c r="B783" t="str">
        <x:v>第31期（08.03-08.09）</x:v>
      </x:c>
      <x:c r="C783" t="str">
        <x:v>2026-08-03</x:v>
      </x:c>
      <x:c r="D783" t="str">
        <x:v>2026-08-09</x:v>
      </x:c>
      <x:c r="E783" t="n">
        <x:v>179</x:v>
      </x:c>
      <x:c r="F783" t="n">
        <x:v>534720314</x:v>
      </x:c>
      <x:c r="G783" t="str">
        <x:v>人生本是遇见又说再见</x:v>
      </x:c>
      <x:c r="H783" t="str">
        <x:v>姜雨涵</x:v>
      </x:c>
      <x:c r="I783" t="str">
        <x:v>002grFDn3nkQV3</x:v>
      </x:c>
      <x:c r="J783" t="str">
        <x:v>False</x:v>
      </x:c>
      <x:c r="K783" t="n">
        <x:v>196</x:v>
      </x:c>
      <x:c r="L783" t="n">
        <x:v>0</x:v>
      </x:c>
      <x:c r="M783" t="n">
        <x:v>0</x:v>
      </x:c>
      <x:c r="N783" t="n">
        <x:v>77.90631</x:v>
      </x:c>
      <x:c r="O783" t="n">
        <x:v>64.19</x:v>
      </x:c>
      <x:c r="P783" t="n">
        <x:v>0</x:v>
      </x:c>
      <x:c r="Q783" t="n">
        <x:v>0</x:v>
      </x:c>
      <x:c r="R783" t="n">
        <x:v>8.14</x:v>
      </x:c>
      <x:c r="S783" t="n">
        <x:v>28.33</x:v>
      </x:c>
      <x:c r="T783" t="str">
        <x:v>https://y.gtimg.cn/music/photo_new/T002R500x500M000001JmZbF175xAz_1.jpg</x:v>
      </x:c>
      <x:c r="U783" s="24" t="str">
        <x:f>IFERROR(VLOOKUP(I783,'07_字典与参数'!$G$5:$J$9,2,FALSE),"未入选")</x:f>
        <x:v>未入选</x:v>
      </x:c>
      <x:c r="V783" s="24" t="str">
        <x:f>IFERROR(VLOOKUP(I783,'07_字典与参数'!$G$5:$J$9,3,FALSE),"—")</x:f>
        <x:v>—</x:v>
      </x:c>
      <x:c r="W783" s="24" t="str">
        <x:f>IF(U783="未入选","否","是")</x:f>
        <x:v>否</x:v>
      </x:c>
    </x:row>
    <x:row r="784">
      <x:c r="A784" t="n">
        <x:v>202631</x:v>
      </x:c>
      <x:c r="B784" t="str">
        <x:v>第31期（08.03-08.09）</x:v>
      </x:c>
      <x:c r="C784" t="str">
        <x:v>2026-08-03</x:v>
      </x:c>
      <x:c r="D784" t="str">
        <x:v>2026-08-09</x:v>
      </x:c>
      <x:c r="E784" t="n">
        <x:v>180</x:v>
      </x:c>
      <x:c r="F784" t="n">
        <x:v>531111308</x:v>
      </x:c>
      <x:c r="G784" t="str">
        <x:v>想得美</x:v>
      </x:c>
      <x:c r="H784" t="str">
        <x:v>TOP登陆少年组合</x:v>
      </x:c>
      <x:c r="I784" t="str">
        <x:v>003QLx9h4Y71iu</x:v>
      </x:c>
      <x:c r="J784" t="str">
        <x:v>False</x:v>
      </x:c>
      <x:c r="K784" t="n">
        <x:v>167</x:v>
      </x:c>
      <x:c r="L784" t="n">
        <x:v>0</x:v>
      </x:c>
      <x:c r="M784" t="n">
        <x:v>0</x:v>
      </x:c>
      <x:c r="N784" t="n">
        <x:v>77.84104</x:v>
      </x:c>
      <x:c r="O784" t="n">
        <x:v>63.45</x:v>
      </x:c>
      <x:c r="P784" t="n">
        <x:v>0</x:v>
      </x:c>
      <x:c r="Q784" t="n">
        <x:v>0</x:v>
      </x:c>
      <x:c r="R784" t="n">
        <x:v>5.97</x:v>
      </x:c>
      <x:c r="S784" t="n">
        <x:v>35.5</x:v>
      </x:c>
      <x:c r="T784" t="str">
        <x:v>https://y.gtimg.cn/music/photo_new/T002R500x500M000002YPc1C0WN5qn_1.jpg</x:v>
      </x:c>
      <x:c r="U784" s="24" t="str">
        <x:f>IFERROR(VLOOKUP(I784,'07_字典与参数'!$G$5:$J$9,2,FALSE),"未入选")</x:f>
        <x:v>未入选</x:v>
      </x:c>
      <x:c r="V784" s="24" t="str">
        <x:f>IFERROR(VLOOKUP(I784,'07_字典与参数'!$G$5:$J$9,3,FALSE),"—")</x:f>
        <x:v>—</x:v>
      </x:c>
      <x:c r="W784" s="24" t="str">
        <x:f>IF(U784="未入选","否","是")</x:f>
        <x:v>否</x:v>
      </x:c>
    </x:row>
    <x:row r="785">
      <x:c r="A785" t="n">
        <x:v>202631</x:v>
      </x:c>
      <x:c r="B785" t="str">
        <x:v>第31期（08.03-08.09）</x:v>
      </x:c>
      <x:c r="C785" t="str">
        <x:v>2026-08-03</x:v>
      </x:c>
      <x:c r="D785" t="str">
        <x:v>2026-08-09</x:v>
      </x:c>
      <x:c r="E785" t="n">
        <x:v>181</x:v>
      </x:c>
      <x:c r="F785" t="n">
        <x:v>536263330</x:v>
      </x:c>
      <x:c r="G785" t="str">
        <x:v>花落花</x:v>
      </x:c>
      <x:c r="H785" t="str">
        <x:v>陈少熙</x:v>
      </x:c>
      <x:c r="I785" t="str">
        <x:v>000qYKux2Ndmue</x:v>
      </x:c>
      <x:c r="J785" t="str">
        <x:v>False</x:v>
      </x:c>
      <x:c r="K785" t="n">
        <x:v>59</x:v>
      </x:c>
      <x:c r="L785" t="n">
        <x:v>0</x:v>
      </x:c>
      <x:c r="M785" t="n">
        <x:v>0</x:v>
      </x:c>
      <x:c r="N785" t="n">
        <x:v>77.75796</x:v>
      </x:c>
      <x:c r="O785" t="n">
        <x:v>64.61</x:v>
      </x:c>
      <x:c r="P785" t="n">
        <x:v>0</x:v>
      </x:c>
      <x:c r="Q785" t="n">
        <x:v>0</x:v>
      </x:c>
      <x:c r="R785" t="n">
        <x:v>2.94</x:v>
      </x:c>
      <x:c r="S785" t="n">
        <x:v>25.2</x:v>
      </x:c>
      <x:c r="T785" t="str">
        <x:v>https://y.gtimg.cn/music/photo_new/T002R500x500M000001xHj3E16iEe3_1.jpg</x:v>
      </x:c>
      <x:c r="U785" s="24" t="str">
        <x:f>IFERROR(VLOOKUP(I785,'07_字典与参数'!$G$5:$J$9,2,FALSE),"未入选")</x:f>
        <x:v>未入选</x:v>
      </x:c>
      <x:c r="V785" s="24" t="str">
        <x:f>IFERROR(VLOOKUP(I785,'07_字典与参数'!$G$5:$J$9,3,FALSE),"—")</x:f>
        <x:v>—</x:v>
      </x:c>
      <x:c r="W785" s="24" t="str">
        <x:f>IF(U785="未入选","否","是")</x:f>
        <x:v>否</x:v>
      </x:c>
    </x:row>
    <x:row r="786">
      <x:c r="A786" t="n">
        <x:v>202631</x:v>
      </x:c>
      <x:c r="B786" t="str">
        <x:v>第31期（08.03-08.09）</x:v>
      </x:c>
      <x:c r="C786" t="str">
        <x:v>2026-08-03</x:v>
      </x:c>
      <x:c r="D786" t="str">
        <x:v>2026-08-09</x:v>
      </x:c>
      <x:c r="E786" t="n">
        <x:v>182</x:v>
      </x:c>
      <x:c r="F786" t="n">
        <x:v>491206570</x:v>
      </x:c>
      <x:c r="G786" t="str">
        <x:v>不再回头</x:v>
      </x:c>
      <x:c r="H786" t="str">
        <x:v>付豪</x:v>
      </x:c>
      <x:c r="I786" t="str">
        <x:v>003N7hJM4TsWfw</x:v>
      </x:c>
      <x:c r="J786" t="str">
        <x:v>False</x:v>
      </x:c>
      <x:c r="K786" t="n">
        <x:v>188</x:v>
      </x:c>
      <x:c r="L786" t="n">
        <x:v>0</x:v>
      </x:c>
      <x:c r="M786" t="n">
        <x:v>0</x:v>
      </x:c>
      <x:c r="N786" t="n">
        <x:v>77.69914</x:v>
      </x:c>
      <x:c r="O786" t="n">
        <x:v>64.91</x:v>
      </x:c>
      <x:c r="P786" t="n">
        <x:v>0</x:v>
      </x:c>
      <x:c r="Q786" t="n">
        <x:v>0</x:v>
      </x:c>
      <x:c r="R786" t="n">
        <x:v>5.11</x:v>
      </x:c>
      <x:c r="S786" t="n">
        <x:v>13.26</x:v>
      </x:c>
      <x:c r="T786" t="str">
        <x:v>https://y.gtimg.cn/music/photo_new/T002R500x500M00000255on64euYQH_2.jpg</x:v>
      </x:c>
      <x:c r="U786" s="24" t="str">
        <x:f>IFERROR(VLOOKUP(I786,'07_字典与参数'!$G$5:$J$9,2,FALSE),"未入选")</x:f>
        <x:v>未入选</x:v>
      </x:c>
      <x:c r="V786" s="24" t="str">
        <x:f>IFERROR(VLOOKUP(I786,'07_字典与参数'!$G$5:$J$9,3,FALSE),"—")</x:f>
        <x:v>—</x:v>
      </x:c>
      <x:c r="W786" s="24" t="str">
        <x:f>IF(U786="未入选","否","是")</x:f>
        <x:v>否</x:v>
      </x:c>
    </x:row>
    <x:row r="787">
      <x:c r="A787" t="n">
        <x:v>202631</x:v>
      </x:c>
      <x:c r="B787" t="str">
        <x:v>第31期（08.03-08.09）</x:v>
      </x:c>
      <x:c r="C787" t="str">
        <x:v>2026-08-03</x:v>
      </x:c>
      <x:c r="D787" t="str">
        <x:v>2026-08-09</x:v>
      </x:c>
      <x:c r="E787" t="n">
        <x:v>183</x:v>
      </x:c>
      <x:c r="F787" t="n">
        <x:v>480650223</x:v>
      </x:c>
      <x:c r="G787" t="str">
        <x:v>昨晚我环游了地球</x:v>
      </x:c>
      <x:c r="H787" t="str">
        <x:v>汪苏泷</x:v>
      </x:c>
      <x:c r="I787" t="str">
        <x:v>003RhiFk16EeF7</x:v>
      </x:c>
      <x:c r="J787" t="str">
        <x:v>False</x:v>
      </x:c>
      <x:c r="K787" t="n">
        <x:v>145</x:v>
      </x:c>
      <x:c r="L787" t="n">
        <x:v>0</x:v>
      </x:c>
      <x:c r="M787" t="n">
        <x:v>0</x:v>
      </x:c>
      <x:c r="N787" t="n">
        <x:v>77.69287</x:v>
      </x:c>
      <x:c r="O787" t="n">
        <x:v>64.23</x:v>
      </x:c>
      <x:c r="P787" t="n">
        <x:v>0</x:v>
      </x:c>
      <x:c r="Q787" t="n">
        <x:v>0</x:v>
      </x:c>
      <x:c r="R787" t="n">
        <x:v>4</x:v>
      </x:c>
      <x:c r="S787" t="n">
        <x:v>28.36</x:v>
      </x:c>
      <x:c r="T787" t="str">
        <x:v>https://y.gtimg.cn/music/photo_new/T002R500x500M000000A1M903iHvyT_4.jpg</x:v>
      </x:c>
      <x:c r="U787" s="24" t="str">
        <x:f>IFERROR(VLOOKUP(I787,'07_字典与参数'!$G$5:$J$9,2,FALSE),"未入选")</x:f>
        <x:v>未入选</x:v>
      </x:c>
      <x:c r="V787" s="24" t="str">
        <x:f>IFERROR(VLOOKUP(I787,'07_字典与参数'!$G$5:$J$9,3,FALSE),"—")</x:f>
        <x:v>—</x:v>
      </x:c>
      <x:c r="W787" s="24" t="str">
        <x:f>IF(U787="未入选","否","是")</x:f>
        <x:v>否</x:v>
      </x:c>
    </x:row>
    <x:row r="788">
      <x:c r="A788" t="n">
        <x:v>202631</x:v>
      </x:c>
      <x:c r="B788" t="str">
        <x:v>第31期（08.03-08.09）</x:v>
      </x:c>
      <x:c r="C788" t="str">
        <x:v>2026-08-03</x:v>
      </x:c>
      <x:c r="D788" t="str">
        <x:v>2026-08-09</x:v>
      </x:c>
      <x:c r="E788" t="n">
        <x:v>184</x:v>
      </x:c>
      <x:c r="F788" t="n">
        <x:v>511757784</x:v>
      </x:c>
      <x:c r="G788" t="str">
        <x:v>亲爱的你，好久不见</x:v>
      </x:c>
      <x:c r="H788" t="str">
        <x:v>黄子弘凡,黄霄雲,孙楠,谭松韵,王铮亮,杨丞琳,姚晓棠,曾舜晞</x:v>
      </x:c>
      <x:c r="I788" t="str">
        <x:v>00357t7Q2cECO8</x:v>
      </x:c>
      <x:c r="J788" t="str">
        <x:v>False</x:v>
      </x:c>
      <x:c r="K788" t="n">
        <x:v>187</x:v>
      </x:c>
      <x:c r="L788" t="n">
        <x:v>0</x:v>
      </x:c>
      <x:c r="M788" t="n">
        <x:v>0</x:v>
      </x:c>
      <x:c r="N788" t="n">
        <x:v>77.66035</x:v>
      </x:c>
      <x:c r="O788" t="n">
        <x:v>59.15</x:v>
      </x:c>
      <x:c r="P788" t="n">
        <x:v>0</x:v>
      </x:c>
      <x:c r="Q788" t="n">
        <x:v>0</x:v>
      </x:c>
      <x:c r="R788" t="n">
        <x:v>1.96</x:v>
      </x:c>
      <x:c r="S788" t="n">
        <x:v>44.17</x:v>
      </x:c>
      <x:c r="T788" t="str">
        <x:v>https://y.gtimg.cn/music/photo_new/T002R500x500M000000aAeO742o2xC_1.jpg</x:v>
      </x:c>
      <x:c r="U788" s="24" t="str">
        <x:f>IFERROR(VLOOKUP(I788,'07_字典与参数'!$G$5:$J$9,2,FALSE),"未入选")</x:f>
        <x:v>未入选</x:v>
      </x:c>
      <x:c r="V788" s="24" t="str">
        <x:f>IFERROR(VLOOKUP(I788,'07_字典与参数'!$G$5:$J$9,3,FALSE),"—")</x:f>
        <x:v>—</x:v>
      </x:c>
      <x:c r="W788" s="24" t="str">
        <x:f>IF(U788="未入选","否","是")</x:f>
        <x:v>否</x:v>
      </x:c>
    </x:row>
    <x:row r="789">
      <x:c r="A789" t="n">
        <x:v>202631</x:v>
      </x:c>
      <x:c r="B789" t="str">
        <x:v>第31期（08.03-08.09）</x:v>
      </x:c>
      <x:c r="C789" t="str">
        <x:v>2026-08-03</x:v>
      </x:c>
      <x:c r="D789" t="str">
        <x:v>2026-08-09</x:v>
      </x:c>
      <x:c r="E789" t="n">
        <x:v>185</x:v>
      </x:c>
      <x:c r="F789" t="n">
        <x:v>512483930</x:v>
      </x:c>
      <x:c r="G789" t="str">
        <x:v>满纸</x:v>
      </x:c>
      <x:c r="H789" t="str">
        <x:v>阿鲲</x:v>
      </x:c>
      <x:c r="I789" t="str">
        <x:v>001ifLic2K9S9m</x:v>
      </x:c>
      <x:c r="J789" t="str">
        <x:v>False</x:v>
      </x:c>
      <x:c r="K789" t="n">
        <x:v>179</x:v>
      </x:c>
      <x:c r="L789" t="n">
        <x:v>0</x:v>
      </x:c>
      <x:c r="M789" t="n">
        <x:v>0</x:v>
      </x:c>
      <x:c r="N789" t="n">
        <x:v>77.63945</x:v>
      </x:c>
      <x:c r="O789" t="n">
        <x:v>62.84</x:v>
      </x:c>
      <x:c r="P789" t="n">
        <x:v>0</x:v>
      </x:c>
      <x:c r="Q789" t="n">
        <x:v>0</x:v>
      </x:c>
      <x:c r="R789" t="n">
        <x:v>19.87</x:v>
      </x:c>
      <x:c r="S789" t="n">
        <x:v>28.63</x:v>
      </x:c>
      <x:c r="T789" t="str">
        <x:v>https://y.gtimg.cn/music/photo_new/T002R500x500M000003ZuKKp2FKC3S_1.jpg</x:v>
      </x:c>
      <x:c r="U789" s="24" t="str">
        <x:f>IFERROR(VLOOKUP(I789,'07_字典与参数'!$G$5:$J$9,2,FALSE),"未入选")</x:f>
        <x:v>未入选</x:v>
      </x:c>
      <x:c r="V789" s="24" t="str">
        <x:f>IFERROR(VLOOKUP(I789,'07_字典与参数'!$G$5:$J$9,3,FALSE),"—")</x:f>
        <x:v>—</x:v>
      </x:c>
      <x:c r="W789" s="24" t="str">
        <x:f>IF(U789="未入选","否","是")</x:f>
        <x:v>否</x:v>
      </x:c>
    </x:row>
    <x:row r="790">
      <x:c r="A790" t="n">
        <x:v>202631</x:v>
      </x:c>
      <x:c r="B790" t="str">
        <x:v>第31期（08.03-08.09）</x:v>
      </x:c>
      <x:c r="C790" t="str">
        <x:v>2026-08-03</x:v>
      </x:c>
      <x:c r="D790" t="str">
        <x:v>2026-08-09</x:v>
      </x:c>
      <x:c r="E790" t="n">
        <x:v>186</x:v>
      </x:c>
      <x:c r="F790" t="n">
        <x:v>491996849</x:v>
      </x:c>
      <x:c r="G790" t="str">
        <x:v>张仙语三</x:v>
      </x:c>
      <x:c r="H790" t="str">
        <x:v>任素汐</x:v>
      </x:c>
      <x:c r="I790" t="str">
        <x:v>004Jrpe7322cCK</x:v>
      </x:c>
      <x:c r="J790" t="str">
        <x:v>False</x:v>
      </x:c>
      <x:c r="K790" t="n">
        <x:v>174</x:v>
      </x:c>
      <x:c r="L790" t="n">
        <x:v>0</x:v>
      </x:c>
      <x:c r="M790" t="n">
        <x:v>0</x:v>
      </x:c>
      <x:c r="N790" t="n">
        <x:v>77.538</x:v>
      </x:c>
      <x:c r="O790" t="n">
        <x:v>64.8</x:v>
      </x:c>
      <x:c r="P790" t="n">
        <x:v>0</x:v>
      </x:c>
      <x:c r="Q790" t="n">
        <x:v>0</x:v>
      </x:c>
      <x:c r="R790" t="n">
        <x:v>1.39</x:v>
      </x:c>
      <x:c r="S790" t="n">
        <x:v>18.99</x:v>
      </x:c>
      <x:c r="T790" t="str">
        <x:v>https://y.gtimg.cn/music/photo_new/T002R500x500M0000033vNiW2uLR2S_1.jpg</x:v>
      </x:c>
      <x:c r="U790" s="24" t="str">
        <x:f>IFERROR(VLOOKUP(I790,'07_字典与参数'!$G$5:$J$9,2,FALSE),"未入选")</x:f>
        <x:v>未入选</x:v>
      </x:c>
      <x:c r="V790" s="24" t="str">
        <x:f>IFERROR(VLOOKUP(I790,'07_字典与参数'!$G$5:$J$9,3,FALSE),"—")</x:f>
        <x:v>—</x:v>
      </x:c>
      <x:c r="W790" s="24" t="str">
        <x:f>IF(U790="未入选","否","是")</x:f>
        <x:v>否</x:v>
      </x:c>
    </x:row>
    <x:row r="791">
      <x:c r="A791" t="n">
        <x:v>202631</x:v>
      </x:c>
      <x:c r="B791" t="str">
        <x:v>第31期（08.03-08.09）</x:v>
      </x:c>
      <x:c r="C791" t="str">
        <x:v>2026-08-03</x:v>
      </x:c>
      <x:c r="D791" t="str">
        <x:v>2026-08-09</x:v>
      </x:c>
      <x:c r="E791" t="n">
        <x:v>187</x:v>
      </x:c>
      <x:c r="F791" t="n">
        <x:v>533456646</x:v>
      </x:c>
      <x:c r="G791" t="str">
        <x:v>Cold Blooded</x:v>
      </x:c>
      <x:c r="H791" t="str">
        <x:v>严浩翔</x:v>
      </x:c>
      <x:c r="I791" t="str">
        <x:v>00061EFa3uGj8q</x:v>
      </x:c>
      <x:c r="J791" t="str">
        <x:v>False</x:v>
      </x:c>
      <x:c r="K791" t="n">
        <x:v>129</x:v>
      </x:c>
      <x:c r="L791" t="n">
        <x:v>0</x:v>
      </x:c>
      <x:c r="M791" t="n">
        <x:v>0</x:v>
      </x:c>
      <x:c r="N791" t="n">
        <x:v>77.53224</x:v>
      </x:c>
      <x:c r="O791" t="n">
        <x:v>60.11</x:v>
      </x:c>
      <x:c r="P791" t="n">
        <x:v>0</x:v>
      </x:c>
      <x:c r="Q791" t="n">
        <x:v>0</x:v>
      </x:c>
      <x:c r="R791" t="n">
        <x:v>30.95</x:v>
      </x:c>
      <x:c r="S791" t="n">
        <x:v>34.2</x:v>
      </x:c>
      <x:c r="T791" t="str">
        <x:v>https://y.qq.com/music/photo_new/T062R500x500M000003A2OO61lP2bU.jpg</x:v>
      </x:c>
      <x:c r="U791" s="24" t="str">
        <x:f>IFERROR(VLOOKUP(I791,'07_字典与参数'!$G$5:$J$9,2,FALSE),"未入选")</x:f>
        <x:v>未入选</x:v>
      </x:c>
      <x:c r="V791" s="24" t="str">
        <x:f>IFERROR(VLOOKUP(I791,'07_字典与参数'!$G$5:$J$9,3,FALSE),"—")</x:f>
        <x:v>—</x:v>
      </x:c>
      <x:c r="W791" s="24" t="str">
        <x:f>IF(U791="未入选","否","是")</x:f>
        <x:v>否</x:v>
      </x:c>
    </x:row>
    <x:row r="792">
      <x:c r="A792" t="n">
        <x:v>202631</x:v>
      </x:c>
      <x:c r="B792" t="str">
        <x:v>第31期（08.03-08.09）</x:v>
      </x:c>
      <x:c r="C792" t="str">
        <x:v>2026-08-03</x:v>
      </x:c>
      <x:c r="D792" t="str">
        <x:v>2026-08-09</x:v>
      </x:c>
      <x:c r="E792" t="n">
        <x:v>188</x:v>
      </x:c>
      <x:c r="F792" t="n">
        <x:v>491996827</x:v>
      </x:c>
      <x:c r="G792" t="str">
        <x:v>别来无恙</x:v>
      </x:c>
      <x:c r="H792" t="str">
        <x:v>任素汐</x:v>
      </x:c>
      <x:c r="I792" t="str">
        <x:v>000bBKeM3mhVCL</x:v>
      </x:c>
      <x:c r="J792" t="str">
        <x:v>False</x:v>
      </x:c>
      <x:c r="K792" t="n">
        <x:v>180</x:v>
      </x:c>
      <x:c r="L792" t="n">
        <x:v>0</x:v>
      </x:c>
      <x:c r="M792" t="n">
        <x:v>0</x:v>
      </x:c>
      <x:c r="N792" t="n">
        <x:v>77.47106</x:v>
      </x:c>
      <x:c r="O792" t="n">
        <x:v>64.42</x:v>
      </x:c>
      <x:c r="P792" t="n">
        <x:v>0</x:v>
      </x:c>
      <x:c r="Q792" t="n">
        <x:v>0</x:v>
      </x:c>
      <x:c r="R792" t="n">
        <x:v>2.01</x:v>
      </x:c>
      <x:c r="S792" t="n">
        <x:v>23.14</x:v>
      </x:c>
      <x:c r="T792" t="str">
        <x:v>https://y.gtimg.cn/music/photo_new/T002R500x500M0000033vNiW2uLR2S_1.jpg</x:v>
      </x:c>
      <x:c r="U792" s="24" t="str">
        <x:f>IFERROR(VLOOKUP(I792,'07_字典与参数'!$G$5:$J$9,2,FALSE),"未入选")</x:f>
        <x:v>未入选</x:v>
      </x:c>
      <x:c r="V792" s="24" t="str">
        <x:f>IFERROR(VLOOKUP(I792,'07_字典与参数'!$G$5:$J$9,3,FALSE),"—")</x:f>
        <x:v>—</x:v>
      </x:c>
      <x:c r="W792" s="24" t="str">
        <x:f>IF(U792="未入选","否","是")</x:f>
        <x:v>否</x:v>
      </x:c>
    </x:row>
    <x:row r="793">
      <x:c r="A793" t="n">
        <x:v>202631</x:v>
      </x:c>
      <x:c r="B793" t="str">
        <x:v>第31期（08.03-08.09）</x:v>
      </x:c>
      <x:c r="C793" t="str">
        <x:v>2026-08-03</x:v>
      </x:c>
      <x:c r="D793" t="str">
        <x:v>2026-08-09</x:v>
      </x:c>
      <x:c r="E793" t="n">
        <x:v>189</x:v>
      </x:c>
      <x:c r="F793" t="n">
        <x:v>537960442</x:v>
      </x:c>
      <x:c r="G793" t="str">
        <x:v>最特别的</x:v>
      </x:c>
      <x:c r="H793" t="str">
        <x:v>刘萧旭</x:v>
      </x:c>
      <x:c r="I793" t="str">
        <x:v>001ndvYX2OD2s9</x:v>
      </x:c>
      <x:c r="J793" t="str">
        <x:v>False</x:v>
      </x:c>
      <x:c r="K793" t="n">
        <x:v>0</x:v>
      </x:c>
      <x:c r="L793" t="n">
        <x:v>0</x:v>
      </x:c>
      <x:c r="M793" t="n">
        <x:v>0</x:v>
      </x:c>
      <x:c r="N793" t="n">
        <x:v>77.34708</x:v>
      </x:c>
      <x:c r="O793" t="n">
        <x:v>33.83</x:v>
      </x:c>
      <x:c r="P793" t="n">
        <x:v>0</x:v>
      </x:c>
      <x:c r="Q793" t="n">
        <x:v>0</x:v>
      </x:c>
      <x:c r="R793" t="n">
        <x:v>45.09</x:v>
      </x:c>
      <x:c r="S793" t="n">
        <x:v>8.36</x:v>
      </x:c>
      <x:c r="T793" t="str">
        <x:v>https://y.qq.com/music/photo_new/T062R500x500M000002CSGvl4fYpqv.jpg</x:v>
      </x:c>
      <x:c r="U793" s="24" t="str">
        <x:f>IFERROR(VLOOKUP(I793,'07_字典与参数'!$G$5:$J$9,2,FALSE),"未入选")</x:f>
        <x:v>未入选</x:v>
      </x:c>
      <x:c r="V793" s="24" t="str">
        <x:f>IFERROR(VLOOKUP(I793,'07_字典与参数'!$G$5:$J$9,3,FALSE),"—")</x:f>
        <x:v>—</x:v>
      </x:c>
      <x:c r="W793" s="24" t="str">
        <x:f>IF(U793="未入选","否","是")</x:f>
        <x:v>否</x:v>
      </x:c>
    </x:row>
    <x:row r="794">
      <x:c r="A794" t="n">
        <x:v>202631</x:v>
      </x:c>
      <x:c r="B794" t="str">
        <x:v>第31期（08.03-08.09）</x:v>
      </x:c>
      <x:c r="C794" t="str">
        <x:v>2026-08-03</x:v>
      </x:c>
      <x:c r="D794" t="str">
        <x:v>2026-08-09</x:v>
      </x:c>
      <x:c r="E794" t="n">
        <x:v>190</x:v>
      </x:c>
      <x:c r="F794" t="n">
        <x:v>537990470</x:v>
      </x:c>
      <x:c r="G794" t="str">
        <x:v>问尘念</x:v>
      </x:c>
      <x:c r="H794" t="str">
        <x:v>达珍拉姆</x:v>
      </x:c>
      <x:c r="I794" t="str">
        <x:v>00034u6d1DSJh5</x:v>
      </x:c>
      <x:c r="J794" t="str">
        <x:v>False</x:v>
      </x:c>
      <x:c r="K794" t="n">
        <x:v>0</x:v>
      </x:c>
      <x:c r="L794" t="n">
        <x:v>0</x:v>
      </x:c>
      <x:c r="M794" t="n">
        <x:v>0</x:v>
      </x:c>
      <x:c r="N794" t="n">
        <x:v>77.26912</x:v>
      </x:c>
      <x:c r="O794" t="n">
        <x:v>64.66</x:v>
      </x:c>
      <x:c r="P794" t="n">
        <x:v>0</x:v>
      </x:c>
      <x:c r="Q794" t="n">
        <x:v>0</x:v>
      </x:c>
      <x:c r="R794" t="n">
        <x:v>1.93</x:v>
      </x:c>
      <x:c r="S794" t="n">
        <x:v>10.33</x:v>
      </x:c>
      <x:c r="T794" t="str">
        <x:v>https://y.gtimg.cn/music/photo_new/T002R500x500M000000Fl5Tf4CKOC0_1.jpg</x:v>
      </x:c>
      <x:c r="U794" s="24" t="str">
        <x:f>IFERROR(VLOOKUP(I794,'07_字典与参数'!$G$5:$J$9,2,FALSE),"未入选")</x:f>
        <x:v>未入选</x:v>
      </x:c>
      <x:c r="V794" s="24" t="str">
        <x:f>IFERROR(VLOOKUP(I794,'07_字典与参数'!$G$5:$J$9,3,FALSE),"—")</x:f>
        <x:v>—</x:v>
      </x:c>
      <x:c r="W794" s="24" t="str">
        <x:f>IF(U794="未入选","否","是")</x:f>
        <x:v>否</x:v>
      </x:c>
    </x:row>
    <x:row r="795">
      <x:c r="A795" t="n">
        <x:v>202631</x:v>
      </x:c>
      <x:c r="B795" t="str">
        <x:v>第31期（08.03-08.09）</x:v>
      </x:c>
      <x:c r="C795" t="str">
        <x:v>2026-08-03</x:v>
      </x:c>
      <x:c r="D795" t="str">
        <x:v>2026-08-09</x:v>
      </x:c>
      <x:c r="E795" t="n">
        <x:v>191</x:v>
      </x:c>
      <x:c r="F795" t="n">
        <x:v>491667172</x:v>
      </x:c>
      <x:c r="G795" t="str">
        <x:v>我把心事说给风</x:v>
      </x:c>
      <x:c r="H795" t="str">
        <x:v>卡带森林</x:v>
      </x:c>
      <x:c r="I795" t="str">
        <x:v>000OQmxP3RSXvi</x:v>
      </x:c>
      <x:c r="J795" t="str">
        <x:v>False</x:v>
      </x:c>
      <x:c r="K795" t="n">
        <x:v>189</x:v>
      </x:c>
      <x:c r="L795" t="n">
        <x:v>0</x:v>
      </x:c>
      <x:c r="M795" t="n">
        <x:v>0</x:v>
      </x:c>
      <x:c r="N795" t="n">
        <x:v>77.26703</x:v>
      </x:c>
      <x:c r="O795" t="n">
        <x:v>62.7</x:v>
      </x:c>
      <x:c r="P795" t="n">
        <x:v>0</x:v>
      </x:c>
      <x:c r="Q795" t="n">
        <x:v>0</x:v>
      </x:c>
      <x:c r="R795" t="n">
        <x:v>19.53</x:v>
      </x:c>
      <x:c r="S795" t="n">
        <x:v>23.22</x:v>
      </x:c>
      <x:c r="T795" t="str">
        <x:v>https://y.gtimg.cn/music/photo_new/T002R500x500M000000IRsNV4XLaqL_1.jpg</x:v>
      </x:c>
      <x:c r="U795" s="24" t="str">
        <x:f>IFERROR(VLOOKUP(I795,'07_字典与参数'!$G$5:$J$9,2,FALSE),"未入选")</x:f>
        <x:v>未入选</x:v>
      </x:c>
      <x:c r="V795" s="24" t="str">
        <x:f>IFERROR(VLOOKUP(I795,'07_字典与参数'!$G$5:$J$9,3,FALSE),"—")</x:f>
        <x:v>—</x:v>
      </x:c>
      <x:c r="W795" s="24" t="str">
        <x:f>IF(U795="未入选","否","是")</x:f>
        <x:v>否</x:v>
      </x:c>
    </x:row>
    <x:row r="796">
      <x:c r="A796" t="n">
        <x:v>202631</x:v>
      </x:c>
      <x:c r="B796" t="str">
        <x:v>第31期（08.03-08.09）</x:v>
      </x:c>
      <x:c r="C796" t="str">
        <x:v>2026-08-03</x:v>
      </x:c>
      <x:c r="D796" t="str">
        <x:v>2026-08-09</x:v>
      </x:c>
      <x:c r="E796" t="n">
        <x:v>192</x:v>
      </x:c>
      <x:c r="F796" t="n">
        <x:v>507698529</x:v>
      </x:c>
      <x:c r="G796" t="str">
        <x:v>我不哭</x:v>
      </x:c>
      <x:c r="H796" t="str">
        <x:v>王栎鑫</x:v>
      </x:c>
      <x:c r="I796" t="str">
        <x:v>001aOKKO2hKwPS</x:v>
      </x:c>
      <x:c r="J796" t="str">
        <x:v>False</x:v>
      </x:c>
      <x:c r="K796" t="n">
        <x:v>200</x:v>
      </x:c>
      <x:c r="L796" t="n">
        <x:v>0</x:v>
      </x:c>
      <x:c r="M796" t="n">
        <x:v>0</x:v>
      </x:c>
      <x:c r="N796" t="n">
        <x:v>77.14865</x:v>
      </x:c>
      <x:c r="O796" t="n">
        <x:v>63.2</x:v>
      </x:c>
      <x:c r="P796" t="n">
        <x:v>0</x:v>
      </x:c>
      <x:c r="Q796" t="n">
        <x:v>0</x:v>
      </x:c>
      <x:c r="R796" t="n">
        <x:v>6.25</x:v>
      </x:c>
      <x:c r="S796" t="n">
        <x:v>29.59</x:v>
      </x:c>
      <x:c r="T796" t="str">
        <x:v>https://y.gtimg.cn/music/photo_new/T002R500x500M000004NsgMq3MP454_2.jpg</x:v>
      </x:c>
      <x:c r="U796" s="24" t="str">
        <x:f>IFERROR(VLOOKUP(I796,'07_字典与参数'!$G$5:$J$9,2,FALSE),"未入选")</x:f>
        <x:v>未入选</x:v>
      </x:c>
      <x:c r="V796" s="24" t="str">
        <x:f>IFERROR(VLOOKUP(I796,'07_字典与参数'!$G$5:$J$9,3,FALSE),"—")</x:f>
        <x:v>—</x:v>
      </x:c>
      <x:c r="W796" s="24" t="str">
        <x:f>IF(U796="未入选","否","是")</x:f>
        <x:v>否</x:v>
      </x:c>
    </x:row>
    <x:row r="797">
      <x:c r="A797" t="n">
        <x:v>202631</x:v>
      </x:c>
      <x:c r="B797" t="str">
        <x:v>第31期（08.03-08.09）</x:v>
      </x:c>
      <x:c r="C797" t="str">
        <x:v>2026-08-03</x:v>
      </x:c>
      <x:c r="D797" t="str">
        <x:v>2026-08-09</x:v>
      </x:c>
      <x:c r="E797" t="n">
        <x:v>193</x:v>
      </x:c>
      <x:c r="F797" t="n">
        <x:v>535980252</x:v>
      </x:c>
      <x:c r="G797" t="str">
        <x:v>都是晚风惹的祸</x:v>
      </x:c>
      <x:c r="H797" t="str">
        <x:v>苏湘雯</x:v>
      </x:c>
      <x:c r="I797" t="str">
        <x:v>004IMViH2oeOYY</x:v>
      </x:c>
      <x:c r="J797" t="str">
        <x:v>False</x:v>
      </x:c>
      <x:c r="K797" t="n">
        <x:v>0</x:v>
      </x:c>
      <x:c r="L797" t="n">
        <x:v>0</x:v>
      </x:c>
      <x:c r="M797" t="n">
        <x:v>0</x:v>
      </x:c>
      <x:c r="N797" t="n">
        <x:v>77.12352</x:v>
      </x:c>
      <x:c r="O797" t="n">
        <x:v>64.8</x:v>
      </x:c>
      <x:c r="P797" t="n">
        <x:v>0</x:v>
      </x:c>
      <x:c r="Q797" t="n">
        <x:v>0</x:v>
      </x:c>
      <x:c r="R797" t="n">
        <x:v>1.01</x:v>
      </x:c>
      <x:c r="S797" t="n">
        <x:v>2.3</x:v>
      </x:c>
      <x:c r="T797" t="str">
        <x:v>https://y.gtimg.cn/music/photo_new/T002R500x500M000000E78Oz143MTT_1.jpg</x:v>
      </x:c>
      <x:c r="U797" s="24" t="str">
        <x:f>IFERROR(VLOOKUP(I797,'07_字典与参数'!$G$5:$J$9,2,FALSE),"未入选")</x:f>
        <x:v>未入选</x:v>
      </x:c>
      <x:c r="V797" s="24" t="str">
        <x:f>IFERROR(VLOOKUP(I797,'07_字典与参数'!$G$5:$J$9,3,FALSE),"—")</x:f>
        <x:v>—</x:v>
      </x:c>
      <x:c r="W797" s="24" t="str">
        <x:f>IF(U797="未入选","否","是")</x:f>
        <x:v>否</x:v>
      </x:c>
    </x:row>
    <x:row r="798">
      <x:c r="A798" t="n">
        <x:v>202631</x:v>
      </x:c>
      <x:c r="B798" t="str">
        <x:v>第31期（08.03-08.09）</x:v>
      </x:c>
      <x:c r="C798" t="str">
        <x:v>2026-08-03</x:v>
      </x:c>
      <x:c r="D798" t="str">
        <x:v>2026-08-09</x:v>
      </x:c>
      <x:c r="E798" t="n">
        <x:v>194</x:v>
      </x:c>
      <x:c r="F798" t="n">
        <x:v>511768934</x:v>
      </x:c>
      <x:c r="G798" t="str">
        <x:v>我在意的</x:v>
      </x:c>
      <x:c r="H798" t="str">
        <x:v>单依纯</x:v>
      </x:c>
      <x:c r="I798" t="str">
        <x:v>003H0CGe1vL66I</x:v>
      </x:c>
      <x:c r="J798" t="str">
        <x:v>False</x:v>
      </x:c>
      <x:c r="K798" t="n">
        <x:v>192</x:v>
      </x:c>
      <x:c r="L798" t="n">
        <x:v>0</x:v>
      </x:c>
      <x:c r="M798" t="n">
        <x:v>0</x:v>
      </x:c>
      <x:c r="N798" t="n">
        <x:v>76.95151</x:v>
      </x:c>
      <x:c r="O798" t="n">
        <x:v>60.76</x:v>
      </x:c>
      <x:c r="P798" t="n">
        <x:v>0</x:v>
      </x:c>
      <x:c r="Q798" t="n">
        <x:v>0</x:v>
      </x:c>
      <x:c r="R798" t="n">
        <x:v>2.94</x:v>
      </x:c>
      <x:c r="S798" t="n">
        <x:v>41.42</x:v>
      </x:c>
      <x:c r="T798" t="str">
        <x:v>https://y.gtimg.cn/music/photo_new/T002R500x500M000000IAfgq0N42nF_1.jpg</x:v>
      </x:c>
      <x:c r="U798" s="24" t="str">
        <x:f>IFERROR(VLOOKUP(I798,'07_字典与参数'!$G$5:$J$9,2,FALSE),"未入选")</x:f>
        <x:v>未入选</x:v>
      </x:c>
      <x:c r="V798" s="24" t="str">
        <x:f>IFERROR(VLOOKUP(I798,'07_字典与参数'!$G$5:$J$9,3,FALSE),"—")</x:f>
        <x:v>—</x:v>
      </x:c>
      <x:c r="W798" s="24" t="str">
        <x:f>IF(U798="未入选","否","是")</x:f>
        <x:v>否</x:v>
      </x:c>
    </x:row>
    <x:row r="799">
      <x:c r="A799" t="n">
        <x:v>202631</x:v>
      </x:c>
      <x:c r="B799" t="str">
        <x:v>第31期（08.03-08.09）</x:v>
      </x:c>
      <x:c r="C799" t="str">
        <x:v>2026-08-03</x:v>
      </x:c>
      <x:c r="D799" t="str">
        <x:v>2026-08-09</x:v>
      </x:c>
      <x:c r="E799" t="n">
        <x:v>195</x:v>
      </x:c>
      <x:c r="F799" t="n">
        <x:v>531082488</x:v>
      </x:c>
      <x:c r="G799" t="str">
        <x:v>Bad Boy</x:v>
      </x:c>
      <x:c r="H799" t="str">
        <x:v>万妮达Vinida Weng</x:v>
      </x:c>
      <x:c r="I799" t="str">
        <x:v>003twp2w4OaRcC</x:v>
      </x:c>
      <x:c r="J799" t="str">
        <x:v>False</x:v>
      </x:c>
      <x:c r="K799" t="n">
        <x:v>177</x:v>
      </x:c>
      <x:c r="L799" t="n">
        <x:v>0</x:v>
      </x:c>
      <x:c r="M799" t="n">
        <x:v>0</x:v>
      </x:c>
      <x:c r="N799" t="n">
        <x:v>76.91348</x:v>
      </x:c>
      <x:c r="O799" t="n">
        <x:v>64.1</x:v>
      </x:c>
      <x:c r="P799" t="n">
        <x:v>0</x:v>
      </x:c>
      <x:c r="Q799" t="n">
        <x:v>0</x:v>
      </x:c>
      <x:c r="R799" t="n">
        <x:v>0.99</x:v>
      </x:c>
      <x:c r="S799" t="n">
        <x:v>14.64</x:v>
      </x:c>
      <x:c r="T799" t="str">
        <x:v>https://y.gtimg.cn/music/photo_new/T002R500x500M0000005bCtH469HXW_1.jpg</x:v>
      </x:c>
      <x:c r="U799" s="24" t="str">
        <x:f>IFERROR(VLOOKUP(I799,'07_字典与参数'!$G$5:$J$9,2,FALSE),"未入选")</x:f>
        <x:v>未入选</x:v>
      </x:c>
      <x:c r="V799" s="24" t="str">
        <x:f>IFERROR(VLOOKUP(I799,'07_字典与参数'!$G$5:$J$9,3,FALSE),"—")</x:f>
        <x:v>—</x:v>
      </x:c>
      <x:c r="W799" s="24" t="str">
        <x:f>IF(U799="未入选","否","是")</x:f>
        <x:v>否</x:v>
      </x:c>
    </x:row>
    <x:row r="800">
      <x:c r="A800" t="n">
        <x:v>202631</x:v>
      </x:c>
      <x:c r="B800" t="str">
        <x:v>第31期（08.03-08.09）</x:v>
      </x:c>
      <x:c r="C800" t="str">
        <x:v>2026-08-03</x:v>
      </x:c>
      <x:c r="D800" t="str">
        <x:v>2026-08-09</x:v>
      </x:c>
      <x:c r="E800" t="n">
        <x:v>196</x:v>
      </x:c>
      <x:c r="F800" t="n">
        <x:v>535567756</x:v>
      </x:c>
      <x:c r="G800" t="str">
        <x:v>深深浅浅悟人生</x:v>
      </x:c>
      <x:c r="H800" t="str">
        <x:v>河南三妹5233</x:v>
      </x:c>
      <x:c r="I800" t="str">
        <x:v>003dAYN84IsVN0</x:v>
      </x:c>
      <x:c r="J800" t="str">
        <x:v>False</x:v>
      </x:c>
      <x:c r="K800" t="n">
        <x:v>132</x:v>
      </x:c>
      <x:c r="L800" t="n">
        <x:v>0</x:v>
      </x:c>
      <x:c r="M800" t="n">
        <x:v>0</x:v>
      </x:c>
      <x:c r="N800" t="n">
        <x:v>76.89759</x:v>
      </x:c>
      <x:c r="O800" t="n">
        <x:v>63.29</x:v>
      </x:c>
      <x:c r="P800" t="n">
        <x:v>0</x:v>
      </x:c>
      <x:c r="Q800" t="n">
        <x:v>0</x:v>
      </x:c>
      <x:c r="R800" t="n">
        <x:v>5.89</x:v>
      </x:c>
      <x:c r="S800" t="n">
        <x:v>23.32</x:v>
      </x:c>
      <x:c r="T800" t="str">
        <x:v>https://y.gtimg.cn/music/photo_new/T002R500x500M000001sfxDl2IEcbO_1.jpg</x:v>
      </x:c>
      <x:c r="U800" s="24" t="str">
        <x:f>IFERROR(VLOOKUP(I800,'07_字典与参数'!$G$5:$J$9,2,FALSE),"未入选")</x:f>
        <x:v>未入选</x:v>
      </x:c>
      <x:c r="V800" s="24" t="str">
        <x:f>IFERROR(VLOOKUP(I800,'07_字典与参数'!$G$5:$J$9,3,FALSE),"—")</x:f>
        <x:v>—</x:v>
      </x:c>
      <x:c r="W800" s="24" t="str">
        <x:f>IF(U800="未入选","否","是")</x:f>
        <x:v>否</x:v>
      </x:c>
    </x:row>
    <x:row r="801">
      <x:c r="A801" t="n">
        <x:v>202631</x:v>
      </x:c>
      <x:c r="B801" t="str">
        <x:v>第31期（08.03-08.09）</x:v>
      </x:c>
      <x:c r="C801" t="str">
        <x:v>2026-08-03</x:v>
      </x:c>
      <x:c r="D801" t="str">
        <x:v>2026-08-09</x:v>
      </x:c>
      <x:c r="E801" t="n">
        <x:v>197</x:v>
      </x:c>
      <x:c r="F801" t="n">
        <x:v>492048652</x:v>
      </x:c>
      <x:c r="G801" t="str">
        <x:v>遗忘我的歌</x:v>
      </x:c>
      <x:c r="H801" t="str">
        <x:v>伟歌歌</x:v>
      </x:c>
      <x:c r="I801" t="str">
        <x:v>000PoG833UL4EQ</x:v>
      </x:c>
      <x:c r="J801" t="str">
        <x:v>False</x:v>
      </x:c>
      <x:c r="K801" t="n">
        <x:v>0</x:v>
      </x:c>
      <x:c r="L801" t="n">
        <x:v>0</x:v>
      </x:c>
      <x:c r="M801" t="n">
        <x:v>0</x:v>
      </x:c>
      <x:c r="N801" t="n">
        <x:v>76.86202</x:v>
      </x:c>
      <x:c r="O801" t="n">
        <x:v>64.46</x:v>
      </x:c>
      <x:c r="P801" t="n">
        <x:v>0</x:v>
      </x:c>
      <x:c r="Q801" t="n">
        <x:v>0</x:v>
      </x:c>
      <x:c r="R801" t="n">
        <x:v>1.04</x:v>
      </x:c>
      <x:c r="S801" t="n">
        <x:v>1.22</x:v>
      </x:c>
      <x:c r="T801" t="str">
        <x:v>https://y.gtimg.cn/music/photo_new/T002R500x500M000004PUUkD355mZ8_1.jpg</x:v>
      </x:c>
      <x:c r="U801" s="24" t="str">
        <x:f>IFERROR(VLOOKUP(I801,'07_字典与参数'!$G$5:$J$9,2,FALSE),"未入选")</x:f>
        <x:v>未入选</x:v>
      </x:c>
      <x:c r="V801" s="24" t="str">
        <x:f>IFERROR(VLOOKUP(I801,'07_字典与参数'!$G$5:$J$9,3,FALSE),"—")</x:f>
        <x:v>—</x:v>
      </x:c>
      <x:c r="W801" s="24" t="str">
        <x:f>IF(U801="未入选","否","是")</x:f>
        <x:v>否</x:v>
      </x:c>
    </x:row>
    <x:row r="802">
      <x:c r="A802" t="n">
        <x:v>202631</x:v>
      </x:c>
      <x:c r="B802" t="str">
        <x:v>第31期（08.03-08.09）</x:v>
      </x:c>
      <x:c r="C802" t="str">
        <x:v>2026-08-03</x:v>
      </x:c>
      <x:c r="D802" t="str">
        <x:v>2026-08-09</x:v>
      </x:c>
      <x:c r="E802" t="n">
        <x:v>198</x:v>
      </x:c>
      <x:c r="F802" t="n">
        <x:v>515816984</x:v>
      </x:c>
      <x:c r="G802" t="str">
        <x:v>奢求</x:v>
      </x:c>
      <x:c r="H802" t="str">
        <x:v>淑元,奥利</x:v>
      </x:c>
      <x:c r="I802" t="str">
        <x:v>001nakHM1NXviz</x:v>
      </x:c>
      <x:c r="J802" t="str">
        <x:v>False</x:v>
      </x:c>
      <x:c r="K802" t="n">
        <x:v>40</x:v>
      </x:c>
      <x:c r="L802" t="n">
        <x:v>0</x:v>
      </x:c>
      <x:c r="M802" t="n">
        <x:v>0</x:v>
      </x:c>
      <x:c r="N802" t="n">
        <x:v>76.72804</x:v>
      </x:c>
      <x:c r="O802" t="n">
        <x:v>59.8</x:v>
      </x:c>
      <x:c r="P802" t="n">
        <x:v>0</x:v>
      </x:c>
      <x:c r="Q802" t="n">
        <x:v>0</x:v>
      </x:c>
      <x:c r="R802" t="n">
        <x:v>21.98</x:v>
      </x:c>
      <x:c r="S802" t="n">
        <x:v>39.39</x:v>
      </x:c>
      <x:c r="T802" t="str">
        <x:v>https://y.gtimg.cn/music/photo_new/T002R500x500M000000bufPC2m8y5E_1.jpg</x:v>
      </x:c>
      <x:c r="U802" s="24" t="str">
        <x:f>IFERROR(VLOOKUP(I802,'07_字典与参数'!$G$5:$J$9,2,FALSE),"未入选")</x:f>
        <x:v>未入选</x:v>
      </x:c>
      <x:c r="V802" s="24" t="str">
        <x:f>IFERROR(VLOOKUP(I802,'07_字典与参数'!$G$5:$J$9,3,FALSE),"—")</x:f>
        <x:v>—</x:v>
      </x:c>
      <x:c r="W802" s="24" t="str">
        <x:f>IF(U802="未入选","否","是")</x:f>
        <x:v>否</x:v>
      </x:c>
    </x:row>
    <x:row r="803">
      <x:c r="A803" t="n">
        <x:v>202631</x:v>
      </x:c>
      <x:c r="B803" t="str">
        <x:v>第31期（08.03-08.09）</x:v>
      </x:c>
      <x:c r="C803" t="str">
        <x:v>2026-08-03</x:v>
      </x:c>
      <x:c r="D803" t="str">
        <x:v>2026-08-09</x:v>
      </x:c>
      <x:c r="E803" t="n">
        <x:v>199</x:v>
      </x:c>
      <x:c r="F803" t="n">
        <x:v>491362536</x:v>
      </x:c>
      <x:c r="G803" t="str">
        <x:v>撞地球</x:v>
      </x:c>
      <x:c r="H803" t="str">
        <x:v>刘宇宁</x:v>
      </x:c>
      <x:c r="I803" t="str">
        <x:v>002dbfiy0u7BgF</x:v>
      </x:c>
      <x:c r="J803" t="str">
        <x:v>False</x:v>
      </x:c>
      <x:c r="K803" t="n">
        <x:v>195</x:v>
      </x:c>
      <x:c r="L803" t="n">
        <x:v>0</x:v>
      </x:c>
      <x:c r="M803" t="n">
        <x:v>0</x:v>
      </x:c>
      <x:c r="N803" t="n">
        <x:v>76.69142</x:v>
      </x:c>
      <x:c r="O803" t="n">
        <x:v>58.44</x:v>
      </x:c>
      <x:c r="P803" t="n">
        <x:v>0</x:v>
      </x:c>
      <x:c r="Q803" t="n">
        <x:v>0</x:v>
      </x:c>
      <x:c r="R803" t="n">
        <x:v>2.26</x:v>
      </x:c>
      <x:c r="S803" t="n">
        <x:v>42.75</x:v>
      </x:c>
      <x:c r="T803" t="str">
        <x:v>https://y.gtimg.cn/music/photo_new/T002R500x500M000000pBsrn0IgUVR_1.jpg</x:v>
      </x:c>
      <x:c r="U803" s="24" t="str">
        <x:f>IFERROR(VLOOKUP(I803,'07_字典与参数'!$G$5:$J$9,2,FALSE),"未入选")</x:f>
        <x:v>未入选</x:v>
      </x:c>
      <x:c r="V803" s="24" t="str">
        <x:f>IFERROR(VLOOKUP(I803,'07_字典与参数'!$G$5:$J$9,3,FALSE),"—")</x:f>
        <x:v>—</x:v>
      </x:c>
      <x:c r="W803" s="24" t="str">
        <x:f>IF(U803="未入选","否","是")</x:f>
        <x:v>否</x:v>
      </x:c>
    </x:row>
    <x:row r="804">
      <x:c r="A804" t="n">
        <x:v>202631</x:v>
      </x:c>
      <x:c r="B804" t="str">
        <x:v>第31期（08.03-08.09）</x:v>
      </x:c>
      <x:c r="C804" t="str">
        <x:v>2026-08-03</x:v>
      </x:c>
      <x:c r="D804" t="str">
        <x:v>2026-08-09</x:v>
      </x:c>
      <x:c r="E804" t="n">
        <x:v>200</x:v>
      </x:c>
      <x:c r="F804" t="n">
        <x:v>520493282</x:v>
      </x:c>
      <x:c r="G804" t="str">
        <x:v>甲乙丙丁</x:v>
      </x:c>
      <x:c r="H804" t="str">
        <x:v>江易泽</x:v>
      </x:c>
      <x:c r="I804" t="str">
        <x:v>004ZidwG2qQbR7</x:v>
      </x:c>
      <x:c r="J804" t="str">
        <x:v>False</x:v>
      </x:c>
      <x:c r="K804" t="n">
        <x:v>185</x:v>
      </x:c>
      <x:c r="L804" t="n">
        <x:v>0</x:v>
      </x:c>
      <x:c r="M804" t="n">
        <x:v>0</x:v>
      </x:c>
      <x:c r="N804" t="n">
        <x:v>76.6512</x:v>
      </x:c>
      <x:c r="O804" t="n">
        <x:v>63.53</x:v>
      </x:c>
      <x:c r="P804" t="n">
        <x:v>0</x:v>
      </x:c>
      <x:c r="Q804" t="n">
        <x:v>0</x:v>
      </x:c>
      <x:c r="R804" t="n">
        <x:v>7.38</x:v>
      </x:c>
      <x:c r="S804" t="n">
        <x:v>4.92</x:v>
      </x:c>
      <x:c r="T804" t="str">
        <x:v>https://y.gtimg.cn/music/photo_new/T002R500x500M000002vuLra3kKcBV_1.jpg</x:v>
      </x:c>
      <x:c r="U804" s="24" t="str">
        <x:f>IFERROR(VLOOKUP(I804,'07_字典与参数'!$G$5:$J$9,2,FALSE),"未入选")</x:f>
        <x:v>未入选</x:v>
      </x:c>
      <x:c r="V804" s="24" t="str">
        <x:f>IFERROR(VLOOKUP(I804,'07_字典与参数'!$G$5:$J$9,3,FALSE),"—")</x:f>
        <x:v>—</x:v>
      </x:c>
      <x:c r="W804" s="24" t="str">
        <x:f>IF(U804="未入选","否","是")</x:f>
        <x:v>否</x:v>
      </x:c>
    </x:row>
  </x:sheetData>
  <x:mergeCells>
    <x:mergeCell ref="A1:W1"/>
    <x:mergeCell ref="A2:W2"/>
  </x:mergeCells>
  <x:conditionalFormatting sqref="E5:E804">
    <x:cfRule type="cellIs" dxfId="3" priority="1" operator="lessThanOrEqual">
      <x:formula>10</x:formula>
    </x:cfRule>
  </x:conditionalFormatting>
  <x:conditionalFormatting sqref="U5:U804">
    <x:cfRule type="colorScale" priority="2">
      <x:colorScale>
        <x:cfvo type="min"/>
        <x:cfvo type="percentile" val="50"/>
        <x:cfvo type="max"/>
        <x:color rgb="FFEFE9DD"/>
        <x:color rgb="FFDFC68E"/>
        <x:color rgb="FF7F5A2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183e92f941741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3" t="str">
        <x:v>候选曲库人工复核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" t="str">
        <x:v>黄色区域可编辑；下拉规则统一来自 07_字典与参数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2" t="str">
        <x:v>qq_track_mid</x:v>
      </x:c>
      <x:c r="B4" s="12" t="str">
        <x:v>歌名</x:v>
      </x:c>
      <x:c r="C4" s="12" t="str">
        <x:v>艺人</x:v>
      </x:c>
      <x:c r="D4" s="12" t="str">
        <x:v>综合分</x:v>
      </x:c>
      <x:c r="E4" s="12" t="str">
        <x:v>上榜次数</x:v>
      </x:c>
      <x:c r="F4" s="12" t="str">
        <x:v>最新排名</x:v>
      </x:c>
      <x:c r="G4" s="12" t="str">
        <x:v>名次改善</x:v>
      </x:c>
      <x:c r="H4" s="12" t="str">
        <x:v>平均播放热度</x:v>
      </x:c>
      <x:c r="I4" s="12" t="str">
        <x:v>平均推荐度</x:v>
      </x:c>
      <x:c r="J4" s="12" t="str">
        <x:v>跟进状态</x:v>
      </x:c>
      <x:c r="K4" s="12" t="str">
        <x:v>内容场景</x:v>
      </x:c>
      <x:c r="L4" s="12" t="str">
        <x:v>版权状态</x:v>
      </x:c>
      <x:c r="M4" s="12" t="str">
        <x:v>人工评分</x:v>
      </x:c>
      <x:c r="N4" s="12" t="str">
        <x:v>复核结论</x:v>
      </x:c>
    </x:row>
    <x:row r="5">
      <x:c r="A5" t="str">
        <x:v>003DEzAQ3HSB9l</x:v>
      </x:c>
      <x:c r="B5" t="str">
        <x:v>过海</x:v>
      </x:c>
      <x:c r="C5" t="str">
        <x:v>王赫野,黄龄</x:v>
      </x:c>
      <x:c r="D5" t="n">
        <x:v>87.5</x:v>
      </x:c>
      <x:c r="E5" t="n">
        <x:v>4</x:v>
      </x:c>
      <x:c r="F5" t="n">
        <x:v>28</x:v>
      </x:c>
      <x:c r="G5" t="n">
        <x:v>85</x:v>
      </x:c>
      <x:c r="H5" t="n">
        <x:v>77.4</x:v>
      </x:c>
      <x:c r="I5" t="n">
        <x:v>48.9</x:v>
      </x:c>
      <x:c r="J5" s="25" t="str">
        <x:v>观察</x:v>
      </x:c>
      <x:c r="K5" s="25" t="str">
        <x:v>歌单</x:v>
      </x:c>
      <x:c r="L5" s="25" t="str">
        <x:v>待确认</x:v>
      </x:c>
      <x:c r="M5" s="25" t="n">
        <x:v>70</x:v>
      </x:c>
      <x:c r="N5" s="25" t="str">
        <x:v>继续观察</x:v>
      </x:c>
    </x:row>
    <x:row r="6">
      <x:c r="A6" t="str">
        <x:v>001rRVzh2m7RJB</x:v>
      </x:c>
      <x:c r="B6" t="str">
        <x:v>两世洞天</x:v>
      </x:c>
      <x:c r="C6" t="str">
        <x:v>黄星</x:v>
      </x:c>
      <x:c r="D6" t="n">
        <x:v>75.8</x:v>
      </x:c>
      <x:c r="E6" t="n">
        <x:v>4</x:v>
      </x:c>
      <x:c r="F6" t="n">
        <x:v>35</x:v>
      </x:c>
      <x:c r="G6" t="n">
        <x:v>23</x:v>
      </x:c>
      <x:c r="H6" t="n">
        <x:v>50.7</x:v>
      </x:c>
      <x:c r="I6" t="n">
        <x:v>70.2</x:v>
      </x:c>
      <x:c r="J6" s="25" t="str">
        <x:v>观察</x:v>
      </x:c>
      <x:c r="K6" s="25" t="str">
        <x:v>歌单</x:v>
      </x:c>
      <x:c r="L6" s="25" t="str">
        <x:v>待确认</x:v>
      </x:c>
      <x:c r="M6" s="25" t="n">
        <x:v>70</x:v>
      </x:c>
      <x:c r="N6" s="25" t="str">
        <x:v>继续观察</x:v>
      </x:c>
    </x:row>
    <x:row r="7">
      <x:c r="A7" t="str">
        <x:v>000QQHy712ZX4T</x:v>
      </x:c>
      <x:c r="B7" t="str">
        <x:v>挽红纱</x:v>
      </x:c>
      <x:c r="C7" t="str">
        <x:v>龚琳娜,张云雷</x:v>
      </x:c>
      <x:c r="D7" t="n">
        <x:v>73.2</x:v>
      </x:c>
      <x:c r="E7" t="n">
        <x:v>4</x:v>
      </x:c>
      <x:c r="F7" t="n">
        <x:v>42</x:v>
      </x:c>
      <x:c r="G7" t="n">
        <x:v>7</x:v>
      </x:c>
      <x:c r="H7" t="n">
        <x:v>61.9</x:v>
      </x:c>
      <x:c r="I7" t="n">
        <x:v>68.5</x:v>
      </x:c>
      <x:c r="J7" s="25" t="str">
        <x:v>观察</x:v>
      </x:c>
      <x:c r="K7" s="25" t="str">
        <x:v>歌单</x:v>
      </x:c>
      <x:c r="L7" s="25" t="str">
        <x:v>待确认</x:v>
      </x:c>
      <x:c r="M7" s="25" t="n">
        <x:v>70</x:v>
      </x:c>
      <x:c r="N7" s="25" t="str">
        <x:v>继续观察</x:v>
      </x:c>
    </x:row>
    <x:row r="8">
      <x:c r="A8" t="str">
        <x:v>0009cN231s93BH</x:v>
      </x:c>
      <x:c r="B8" t="str">
        <x:v>周旋</x:v>
      </x:c>
      <x:c r="C8" t="str">
        <x:v>王以太,艾热AIR</x:v>
      </x:c>
      <x:c r="D8" t="n">
        <x:v>71.3</x:v>
      </x:c>
      <x:c r="E8" t="n">
        <x:v>4</x:v>
      </x:c>
      <x:c r="F8" t="n">
        <x:v>47</x:v>
      </x:c>
      <x:c r="G8" t="n">
        <x:v>-7</x:v>
      </x:c>
      <x:c r="H8" t="n">
        <x:v>78.2</x:v>
      </x:c>
      <x:c r="I8" t="n">
        <x:v>57.2</x:v>
      </x:c>
      <x:c r="J8" s="25" t="str">
        <x:v>观察</x:v>
      </x:c>
      <x:c r="K8" s="25" t="str">
        <x:v>歌单</x:v>
      </x:c>
      <x:c r="L8" s="25" t="str">
        <x:v>待确认</x:v>
      </x:c>
      <x:c r="M8" s="25" t="n">
        <x:v>70</x:v>
      </x:c>
      <x:c r="N8" s="25" t="str">
        <x:v>继续观察</x:v>
      </x:c>
    </x:row>
    <x:row r="9">
      <x:c r="A9" t="str">
        <x:v>002sjXkp1KKKUX</x:v>
      </x:c>
      <x:c r="B9" t="str">
        <x:v>奔赴超无限</x:v>
      </x:c>
      <x:c r="C9" t="str">
        <x:v>周深,北京环球度假区</x:v>
      </x:c>
      <x:c r="D9" t="n">
        <x:v>67</x:v>
      </x:c>
      <x:c r="E9" t="n">
        <x:v>2</x:v>
      </x:c>
      <x:c r="F9" t="n">
        <x:v>53</x:v>
      </x:c>
      <x:c r="G9" t="n">
        <x:v>69</x:v>
      </x:c>
      <x:c r="H9" t="n">
        <x:v>68.7</x:v>
      </x:c>
      <x:c r="I9" t="n">
        <x:v>52</x:v>
      </x:c>
      <x:c r="J9" s="25" t="str">
        <x:v>观察</x:v>
      </x:c>
      <x:c r="K9" s="25" t="str">
        <x:v>歌单</x:v>
      </x:c>
      <x:c r="L9" s="25" t="str">
        <x:v>待确认</x:v>
      </x:c>
      <x:c r="M9" s="25" t="n">
        <x:v>70</x:v>
      </x:c>
      <x:c r="N9" s="25" t="str">
        <x:v>继续观察</x:v>
      </x:c>
    </x:row>
  </x:sheetData>
  <x:mergeCells>
    <x:mergeCell ref="A1:N1"/>
    <x:mergeCell ref="A2:N2"/>
  </x:mergeCells>
  <x:conditionalFormatting sqref="D5:D9">
    <x:cfRule type="colorScale" priority="1">
      <x:colorScale>
        <x:cfvo type="min"/>
        <x:cfvo type="percentile" val="50"/>
        <x:cfvo type="max"/>
        <x:color rgb="FFF4D4D0"/>
        <x:color rgb="FFFFF1BF"/>
        <x:color rgb="FFDDEAD8"/>
      </x:colorScale>
    </x:cfRule>
  </x:conditionalFormatting>
  <x:conditionalFormatting sqref="G5:G9">
    <x:cfRule type="cellIs" dxfId="4" priority="2" operator="greaterThan">
      <x:formula>0</x:formula>
    </x:cfRule>
    <x:cfRule type="cellIs" dxfId="5" priority="3" operator="lessThan">
      <x:formula>0</x:formula>
    </x:cfRule>
  </x:conditionalFormatting>
  <x:conditionalFormatting sqref="L5:L50">
    <x:cfRule type="containsText" dxfId="6" priority="4" operator="containsText" text="待确认"/>
  </x:conditionalFormatting>
  <x:dataValidations count="5">
    <x:dataValidation type="list" sqref="J5:J50">
      <x:formula1>'07_字典与参数'!$L$5:$L$8</x:formula1>
    </x:dataValidation>
    <x:dataValidation type="list" sqref="K5:K50">
      <x:formula1>'07_字典与参数'!$M$5:$M$9</x:formula1>
    </x:dataValidation>
    <x:dataValidation type="list" sqref="L5:L50">
      <x:formula1>'07_字典与参数'!$N$5:$N$8</x:formula1>
    </x:dataValidation>
    <x:dataValidation type="whole" operator="between" sqref="M5:M50">
      <x:formula1>0</x:formula1>
      <x:formula2>100</x:formula2>
    </x:dataValidation>
    <x:dataValidation type="list" sqref="N5:N50">
      <x:formula1>'07_字典与参数'!$O$5:$O$7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1559ce52224a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3" t="str">
        <x:v>数据透视表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5" t="str">
        <x:v>可视汇总兼容各版本；Q 列保留 Excel 365 动态 PIVOTBY 公式，可检查并随源数据刷新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4">
      <x:c r="A4" s="12" t="str">
        <x:v>平台</x:v>
      </x:c>
      <x:c r="B4" s="12" t="str">
        <x:v>榜单</x:v>
      </x:c>
      <x:c r="C4" s="12" t="str">
        <x:v>记录数</x:v>
      </x:c>
      <x:c r="D4" s="12" t="str">
        <x:v>平均排名</x:v>
      </x:c>
      <x:c r="F4" s="12" t="str">
        <x:v>艺人</x:v>
      </x:c>
      <x:c r="G4" s="12" t="str">
        <x:v>榜内作品数</x:v>
      </x:c>
      <x:c r="H4" s="12" t="str">
        <x:v>最高排名</x:v>
      </x:c>
      <x:c r="J4" s="12" t="str">
        <x:v>TME候选</x:v>
      </x:c>
      <x:c r="K4" s="12" t="str">
        <x:v>第28期</x:v>
      </x:c>
      <x:c r="L4" s="12" t="str">
        <x:v>第29期</x:v>
      </x:c>
      <x:c r="M4" s="12" t="str">
        <x:v>第30期</x:v>
      </x:c>
      <x:c r="N4" t="str">
        <x:v>第31期</x:v>
      </x:c>
      <x:c r="Q4" s="12" t="str">
        <x:v>EXCEL 365 动态数据透视公式</x:v>
      </x:c>
      <x:c r="R4" s="12"/>
      <x:c r="S4" s="12"/>
      <x:c r="T4" s="12"/>
      <x:c r="U4" s="12"/>
    </x:row>
    <x:row r="5">
      <x:c r="A5" t="str">
        <x:v>Apple Music</x:v>
      </x:c>
      <x:c r="B5" t="str">
        <x:v>热门歌曲排行</x:v>
      </x:c>
      <x:c r="C5" t="n">
        <x:v>100</x:v>
      </x:c>
      <x:c r="D5" t="n">
        <x:v>50.5</x:v>
      </x:c>
      <x:c r="F5" t="str">
        <x:v>周杰伦</x:v>
      </x:c>
      <x:c r="G5" t="n">
        <x:v>30</x:v>
      </x:c>
      <x:c r="H5" t="n">
        <x:v>1</x:v>
      </x:c>
      <x:c r="J5" t="str">
        <x:v>过海</x:v>
      </x:c>
      <x:c r="K5" t="n">
        <x:v>113</x:v>
      </x:c>
      <x:c r="L5" t="n">
        <x:v>50</x:v>
      </x:c>
      <x:c r="M5" t="n">
        <x:v>43</x:v>
      </x:c>
      <x:c r="N5" t="n">
        <x:v>28</x:v>
      </x:c>
      <x:c r="Q5" t="str">
        <x:f>IFERROR(PIVOTBY('02_跨平台原始数据'!$Z$5:$Z$424,'02_跨平台原始数据'!$AA$5:$AA$424,'02_跨平台原始数据'!$J$5:$J$424,AVERAGE,3,0,-2,0),"请用 Excel 365 打开以刷新")</x:f>
        <x:v>请用 Excel 365 打开以刷新</x:v>
      </x:c>
    </x:row>
    <x:row r="6">
      <x:c r="A6" t="str">
        <x:v>网易云音乐</x:v>
      </x:c>
      <x:c r="B6" t="str">
        <x:v>飙升榜</x:v>
      </x:c>
      <x:c r="C6" t="n">
        <x:v>100</x:v>
      </x:c>
      <x:c r="D6" t="n">
        <x:v>50.5</x:v>
      </x:c>
      <x:c r="F6" t="str">
        <x:v>林俊杰</x:v>
      </x:c>
      <x:c r="G6" t="n">
        <x:v>11</x:v>
      </x:c>
      <x:c r="H6" t="n">
        <x:v>45</x:v>
      </x:c>
      <x:c r="J6" t="str">
        <x:v>两世洞天</x:v>
      </x:c>
      <x:c r="K6" t="n">
        <x:v>58</x:v>
      </x:c>
      <x:c r="L6" t="n">
        <x:v>39</x:v>
      </x:c>
      <x:c r="M6" t="n">
        <x:v>31</x:v>
      </x:c>
      <x:c r="N6" t="n">
        <x:v>35</x:v>
      </x:c>
    </x:row>
    <x:row r="7">
      <x:c r="A7" t="str">
        <x:v>网易云音乐</x:v>
      </x:c>
      <x:c r="B7" t="str">
        <x:v>新歌榜</x:v>
      </x:c>
      <x:c r="C7" t="n">
        <x:v>100</x:v>
      </x:c>
      <x:c r="D7" t="n">
        <x:v>50.5</x:v>
      </x:c>
      <x:c r="F7" t="str">
        <x:v>孙燕姿</x:v>
      </x:c>
      <x:c r="G7" t="n">
        <x:v>6</x:v>
      </x:c>
      <x:c r="H7" t="n">
        <x:v>4</x:v>
      </x:c>
      <x:c r="J7" t="str">
        <x:v>挽红纱</x:v>
      </x:c>
      <x:c r="K7" t="n">
        <x:v>49</x:v>
      </x:c>
      <x:c r="L7" t="n">
        <x:v>33</x:v>
      </x:c>
      <x:c r="M7" t="n">
        <x:v>48</x:v>
      </x:c>
      <x:c r="N7" t="n">
        <x:v>42</x:v>
      </x:c>
    </x:row>
    <x:row r="8">
      <x:c r="A8" t="str">
        <x:v>网易云音乐</x:v>
      </x:c>
      <x:c r="B8" t="str">
        <x:v>原创榜</x:v>
      </x:c>
      <x:c r="C8" t="n">
        <x:v>100</x:v>
      </x:c>
      <x:c r="D8" t="n">
        <x:v>50.5</x:v>
      </x:c>
      <x:c r="F8" t="str">
        <x:v>陈奕迅</x:v>
      </x:c>
      <x:c r="G8" t="n">
        <x:v>6</x:v>
      </x:c>
      <x:c r="H8" t="n">
        <x:v>22</x:v>
      </x:c>
      <x:c r="J8" t="str">
        <x:v>周旋</x:v>
      </x:c>
      <x:c r="K8" t="n">
        <x:v>40</x:v>
      </x:c>
      <x:c r="L8" t="n">
        <x:v>27</x:v>
      </x:c>
      <x:c r="M8" t="n">
        <x:v>47</x:v>
      </x:c>
      <x:c r="N8" t="n">
        <x:v>47</x:v>
      </x:c>
    </x:row>
    <x:row r="9">
      <x:c r="A9" t="str">
        <x:v>网易云音乐</x:v>
      </x:c>
      <x:c r="B9" t="str">
        <x:v>潜力爆款榜</x:v>
      </x:c>
      <x:c r="C9" t="n">
        <x:v>10</x:v>
      </x:c>
      <x:c r="D9" t="n">
        <x:v>5.5</x:v>
      </x:c>
      <x:c r="F9" t="str">
        <x:v>Ariana Grande</x:v>
      </x:c>
      <x:c r="G9" t="n">
        <x:v>4</x:v>
      </x:c>
      <x:c r="H9" t="n">
        <x:v>5</x:v>
      </x:c>
      <x:c r="J9" t="str">
        <x:v>奔赴超无限</x:v>
      </x:c>
      <x:c r="K9"/>
      <x:c r="L9"/>
      <x:c r="M9" t="n">
        <x:v>122</x:v>
      </x:c>
      <x:c r="N9" t="n">
        <x:v>53</x:v>
      </x:c>
    </x:row>
    <x:row r="10">
      <x:c r="A10" t="str">
        <x:v>网易云音乐</x:v>
      </x:c>
      <x:c r="B10" t="str">
        <x:v>实时分享榜</x:v>
      </x:c>
      <x:c r="C10" t="n">
        <x:v>10</x:v>
      </x:c>
      <x:c r="D10" t="n">
        <x:v>5.5</x:v>
      </x:c>
      <x:c r="F10" t="str">
        <x:v>邓紫棋</x:v>
      </x:c>
      <x:c r="G10" t="n">
        <x:v>4</x:v>
      </x:c>
      <x:c r="H10" t="n">
        <x:v>12</x:v>
      </x:c>
    </x:row>
    <x:row r="11">
      <x:c r="F11" t="str">
        <x:v>梁静茹</x:v>
      </x:c>
      <x:c r="G11" t="n">
        <x:v>4</x:v>
      </x:c>
      <x:c r="H11" t="n">
        <x:v>21</x:v>
      </x:c>
    </x:row>
    <x:row r="12">
      <x:c r="F12" t="str">
        <x:v>王力宏</x:v>
      </x:c>
      <x:c r="G12" t="n">
        <x:v>3</x:v>
      </x:c>
      <x:c r="H12" t="n">
        <x:v>6</x:v>
      </x:c>
    </x:row>
    <x:row r="13">
      <x:c r="F13" t="str">
        <x:v>方大同</x:v>
      </x:c>
      <x:c r="G13" t="n">
        <x:v>3</x:v>
      </x:c>
      <x:c r="H13" t="n">
        <x:v>11</x:v>
      </x:c>
    </x:row>
    <x:row r="14">
      <x:c r="F14" t="str">
        <x:v>莫文蔚</x:v>
      </x:c>
      <x:c r="G14" t="n">
        <x:v>3</x:v>
      </x:c>
      <x:c r="H14" t="n">
        <x:v>27</x:v>
      </x:c>
    </x:row>
    <x:row r="15">
      <x:c r="A15" s="27" t="str">
        <x:v>注：PIVOTBY 是 Excel 365 的数据透视公式；左侧兼容视图保留相同口径，旧版 Excel 仍可直接阅读结果。</x:v>
      </x:c>
      <x:c r="B15" s="27"/>
      <x:c r="C15" s="27"/>
      <x:c r="D15" s="27"/>
      <x:c r="E15" s="27"/>
      <x:c r="F15" t="str">
        <x:v>陶喆</x:v>
      </x:c>
      <x:c r="G15" t="n">
        <x:v>3</x:v>
      </x:c>
      <x:c r="H15" t="n">
        <x:v>29</x:v>
      </x:c>
    </x:row>
    <x:row r="16">
      <x:c r="F16" t="str">
        <x:v>Gareth.T</x:v>
      </x:c>
      <x:c r="G16" t="n">
        <x:v>2</x:v>
      </x:c>
      <x:c r="H16" t="n">
        <x:v>14</x:v>
      </x:c>
    </x:row>
    <x:row r="17">
      <x:c r="F17" t="str">
        <x:v>aespa</x:v>
      </x:c>
      <x:c r="G17" t="n">
        <x:v>2</x:v>
      </x:c>
      <x:c r="H17" t="n">
        <x:v>24</x:v>
      </x:c>
    </x:row>
    <x:row r="18">
      <x:c r="F18" t="str">
        <x:v>李荣浩</x:v>
      </x:c>
      <x:c r="G18" t="n">
        <x:v>2</x:v>
      </x:c>
      <x:c r="H18" t="n">
        <x:v>25</x:v>
      </x:c>
    </x:row>
    <x:row r="19">
      <x:c r="F19" t="str">
        <x:v>Justin Bieber</x:v>
      </x:c>
      <x:c r="G19" t="n">
        <x:v>2</x:v>
      </x:c>
      <x:c r="H19" t="n">
        <x:v>32</x:v>
      </x:c>
    </x:row>
    <x:row r="20">
      <x:c r="F20" t="str">
        <x:v>郭静</x:v>
      </x:c>
      <x:c r="G20" t="n">
        <x:v>2</x:v>
      </x:c>
      <x:c r="H20" t="n">
        <x:v>93</x:v>
      </x:c>
    </x:row>
    <x:row r="21">
      <x:c r="F21" t="str">
        <x:v>杨丞琳</x:v>
      </x:c>
      <x:c r="G21" t="n">
        <x:v>1</x:v>
      </x:c>
      <x:c r="H21" t="n">
        <x:v>16</x:v>
      </x:c>
    </x:row>
    <x:row r="22">
      <x:c r="F22" t="str">
        <x:v>JENNIE</x:v>
      </x:c>
      <x:c r="G22" t="n">
        <x:v>1</x:v>
      </x:c>
      <x:c r="H22" t="n">
        <x:v>19</x:v>
      </x:c>
    </x:row>
    <x:row r="23">
      <x:c r="F23" t="str">
        <x:v>YOON MIRAE, Tiger JK &amp; Bizzy</x:v>
      </x:c>
      <x:c r="G23" t="n">
        <x:v>1</x:v>
      </x:c>
      <x:c r="H23" t="n">
        <x:v>26</x:v>
      </x:c>
    </x:row>
    <x:row r="24">
      <x:c r="F24" t="str">
        <x:v>田馥甄</x:v>
      </x:c>
      <x:c r="G24" t="n">
        <x:v>1</x:v>
      </x:c>
      <x:c r="H24" t="n">
        <x:v>41</x:v>
      </x:c>
    </x:row>
    <x:row r="25">
      <x:c r="F25" t="str">
        <x:v>周杰伦 &amp; 五月天 阿信</x:v>
      </x:c>
      <x:c r="G25" t="n">
        <x:v>1</x:v>
      </x:c>
      <x:c r="H25" t="n">
        <x:v>42</x:v>
      </x:c>
    </x:row>
    <x:row r="26">
      <x:c r="F26" t="str">
        <x:v>林宥嘉</x:v>
      </x:c>
      <x:c r="G26" t="n">
        <x:v>1</x:v>
      </x:c>
      <x:c r="H26" t="n">
        <x:v>46</x:v>
      </x:c>
    </x:row>
    <x:row r="27">
      <x:c r="F27" t="str">
        <x:v>陈粒</x:v>
      </x:c>
      <x:c r="G27" t="n">
        <x:v>1</x:v>
      </x:c>
      <x:c r="H27" t="n">
        <x:v>47</x:v>
      </x:c>
    </x:row>
    <x:row r="28">
      <x:c r="F28" t="str">
        <x:v>Suki刘舒妤</x:v>
      </x:c>
      <x:c r="G28" t="n">
        <x:v>1</x:v>
      </x:c>
      <x:c r="H28" t="n">
        <x:v>50</x:v>
      </x:c>
    </x:row>
    <x:row r="29">
      <x:c r="F29" t="str">
        <x:v>陈绮贞</x:v>
      </x:c>
      <x:c r="G29" t="n">
        <x:v>1</x:v>
      </x:c>
      <x:c r="H29" t="n">
        <x:v>65</x:v>
      </x:c>
    </x:row>
    <x:row r="30">
      <x:c r="F30" t="str">
        <x:v>Charlie Puth</x:v>
      </x:c>
      <x:c r="G30" t="n">
        <x:v>1</x:v>
      </x:c>
      <x:c r="H30" t="n">
        <x:v>80</x:v>
      </x:c>
    </x:row>
    <x:row r="31">
      <x:c r="F31" t="str">
        <x:v>CORTIS</x:v>
      </x:c>
      <x:c r="G31" t="n">
        <x:v>1</x:v>
      </x:c>
      <x:c r="H31" t="n">
        <x:v>83</x:v>
      </x:c>
    </x:row>
    <x:row r="32">
      <x:c r="F32" t="str">
        <x:v>蔡诗芸</x:v>
      </x:c>
      <x:c r="G32" t="n">
        <x:v>1</x:v>
      </x:c>
      <x:c r="H32" t="n">
        <x:v>90</x:v>
      </x:c>
    </x:row>
    <x:row r="33">
      <x:c r="F33" t="str">
        <x:v>KiiiKiii</x:v>
      </x:c>
      <x:c r="G33" t="n">
        <x:v>1</x:v>
      </x:c>
      <x:c r="H33" t="n">
        <x:v>98</x:v>
      </x:c>
    </x:row>
  </x:sheetData>
  <x:mergeCells>
    <x:mergeCell ref="A1:U1"/>
    <x:mergeCell ref="A2:U2"/>
    <x:mergeCell ref="Q4:U4"/>
    <x:mergeCell ref="A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" t="str">
        <x:v>音乐潜力侦察看板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" t="str">
        <x:v>1,220 条结构化记录｜6 张公开榜单｜5 首候选｜数据、判断与权限边界分开呈现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30" t="n">
        <x:v>1220</x:v>
      </x:c>
      <x:c r="B4" s="30"/>
      <x:c r="C4" s="30"/>
      <x:c r="D4" s="30" t="n">
        <x:v>6</x:v>
      </x:c>
      <x:c r="E4" s="30"/>
      <x:c r="F4" s="30"/>
      <x:c r="G4" s="30" t="n">
        <x:v>5</x:v>
      </x:c>
      <x:c r="H4" s="30"/>
      <x:c r="I4" s="30"/>
      <x:c r="J4" s="30" t="n">
        <x:f>MAX('04_候选复核'!$D$5:$D$9)</x:f>
        <x:v>87.5</x:v>
      </x:c>
      <x:c r="K4" s="30"/>
      <x:c r="L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2" t="str">
        <x:v>榜单记录</x:v>
      </x:c>
      <x:c r="B8" s="32"/>
      <x:c r="C8" s="32"/>
      <x:c r="D8" s="32" t="str">
        <x:v>公开榜单</x:v>
      </x:c>
      <x:c r="E8" s="32"/>
      <x:c r="F8" s="32"/>
      <x:c r="G8" s="32" t="str">
        <x:v>候选作品</x:v>
      </x:c>
      <x:c r="H8" s="32"/>
      <x:c r="I8" s="32"/>
      <x:c r="J8" s="32" t="str">
        <x:v>最高综合分</x:v>
      </x:c>
      <x:c r="K8" s="32"/>
      <x:c r="L8" s="32"/>
    </x:row>
    <x:row r="11">
      <x:c r="A11" s="12" t="str">
        <x:v>候选作品</x:v>
      </x:c>
      <x:c r="B11" s="12" t="str">
        <x:v>综合分</x:v>
      </x:c>
    </x:row>
    <x:row r="12">
      <x:c r="A12" t="str">
        <x:v>过海</x:v>
      </x:c>
      <x:c r="B12" t="n">
        <x:v>87.5</x:v>
      </x:c>
    </x:row>
    <x:row r="13">
      <x:c r="A13" t="str">
        <x:v>两世洞天</x:v>
      </x:c>
      <x:c r="B13" t="n">
        <x:v>75.8</x:v>
      </x:c>
    </x:row>
    <x:row r="14">
      <x:c r="A14" t="str">
        <x:v>挽红纱</x:v>
      </x:c>
      <x:c r="B14" t="n">
        <x:v>73.2</x:v>
      </x:c>
    </x:row>
    <x:row r="15">
      <x:c r="A15" t="str">
        <x:v>周旋</x:v>
      </x:c>
      <x:c r="B15" t="n">
        <x:v>71.3</x:v>
      </x:c>
    </x:row>
    <x:row r="16">
      <x:c r="A16" t="str">
        <x:v>奔赴超无限</x:v>
      </x:c>
      <x:c r="B16" t="n">
        <x:v>67</x:v>
      </x:c>
    </x:row>
    <x:row r="28">
      <x:c r="A28" s="35" t="str">
        <x:v>决策建议：公开榜单用于发现信号，平台后台数据用于验证增长，版权材料决定是否推进合作。所有榜单分数均为听审优先级，不构成商业价值预测。</x:v>
      </x:c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</x:row>
  </x:sheetData>
  <x:mergeCells>
    <x:mergeCell ref="A1:N1"/>
    <x:mergeCell ref="A2:N2"/>
    <x:mergeCell ref="A4:C7"/>
    <x:mergeCell ref="D4:F7"/>
    <x:mergeCell ref="G4:I7"/>
    <x:mergeCell ref="J4:L7"/>
    <x:mergeCell ref="A8:C8"/>
    <x:mergeCell ref="D8:F8"/>
    <x:mergeCell ref="G8:I8"/>
    <x:mergeCell ref="J8:L8"/>
    <x:mergeCell ref="A28:L31"/>
  </x:mergeCells>
  <x:pageMargins left="0.7" right="0.7" top="0.75" bottom="0.75" header="0.3" footer="0.3"/>
  <x:drawing xmlns:r="http://schemas.openxmlformats.org/officeDocument/2006/relationships" r:id="R56082e9d35d647d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3" t="str">
        <x:v>字段字典与参数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5" t="str">
        <x:v>所有查找、下拉选项与阈值均引用本页，避免在公式内写死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>
      <x:c r="A4" s="14" t="str">
        <x:v>chart_key</x:v>
      </x:c>
      <x:c r="B4" s="15" t="str">
        <x:v>榜单中文名</x:v>
      </x:c>
      <x:c r="C4" s="15" t="str">
        <x:v>平台中文名</x:v>
      </x:c>
      <x:c r="D4" s="15" t="str">
        <x:v>更新频率</x:v>
      </x:c>
      <x:c r="E4" s="15" t="str">
        <x:v>来源等级</x:v>
      </x:c>
      <x:c r="F4" s="16"/>
      <x:c r="G4" s="15" t="str">
        <x:v>qq_track_mid</x:v>
      </x:c>
      <x:c r="H4" s="15" t="str">
        <x:v>综合分</x:v>
      </x:c>
      <x:c r="I4" s="15" t="str">
        <x:v>候选歌名</x:v>
      </x:c>
      <x:c r="J4" s="15" t="str">
        <x:v>候选艺人</x:v>
      </x:c>
      <x:c r="K4" s="16"/>
      <x:c r="L4" s="15" t="str">
        <x:v>跟进状态</x:v>
      </x:c>
      <x:c r="M4" s="15" t="str">
        <x:v>内容场景</x:v>
      </x:c>
      <x:c r="N4" s="15" t="str">
        <x:v>版权状态</x:v>
      </x:c>
      <x:c r="O4" s="15" t="str">
        <x:v>复核结论</x:v>
      </x:c>
      <x:c r="P4" s="16"/>
      <x:c r="Q4" s="15" t="str">
        <x:v>阈值</x:v>
      </x:c>
      <x:c r="R4" s="17" t="str">
        <x:v>数值</x:v>
      </x:c>
    </x:row>
    <x:row r="5">
      <x:c r="A5" s="18" t="str">
        <x:v>cn_top_100</x:v>
      </x:c>
      <x:c r="B5" s="19" t="str">
        <x:v>热门歌曲排行</x:v>
      </x:c>
      <x:c r="C5" s="19" t="str">
        <x:v>Apple Music</x:v>
      </x:c>
      <x:c r="D5" s="19" t="str">
        <x:v>每日公开快照</x:v>
      </x:c>
      <x:c r="E5" s="19" t="str">
        <x:v>官方公开</x:v>
      </x:c>
      <x:c r="F5" s="19"/>
      <x:c r="G5" s="19" t="str">
        <x:v>003DEzAQ3HSB9l</x:v>
      </x:c>
      <x:c r="H5" s="19" t="n">
        <x:v>87.5</x:v>
      </x:c>
      <x:c r="I5" s="19" t="str">
        <x:v>过海</x:v>
      </x:c>
      <x:c r="J5" s="19" t="str">
        <x:v>王赫野,黄龄</x:v>
      </x:c>
      <x:c r="K5" s="19"/>
      <x:c r="L5" s="19" t="str">
        <x:v>观察</x:v>
      </x:c>
      <x:c r="M5" s="19" t="str">
        <x:v>歌单</x:v>
      </x:c>
      <x:c r="N5" s="19" t="str">
        <x:v>待确认</x:v>
      </x:c>
      <x:c r="O5" s="19" t="str">
        <x:v>继续观察</x:v>
      </x:c>
      <x:c r="P5" s="19"/>
      <x:c r="Q5" s="19" t="str">
        <x:v>高潜综合分</x:v>
      </x:c>
      <x:c r="R5" s="20" t="n">
        <x:v>80</x:v>
      </x:c>
    </x:row>
    <x:row r="6">
      <x:c r="A6" s="18" t="str">
        <x:v>rising</x:v>
      </x:c>
      <x:c r="B6" s="19" t="str">
        <x:v>飙升榜</x:v>
      </x:c>
      <x:c r="C6" s="19" t="str">
        <x:v>网易云音乐</x:v>
      </x:c>
      <x:c r="D6" s="19" t="str">
        <x:v>每日</x:v>
      </x:c>
      <x:c r="E6" s="19" t="str">
        <x:v>官方页面/公开响应</x:v>
      </x:c>
      <x:c r="F6" s="19"/>
      <x:c r="G6" s="19" t="str">
        <x:v>001rRVzh2m7RJB</x:v>
      </x:c>
      <x:c r="H6" s="19" t="n">
        <x:v>75.8</x:v>
      </x:c>
      <x:c r="I6" s="19" t="str">
        <x:v>两世洞天</x:v>
      </x:c>
      <x:c r="J6" s="19" t="str">
        <x:v>黄星</x:v>
      </x:c>
      <x:c r="K6" s="19"/>
      <x:c r="L6" s="19" t="str">
        <x:v>优先跟进</x:v>
      </x:c>
      <x:c r="M6" s="19" t="str">
        <x:v>短视频</x:v>
      </x:c>
      <x:c r="N6" s="19" t="str">
        <x:v>可联系</x:v>
      </x:c>
      <x:c r="O6" s="19" t="str">
        <x:v>进入听审</x:v>
      </x:c>
      <x:c r="P6" s="19"/>
      <x:c r="Q6" s="19" t="str">
        <x:v>中潜综合分</x:v>
      </x:c>
      <x:c r="R6" s="20" t="n">
        <x:v>70</x:v>
      </x:c>
    </x:row>
    <x:row r="7">
      <x:c r="A7" s="18" t="str">
        <x:v>new</x:v>
      </x:c>
      <x:c r="B7" s="19" t="str">
        <x:v>新歌榜</x:v>
      </x:c>
      <x:c r="C7" s="19" t="str">
        <x:v>网易云音乐</x:v>
      </x:c>
      <x:c r="D7" s="19" t="str">
        <x:v>每日</x:v>
      </x:c>
      <x:c r="E7" s="19" t="str">
        <x:v>官方页面/公开响应</x:v>
      </x:c>
      <x:c r="F7" s="19"/>
      <x:c r="G7" s="19" t="str">
        <x:v>000QQHy712ZX4T</x:v>
      </x:c>
      <x:c r="H7" s="19" t="n">
        <x:v>73.2</x:v>
      </x:c>
      <x:c r="I7" s="19" t="str">
        <x:v>挽红纱</x:v>
      </x:c>
      <x:c r="J7" s="19" t="str">
        <x:v>龚琳娜,张云雷</x:v>
      </x:c>
      <x:c r="K7" s="19"/>
      <x:c r="L7" s="19" t="str">
        <x:v>已联系</x:v>
      </x:c>
      <x:c r="M7" s="19" t="str">
        <x:v>影视</x:v>
      </x:c>
      <x:c r="N7" s="19" t="str">
        <x:v>已授权</x:v>
      </x:c>
      <x:c r="O7" s="19" t="str">
        <x:v>暂缓</x:v>
      </x:c>
      <x:c r="P7" s="19"/>
      <x:c r="Q7" s="19" t="str">
        <x:v>Top排名</x:v>
      </x:c>
      <x:c r="R7" s="20" t="n">
        <x:v>10</x:v>
      </x:c>
    </x:row>
    <x:row r="8">
      <x:c r="A8" s="18" t="str">
        <x:v>original</x:v>
      </x:c>
      <x:c r="B8" s="19" t="str">
        <x:v>原创榜</x:v>
      </x:c>
      <x:c r="C8" s="19" t="str">
        <x:v>网易云音乐</x:v>
      </x:c>
      <x:c r="D8" s="19" t="str">
        <x:v>每周四</x:v>
      </x:c>
      <x:c r="E8" s="19" t="str">
        <x:v>官方页面/公开响应</x:v>
      </x:c>
      <x:c r="F8" s="19"/>
      <x:c r="G8" s="19" t="str">
        <x:v>0009cN231s93BH</x:v>
      </x:c>
      <x:c r="H8" s="19" t="n">
        <x:v>71.3</x:v>
      </x:c>
      <x:c r="I8" s="19" t="str">
        <x:v>周旋</x:v>
      </x:c>
      <x:c r="J8" s="19" t="str">
        <x:v>王以太,艾热AIR</x:v>
      </x:c>
      <x:c r="K8" s="19"/>
      <x:c r="L8" s="19" t="str">
        <x:v>暂缓</x:v>
      </x:c>
      <x:c r="M8" s="19" t="str">
        <x:v>品牌</x:v>
      </x:c>
      <x:c r="N8" s="19" t="str">
        <x:v>存在风险</x:v>
      </x:c>
      <x:c r="O8" s="19"/>
      <x:c r="P8" s="19"/>
      <x:c r="Q8" s="19" t="str">
        <x:v>销售中位数</x:v>
      </x:c>
      <x:c r="R8" s="20" t="n">
        <x:v>22.24</x:v>
      </x:c>
    </x:row>
    <x:row r="9">
      <x:c r="A9" s="18" t="str">
        <x:v>potential</x:v>
      </x:c>
      <x:c r="B9" s="19" t="str">
        <x:v>潜力爆款榜</x:v>
      </x:c>
      <x:c r="C9" s="19" t="str">
        <x:v>网易云音乐</x:v>
      </x:c>
      <x:c r="D9" s="19" t="str">
        <x:v>每周二</x:v>
      </x:c>
      <x:c r="E9" s="19" t="str">
        <x:v>公开响应仅10条</x:v>
      </x:c>
      <x:c r="F9" s="19"/>
      <x:c r="G9" s="19" t="str">
        <x:v>002sjXkp1KKKUX</x:v>
      </x:c>
      <x:c r="H9" s="19" t="n">
        <x:v>67</x:v>
      </x:c>
      <x:c r="I9" s="19" t="str">
        <x:v>奔赴超无限</x:v>
      </x:c>
      <x:c r="J9" s="19" t="str">
        <x:v>周深,北京环球度假区</x:v>
      </x:c>
      <x:c r="K9" s="19"/>
      <x:c r="L9" s="19"/>
      <x:c r="M9" s="19" t="str">
        <x:v>现场</x:v>
      </x:c>
      <x:c r="N9" s="19"/>
      <x:c r="O9" s="19"/>
      <x:c r="P9" s="19"/>
      <x:c r="Q9" s="19"/>
      <x:c r="R9" s="20"/>
    </x:row>
    <x:row r="10">
      <x:c r="A10" s="21" t="str">
        <x:v>realtime_share</x:v>
      </x:c>
      <x:c r="B10" s="22" t="str">
        <x:v>实时分享榜</x:v>
      </x:c>
      <x:c r="C10" s="22" t="str">
        <x:v>网易云音乐</x:v>
      </x:c>
      <x:c r="D10" s="22" t="str">
        <x:v>每小时</x:v>
      </x:c>
      <x:c r="E10" s="22" t="str">
        <x:v>公开响应仅10条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3"/>
    </x:row>
  </x:sheetData>
  <x:mergeCells>
    <x:mergeCell ref="A1:R1"/>
    <x:mergeCell ref="A2:R2"/>
  </x:mergeCells>
  <x:pageMargins left="0.7" right="0.7" top="0.75" bottom="0.75" header="0.3" footer="0.3"/>
</x:worksheet>
</file>